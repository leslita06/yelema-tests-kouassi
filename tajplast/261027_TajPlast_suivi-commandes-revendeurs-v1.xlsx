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Paramètres" sheetId="3" state="visible" r:id="rId3"/>
    <sheet xmlns:r="http://schemas.openxmlformats.org/officeDocument/2006/relationships" name="Produits" sheetId="4" state="visible" r:id="rId4"/>
    <sheet xmlns:r="http://schemas.openxmlformats.org/officeDocument/2006/relationships" name="Revendeurs" sheetId="5" state="visible" r:id="rId5"/>
    <sheet xmlns:r="http://schemas.openxmlformats.org/officeDocument/2006/relationships" name="Commandes" sheetId="6" state="visible" r:id="rId6"/>
    <sheet xmlns:r="http://schemas.openxmlformats.org/officeDocument/2006/relationships" name="Relances du jour" sheetId="7" state="visible" r:id="rId7"/>
  </sheets>
  <definedNames>
    <definedName name="_xlnm._FilterDatabase" localSheetId="5" hidden="1">'Commandes'!$A$1:$V$501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6">
    <font>
      <name val="Calibri"/>
      <family val="2"/>
      <color theme="1"/>
      <sz val="11"/>
      <scheme val="minor"/>
    </font>
    <font>
      <name val="Roboto"/>
      <b val="1"/>
      <color rgb="00E84808"/>
      <sz val="18"/>
    </font>
    <font>
      <name val="Roboto"/>
      <color rgb="006B6B6B"/>
      <sz val="10"/>
    </font>
    <font>
      <name val="Roboto"/>
      <color rgb="001F1F1F"/>
      <sz val="10"/>
    </font>
    <font>
      <name val="Roboto"/>
      <b val="1"/>
      <color rgb="00B33600"/>
      <sz val="11"/>
    </font>
    <font>
      <name val="Roboto"/>
      <b val="1"/>
      <color rgb="00109040"/>
      <sz val="12"/>
    </font>
    <font>
      <name val="Roboto"/>
      <b val="1"/>
      <color rgb="00E84808"/>
      <sz val="16"/>
    </font>
    <font>
      <name val="Roboto"/>
      <b val="1"/>
      <color rgb="00FFFFFF"/>
      <sz val="10"/>
    </font>
    <font>
      <name val="Roboto"/>
      <b val="1"/>
      <sz val="10"/>
    </font>
    <font>
      <name val="Roboto"/>
      <i val="1"/>
      <color rgb="006B6B6B"/>
      <sz val="9"/>
    </font>
    <font>
      <name val="Roboto"/>
      <color rgb="001F1F1F"/>
      <sz val="9"/>
    </font>
    <font>
      <name val="Roboto"/>
      <color rgb="001F1F1F"/>
      <sz val="8"/>
    </font>
    <font>
      <name val="Roboto"/>
      <color rgb="006B6B6B"/>
      <sz val="9"/>
    </font>
    <font>
      <name val="Roboto"/>
      <color rgb="001F1F1F"/>
      <sz val="11"/>
    </font>
    <font>
      <name val="Roboto"/>
      <b val="1"/>
      <color rgb="001F1F1F"/>
      <sz val="13"/>
    </font>
    <font>
      <name val="Roboto"/>
      <b val="1"/>
      <color rgb="00E84808"/>
      <sz val="13"/>
    </font>
  </fonts>
  <fills count="5">
    <fill>
      <patternFill/>
    </fill>
    <fill>
      <patternFill patternType="gray125"/>
    </fill>
    <fill>
      <patternFill patternType="solid">
        <fgColor rgb="00E84808"/>
      </patternFill>
    </fill>
    <fill>
      <patternFill patternType="solid">
        <fgColor rgb="00FFF7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vertical="center" wrapText="1"/>
    </xf>
    <xf numFmtId="0" fontId="5" fillId="0" borderId="0" pivotButton="0" quotePrefix="0" xfId="0"/>
    <xf numFmtId="0" fontId="13" fillId="0" borderId="1" applyAlignment="1" pivotButton="0" quotePrefix="0" xfId="0">
      <alignment vertical="top" wrapText="1"/>
    </xf>
    <xf numFmtId="1" fontId="14" fillId="0" borderId="1" applyAlignment="1" pivotButton="0" quotePrefix="0" xfId="0">
      <alignment horizontal="right" vertical="center"/>
    </xf>
    <xf numFmtId="3" fontId="14" fillId="0" borderId="1" applyAlignment="1" pivotButton="0" quotePrefix="0" xfId="0">
      <alignment horizontal="right" vertical="center"/>
    </xf>
    <xf numFmtId="3" fontId="15" fillId="0" borderId="1" applyAlignment="1" pivotButton="0" quotePrefix="0" xfId="0">
      <alignment horizontal="right" vertical="center"/>
    </xf>
    <xf numFmtId="1" fontId="15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top" wrapText="1"/>
    </xf>
    <xf numFmtId="164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3" fontId="8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applyAlignment="1" pivotButton="0" quotePrefix="0" xfId="0">
      <alignment vertical="top" wrapText="1"/>
    </xf>
    <xf numFmtId="3" fontId="10" fillId="0" borderId="1" applyAlignment="1" pivotButton="0" quotePrefix="0" xfId="0">
      <alignment vertical="top" wrapText="1"/>
    </xf>
    <xf numFmtId="3" fontId="10" fillId="4" borderId="1" applyAlignment="1" pivotButton="0" quotePrefix="0" xfId="0">
      <alignment vertical="top" wrapText="1"/>
    </xf>
    <xf numFmtId="9" fontId="10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 wrapText="1"/>
    </xf>
    <xf numFmtId="164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dxfs count="4">
    <dxf>
      <font>
        <b val="1"/>
        <color rgb="00B33600"/>
      </font>
      <fill>
        <patternFill patternType="solid">
          <fgColor rgb="00FCD9C8"/>
        </patternFill>
      </fill>
    </dxf>
    <dxf>
      <fill>
        <patternFill patternType="solid">
          <fgColor rgb="00FFF3B0"/>
        </patternFill>
      </fill>
    </dxf>
    <dxf>
      <font>
        <color rgb="000B6B2E"/>
      </font>
      <fill>
        <patternFill patternType="solid">
          <fgColor rgb="00DDF2E3"/>
        </patternFill>
      </fill>
    </dxf>
    <dxf>
      <font>
        <b val="1"/>
        <color rgb="00FFFFFF"/>
      </font>
      <fill>
        <patternFill patternType="solid">
          <fgColor rgb="00E8480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4808"/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2">
      <c r="B2" s="1" t="inlineStr">
        <is>
          <t>TAJ PLAST · Suivi des commandes revendeurs</t>
        </is>
      </c>
    </row>
    <row r="3">
      <c r="B3" s="2" t="inlineStr">
        <is>
          <t>Modèle prêt à l'emploi · relances des impayés et des retards calculées chaque jour · préparé par Kouassi (Yelema), 27/10/2026</t>
        </is>
      </c>
    </row>
    <row r="4">
      <c r="B4" s="3" t="inlineStr"/>
    </row>
    <row r="5">
      <c r="B5" s="4" t="inlineStr">
        <is>
          <t>LES LIGNES REVENDEURS ET COMMANDES SONT FICTIVES : elles montrent le fonctionnement. Les supprimer avant la mise en service.</t>
        </is>
      </c>
    </row>
    <row r="6">
      <c r="B6" s="3" t="inlineStr"/>
    </row>
    <row r="7">
      <c r="B7" s="5" t="inlineStr">
        <is>
          <t>Comment ça marche</t>
        </is>
      </c>
    </row>
    <row r="8">
      <c r="B8" s="3" t="inlineStr">
        <is>
          <t>1. Paramètres : régler une fois les délais de relance, le délai de paiement et le plafond d'encours par défaut. Ce sont des choix de la direction, marqués « à décider ».</t>
        </is>
      </c>
    </row>
    <row r="9">
      <c r="B9" s="3" t="inlineStr">
        <is>
          <t>2. Revendeurs : une ligne par revendeur, avec son délai de paiement et son plafond d'encours. L'encours et les impayés se calculent seuls.</t>
        </is>
      </c>
    </row>
    <row r="10">
      <c r="B10" s="3" t="inlineStr">
        <is>
          <t>3. Commandes : on ne saisit que les cases blanches (date, revendeur, produit, quantité, prix, dates de livraison, montant payé). Les cases grisées se calculent.</t>
        </is>
      </c>
    </row>
    <row r="11">
      <c r="B11" s="3" t="inlineStr">
        <is>
          <t>4. Relances du jour : chaque matin, la liste des paiements à relancer et des livraisons en retard, avec le message WhatsApp déjà rédigé.</t>
        </is>
      </c>
    </row>
    <row r="12">
      <c r="B12" s="3" t="inlineStr">
        <is>
          <t>5. Tableau de bord : chiffre du mois, encours, impayés échus, retards, revendeurs au-dessus de leur plafond.</t>
        </is>
      </c>
    </row>
    <row r="13">
      <c r="B13" s="3" t="inlineStr"/>
    </row>
    <row r="14">
      <c r="B14" s="5" t="inlineStr">
        <is>
          <t>Les règles de relance (modifiables dans Paramètres)</t>
        </is>
      </c>
    </row>
    <row r="15">
      <c r="B15" s="3" t="inlineStr">
        <is>
          <t>• Échéance = date de livraison + délai de paiement du revendeur (ou délai par défaut).</t>
        </is>
      </c>
    </row>
    <row r="16">
      <c r="B16" s="3" t="inlineStr">
        <is>
          <t>• Relance 1 à J+3 après l'échéance, relance 2 à J+10, relance 3 à J+20 : appel du responsable commercial ou de la direction.</t>
        </is>
      </c>
    </row>
    <row r="17">
      <c r="B17" s="3" t="inlineStr">
        <is>
          <t>• Livraison en retard dès que la date promise est dépassée sans livraison : le revendeur est prévenu avant qu'il ne relance lui-même.</t>
        </is>
      </c>
    </row>
    <row r="18">
      <c r="B18" s="3" t="inlineStr">
        <is>
          <t>• Un revendeur au-dessus de son plafond d'encours est signalé « Dépassement » : la décision de livrer reste à la direction.</t>
        </is>
      </c>
    </row>
    <row r="19">
      <c r="B19" s="3" t="inlineStr"/>
    </row>
    <row r="20">
      <c r="B20" s="5" t="inlineStr">
        <is>
          <t>Ce qui reste humain</t>
        </is>
      </c>
    </row>
    <row r="21">
      <c r="B21" s="3" t="inlineStr">
        <is>
          <t>Le tableur prépare chaque message, mais n'envoie rien. On relit, on inscrit son nom dans « Validé par », on envoie, puis on note la date dans « Relance envoyée le ». Ainsi, le même revendeur n'est jamais relancé deux fois le même jour.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4808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0" customWidth="1" min="4" max="4"/>
    <col width="18" customWidth="1" min="5" max="5"/>
    <col width="18" customWidth="1" min="6" max="6"/>
  </cols>
  <sheetData>
    <row r="1">
      <c r="A1" s="6" t="inlineStr">
        <is>
          <t>Tableau de bord des revendeurs</t>
        </is>
      </c>
    </row>
    <row r="2">
      <c r="A2" s="7">
        <f>"Situation au "&amp;TEXT(Paramètres!$B$4,"dd/mm/yyyy")</f>
        <v/>
      </c>
    </row>
    <row r="4" ht="34" customHeight="1">
      <c r="A4" s="8" t="inlineStr">
        <is>
          <t>Indicateur</t>
        </is>
      </c>
      <c r="B4" s="8" t="inlineStr">
        <is>
          <t>Valeur</t>
        </is>
      </c>
      <c r="D4" s="9" t="inlineStr">
        <is>
          <t>Impayés échus par revendeur</t>
        </is>
      </c>
    </row>
    <row r="5" ht="22" customHeight="1">
      <c r="A5" s="10" t="inlineStr">
        <is>
          <t>Commandes du mois</t>
        </is>
      </c>
      <c r="B5" s="11">
        <f>COUNTIFS(Commandes!$B:$B,"&gt;="&amp;(EOMONTH(Paramètres!$B$4,-1)+1),Commandes!$B:$B,"&lt;="&amp;Paramètres!$B$4)</f>
        <v/>
      </c>
    </row>
    <row r="6" ht="22" customHeight="1">
      <c r="A6" s="10" t="inlineStr">
        <is>
          <t>Chiffre d'affaires HT du mois (FCFA)</t>
        </is>
      </c>
      <c r="B6" s="12">
        <f>SUMIFS(Commandes!$H:$H,Commandes!$B:$B,"&gt;="&amp;(EOMONTH(Paramètres!$B$4,-1)+1),Commandes!$B:$B,"&lt;="&amp;Paramètres!$B$4)</f>
        <v/>
      </c>
    </row>
    <row r="7" ht="22" customHeight="1">
      <c r="A7" s="10" t="inlineStr">
        <is>
          <t>Encours total (FCFA)</t>
        </is>
      </c>
      <c r="B7" s="12">
        <f>SUM(Commandes!$O:$O)</f>
        <v/>
      </c>
    </row>
    <row r="8" ht="22" customHeight="1">
      <c r="A8" s="10" t="inlineStr">
        <is>
          <t>dont impayés échus (FCFA)</t>
        </is>
      </c>
      <c r="B8" s="13">
        <f>SUMIFS(Commandes!$O:$O,Commandes!$P:$P,"&gt;0")</f>
        <v/>
      </c>
    </row>
    <row r="9" ht="22" customHeight="1">
      <c r="A9" s="10" t="inlineStr">
        <is>
          <t>Paiements à relancer aujourd'hui</t>
        </is>
      </c>
      <c r="B9" s="14">
        <f>COUNTIF(Commandes!$Q:$Q,"Relance*")</f>
        <v/>
      </c>
    </row>
    <row r="10" ht="22" customHeight="1">
      <c r="A10" s="10" t="inlineStr">
        <is>
          <t>Livraisons en retard</t>
        </is>
      </c>
      <c r="B10" s="14">
        <f>COUNTIF(Commandes!$K:$K,"En retard")</f>
        <v/>
      </c>
    </row>
    <row r="11" ht="22" customHeight="1">
      <c r="A11" s="10" t="inlineStr">
        <is>
          <t>Revendeurs au-dessus de leur plafond</t>
        </is>
      </c>
      <c r="B11" s="14">
        <f>COUNTIF(Revendeurs!$L:$L,"Dépassement*")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9040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60" customWidth="1" min="3" max="3"/>
  </cols>
  <sheetData>
    <row r="1">
      <c r="A1" s="6" t="inlineStr">
        <is>
          <t>Paramètres</t>
        </is>
      </c>
    </row>
    <row r="3" ht="34" customHeight="1">
      <c r="A3" s="8" t="inlineStr">
        <is>
          <t>Paramètre</t>
        </is>
      </c>
      <c r="B3" s="8" t="inlineStr">
        <is>
          <t>Valeur</t>
        </is>
      </c>
      <c r="C3" s="8" t="inlineStr">
        <is>
          <t>Commentaire</t>
        </is>
      </c>
    </row>
    <row r="4">
      <c r="A4" s="15" t="inlineStr">
        <is>
          <t>Date du jour</t>
        </is>
      </c>
      <c r="B4" s="16">
        <f>TODAY()</f>
        <v/>
      </c>
      <c r="C4" s="15" t="inlineStr">
        <is>
          <t>Se met à jour seule</t>
        </is>
      </c>
    </row>
    <row r="5">
      <c r="A5" s="15" t="inlineStr">
        <is>
          <t>Relance 1 : jours après l'échéance</t>
        </is>
      </c>
      <c r="B5" s="17" t="n">
        <v>3</v>
      </c>
      <c r="C5" s="15" t="inlineStr">
        <is>
          <t>À décider par la direction</t>
        </is>
      </c>
    </row>
    <row r="6">
      <c r="A6" s="15" t="inlineStr">
        <is>
          <t>Relance 2 : jours après l'échéance</t>
        </is>
      </c>
      <c r="B6" s="17" t="n">
        <v>10</v>
      </c>
      <c r="C6" s="15" t="inlineStr">
        <is>
          <t>À décider par la direction</t>
        </is>
      </c>
    </row>
    <row r="7">
      <c r="A7" s="15" t="inlineStr">
        <is>
          <t>Relance 3 (appel de la direction) : jours après l'échéance</t>
        </is>
      </c>
      <c r="B7" s="17" t="n">
        <v>20</v>
      </c>
      <c r="C7" s="15" t="inlineStr">
        <is>
          <t>À décider par la direction</t>
        </is>
      </c>
    </row>
    <row r="8">
      <c r="A8" s="15" t="inlineStr">
        <is>
          <t>Tolérance de retard de livraison (jours)</t>
        </is>
      </c>
      <c r="B8" s="17" t="n">
        <v>0</v>
      </c>
      <c r="C8" s="15" t="inlineStr">
        <is>
          <t>0 = en retard dès le lendemain de la date promise</t>
        </is>
      </c>
    </row>
    <row r="9">
      <c r="A9" s="15" t="inlineStr">
        <is>
          <t>Délai de paiement par défaut (jours)</t>
        </is>
      </c>
      <c r="B9" s="17" t="n">
        <v>30</v>
      </c>
      <c r="C9" s="15" t="inlineStr">
        <is>
          <t>À décider par la direction (valeur d'exemple)</t>
        </is>
      </c>
    </row>
    <row r="10">
      <c r="A10" s="15" t="inlineStr">
        <is>
          <t>Plafond d'encours par défaut (FCFA)</t>
        </is>
      </c>
      <c r="B10" s="18" t="n">
        <v>2000000</v>
      </c>
      <c r="C10" s="15" t="inlineStr">
        <is>
          <t>À décider par la direction (valeur d'exemple)</t>
        </is>
      </c>
    </row>
    <row r="11">
      <c r="A11" s="15" t="inlineStr">
        <is>
          <t>Signature des messages</t>
        </is>
      </c>
      <c r="B11" s="17" t="inlineStr">
        <is>
          <t>Le service commercial Taj Plast</t>
        </is>
      </c>
      <c r="C11" s="15" t="inlineStr">
        <is>
          <t>Remplacer par le prénom du commercial</t>
        </is>
      </c>
    </row>
    <row r="12">
      <c r="A12" s="15" t="inlineStr">
        <is>
          <t>Téléphone affiché dans les messages</t>
        </is>
      </c>
      <c r="B12" s="17" t="inlineStr">
        <is>
          <t>27 21 37 66 66</t>
        </is>
      </c>
      <c r="C12" s="15" t="inlineStr">
        <is>
          <t>Standard publié sur tajplast.com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904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22" customWidth="1" min="4" max="4"/>
    <col width="30" customWidth="1" min="5" max="5"/>
  </cols>
  <sheetData>
    <row r="1" ht="34" customHeight="1">
      <c r="A1" s="8" t="inlineStr">
        <is>
          <t>Produit</t>
        </is>
      </c>
      <c r="B1" s="8" t="inlineStr">
        <is>
          <t>Famille</t>
        </is>
      </c>
      <c r="C1" s="8" t="inlineStr">
        <is>
          <t>Colisage (pièces par colis)</t>
        </is>
      </c>
      <c r="D1" s="8" t="inlineStr">
        <is>
          <t>Prix revendeur HT (FCFA)</t>
        </is>
      </c>
      <c r="E1" s="8" t="inlineStr">
        <is>
          <t>Source</t>
        </is>
      </c>
    </row>
    <row r="2">
      <c r="A2" s="15" t="inlineStr">
        <is>
          <t>Chaise Ibiza</t>
        </is>
      </c>
      <c r="B2" s="15" t="inlineStr">
        <is>
          <t>Mobilier</t>
        </is>
      </c>
      <c r="C2" s="15" t="inlineStr"/>
      <c r="D2" s="19" t="inlineStr"/>
      <c r="E2" s="15" t="inlineStr">
        <is>
          <t>tajplast.com (nouveautés)</t>
        </is>
      </c>
    </row>
    <row r="3">
      <c r="A3" s="15" t="inlineStr">
        <is>
          <t>Table Choco</t>
        </is>
      </c>
      <c r="B3" s="15" t="inlineStr">
        <is>
          <t>Mobilier</t>
        </is>
      </c>
      <c r="C3" s="15" t="inlineStr"/>
      <c r="D3" s="19" t="inlineStr"/>
      <c r="E3" s="15" t="inlineStr">
        <is>
          <t>tajplast.com / catalogue 2025</t>
        </is>
      </c>
    </row>
    <row r="4">
      <c r="A4" s="15" t="inlineStr">
        <is>
          <t>Table ronde (diamètre 90 cm)</t>
        </is>
      </c>
      <c r="B4" s="15" t="inlineStr">
        <is>
          <t>Mobilier</t>
        </is>
      </c>
      <c r="C4" s="15" t="inlineStr"/>
      <c r="D4" s="19" t="inlineStr"/>
      <c r="E4" s="15" t="inlineStr">
        <is>
          <t>catalogue 2025</t>
        </is>
      </c>
    </row>
    <row r="5">
      <c r="A5" s="15" t="inlineStr">
        <is>
          <t>Table familiale 6 places</t>
        </is>
      </c>
      <c r="B5" s="15" t="inlineStr">
        <is>
          <t>Mobilier</t>
        </is>
      </c>
      <c r="C5" s="15" t="inlineStr"/>
      <c r="D5" s="19" t="inlineStr"/>
      <c r="E5" s="15" t="inlineStr">
        <is>
          <t>catalogue 2025</t>
        </is>
      </c>
    </row>
    <row r="6">
      <c r="A6" s="15" t="inlineStr">
        <is>
          <t>Armoire de rangement</t>
        </is>
      </c>
      <c r="B6" s="15" t="inlineStr">
        <is>
          <t>Mobilier</t>
        </is>
      </c>
      <c r="C6" s="15" t="inlineStr"/>
      <c r="D6" s="19" t="inlineStr"/>
      <c r="E6" s="15" t="inlineStr">
        <is>
          <t>catalogue 2025</t>
        </is>
      </c>
    </row>
    <row r="7">
      <c r="A7" s="15" t="inlineStr">
        <is>
          <t>Tiroir de rangement</t>
        </is>
      </c>
      <c r="B7" s="15" t="inlineStr">
        <is>
          <t>Mobilier</t>
        </is>
      </c>
      <c r="C7" s="15" t="inlineStr"/>
      <c r="D7" s="19" t="inlineStr"/>
      <c r="E7" s="15" t="inlineStr">
        <is>
          <t>catalogue 2025</t>
        </is>
      </c>
    </row>
    <row r="8">
      <c r="A8" s="15" t="inlineStr">
        <is>
          <t>Poubelle à pédale</t>
        </is>
      </c>
      <c r="B8" s="15" t="inlineStr">
        <is>
          <t>Ménage</t>
        </is>
      </c>
      <c r="C8" s="15" t="inlineStr"/>
      <c r="D8" s="19" t="inlineStr"/>
      <c r="E8" s="15" t="inlineStr">
        <is>
          <t>tajplast.com (nouveautés)</t>
        </is>
      </c>
    </row>
    <row r="9">
      <c r="A9" s="15" t="inlineStr">
        <is>
          <t>Bidon 2 L</t>
        </is>
      </c>
      <c r="B9" s="15" t="inlineStr">
        <is>
          <t>Bidons</t>
        </is>
      </c>
      <c r="C9" s="15" t="n">
        <v>24</v>
      </c>
      <c r="D9" s="19" t="inlineStr"/>
      <c r="E9" s="15" t="inlineStr">
        <is>
          <t>catalogue 2025, p. 24</t>
        </is>
      </c>
    </row>
    <row r="10">
      <c r="A10" s="15" t="inlineStr">
        <is>
          <t>Bidon 5 L</t>
        </is>
      </c>
      <c r="B10" s="15" t="inlineStr">
        <is>
          <t>Bidons</t>
        </is>
      </c>
      <c r="C10" s="15" t="n">
        <v>24</v>
      </c>
      <c r="D10" s="19" t="inlineStr"/>
      <c r="E10" s="15" t="inlineStr">
        <is>
          <t>catalogue 2025, p. 24</t>
        </is>
      </c>
    </row>
    <row r="11">
      <c r="A11" s="15" t="inlineStr">
        <is>
          <t>Bidon 10 L</t>
        </is>
      </c>
      <c r="B11" s="15" t="inlineStr">
        <is>
          <t>Bidons</t>
        </is>
      </c>
      <c r="C11" s="15" t="n">
        <v>6</v>
      </c>
      <c r="D11" s="19" t="inlineStr"/>
      <c r="E11" s="15" t="inlineStr">
        <is>
          <t>catalogue 2025, p. 24</t>
        </is>
      </c>
    </row>
    <row r="12">
      <c r="A12" s="15" t="inlineStr">
        <is>
          <t>Bidon 20 L</t>
        </is>
      </c>
      <c r="B12" s="15" t="inlineStr">
        <is>
          <t>Bidons</t>
        </is>
      </c>
      <c r="C12" s="15" t="n">
        <v>6</v>
      </c>
      <c r="D12" s="19" t="inlineStr"/>
      <c r="E12" s="15" t="inlineStr">
        <is>
          <t>catalogue 2025, p. 24</t>
        </is>
      </c>
    </row>
    <row r="13">
      <c r="A13" s="15" t="inlineStr">
        <is>
          <t>Bidon 25 L</t>
        </is>
      </c>
      <c r="B13" s="15" t="inlineStr">
        <is>
          <t>Bidons</t>
        </is>
      </c>
      <c r="C13" s="15" t="n">
        <v>5</v>
      </c>
      <c r="D13" s="19" t="inlineStr"/>
      <c r="E13" s="15" t="inlineStr">
        <is>
          <t>catalogue 2025, p. 24</t>
        </is>
      </c>
    </row>
    <row r="14">
      <c r="A14" s="15" t="inlineStr">
        <is>
          <t>Arrosoir 15 L</t>
        </is>
      </c>
      <c r="B14" s="15" t="inlineStr">
        <is>
          <t>Ménage</t>
        </is>
      </c>
      <c r="C14" s="15" t="n">
        <v>6</v>
      </c>
      <c r="D14" s="19" t="inlineStr"/>
      <c r="E14" s="15" t="inlineStr">
        <is>
          <t>catalogue 2025, p. 24</t>
        </is>
      </c>
    </row>
    <row r="15">
      <c r="A15" s="15" t="inlineStr">
        <is>
          <t>Cuve de stockage (capacité à préciser)</t>
        </is>
      </c>
      <c r="B15" s="15" t="inlineStr">
        <is>
          <t>Assainissement</t>
        </is>
      </c>
      <c r="C15" s="15" t="inlineStr"/>
      <c r="D15" s="19" t="inlineStr"/>
      <c r="E15" s="15" t="inlineStr">
        <is>
          <t>tajplast.com</t>
        </is>
      </c>
    </row>
    <row r="16">
      <c r="A16" s="15" t="inlineStr">
        <is>
          <t>Fosse septique (modèle à préciser)</t>
        </is>
      </c>
      <c r="B16" s="15" t="inlineStr">
        <is>
          <t>Assainissement</t>
        </is>
      </c>
      <c r="C16" s="15" t="inlineStr"/>
      <c r="D16" s="19" t="inlineStr"/>
      <c r="E16" s="15" t="inlineStr">
        <is>
          <t>tajplast.com</t>
        </is>
      </c>
    </row>
    <row r="17">
      <c r="A17" s="15" t="inlineStr">
        <is>
          <t>Puits d'infiltration</t>
        </is>
      </c>
      <c r="B17" s="15" t="inlineStr">
        <is>
          <t>Assainissement</t>
        </is>
      </c>
      <c r="C17" s="15" t="inlineStr"/>
      <c r="D17" s="19" t="inlineStr"/>
      <c r="E17" s="15" t="inlineStr">
        <is>
          <t>tajplast.com</t>
        </is>
      </c>
    </row>
    <row r="18">
      <c r="A18" s="15" t="inlineStr">
        <is>
          <t>Tube orange (rouleau)</t>
        </is>
      </c>
      <c r="B18" s="15" t="inlineStr">
        <is>
          <t>Assainissement</t>
        </is>
      </c>
      <c r="C18" s="15" t="inlineStr"/>
      <c r="D18" s="19" t="inlineStr"/>
      <c r="E18" s="15" t="inlineStr">
        <is>
          <t>tajplast.com</t>
        </is>
      </c>
    </row>
    <row r="19">
      <c r="A19" s="15" t="inlineStr">
        <is>
          <t>Bouteille PET (format à préciser)</t>
        </is>
      </c>
      <c r="B19" s="15" t="inlineStr">
        <is>
          <t>Emballage</t>
        </is>
      </c>
      <c r="C19" s="15" t="inlineStr"/>
      <c r="D19" s="19" t="inlineStr"/>
      <c r="E19" s="15" t="inlineStr">
        <is>
          <t>catalogue 2025</t>
        </is>
      </c>
    </row>
    <row r="21">
      <c r="A21" s="20" t="inlineStr">
        <is>
          <t>Prix revendeur : à renseigner par Taj Plast (grille non communiquée). Ajouter les autres références du catalogue à la suite.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9040"/>
    <outlinePr summaryBelow="1" summaryRight="1"/>
    <pageSetUpPr/>
  </sheetPr>
  <dimension ref="A1:L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4" customWidth="1" min="4" max="4"/>
    <col width="18" customWidth="1" min="5" max="5"/>
    <col width="15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34" customWidth="1" min="12" max="12"/>
  </cols>
  <sheetData>
    <row r="1" ht="34" customHeight="1">
      <c r="A1" s="8" t="inlineStr">
        <is>
          <t>Code</t>
        </is>
      </c>
      <c r="B1" s="8" t="inlineStr">
        <is>
          <t>Revendeur</t>
        </is>
      </c>
      <c r="C1" s="8" t="inlineStr">
        <is>
          <t>Ville / commune</t>
        </is>
      </c>
      <c r="D1" s="8" t="inlineStr">
        <is>
          <t>Canal</t>
        </is>
      </c>
      <c r="E1" s="8" t="inlineStr">
        <is>
          <t>Contact</t>
        </is>
      </c>
      <c r="F1" s="8" t="inlineStr">
        <is>
          <t>WhatsApp</t>
        </is>
      </c>
      <c r="G1" s="8" t="inlineStr">
        <is>
          <t>Délai de paiement (jours)</t>
        </is>
      </c>
      <c r="H1" s="8" t="inlineStr">
        <is>
          <t>Plafond d'encours (FCFA)</t>
        </is>
      </c>
      <c r="I1" s="8" t="inlineStr">
        <is>
          <t>Encours (FCFA)</t>
        </is>
      </c>
      <c r="J1" s="8" t="inlineStr">
        <is>
          <t>Utilisation du plafond</t>
        </is>
      </c>
      <c r="K1" s="8" t="inlineStr">
        <is>
          <t>Impayés échus (FCFA)</t>
        </is>
      </c>
      <c r="L1" s="8" t="inlineStr">
        <is>
          <t>Alerte encours</t>
        </is>
      </c>
    </row>
    <row r="2">
      <c r="A2" s="21" t="inlineStr">
        <is>
          <t>R001</t>
        </is>
      </c>
      <c r="B2" s="21" t="inlineStr">
        <is>
          <t>Revendeur exemple A (FICTIF)</t>
        </is>
      </c>
      <c r="C2" s="21" t="inlineStr">
        <is>
          <t>Adjamé</t>
        </is>
      </c>
      <c r="D2" s="21" t="inlineStr">
        <is>
          <t>Grossiste</t>
        </is>
      </c>
      <c r="E2" s="21" t="inlineStr">
        <is>
          <t>M. Exemple</t>
        </is>
      </c>
      <c r="F2" s="21" t="inlineStr">
        <is>
          <t>07 00 00 00 01</t>
        </is>
      </c>
      <c r="G2" s="21" t="n">
        <v>30</v>
      </c>
      <c r="H2" s="22" t="n">
        <v>3000000</v>
      </c>
      <c r="I2" s="23">
        <f>IF(A2="","",SUMIFS(Commandes!$O:$O,Commandes!$C:$C,A2))</f>
        <v/>
      </c>
      <c r="J2" s="24">
        <f>IF(A2="","",IFERROR(I2/IF(H2="",Paramètres!$B$10,H2),""))</f>
        <v/>
      </c>
      <c r="K2" s="23">
        <f>IF(A2="","",SUMIFS(Commandes!$O:$O,Commandes!$C:$C,A2,Commandes!$P:$P,"&gt;0"))</f>
        <v/>
      </c>
      <c r="L2" s="25">
        <f>IF(A2="","",IF(I2&gt;IF(H2="",Paramètres!$B$10,H2),"Dépassement : livraison à valider par la direction",IF(J2&gt;=0.8,"Proche du plafond","OK")))</f>
        <v/>
      </c>
    </row>
    <row r="3">
      <c r="A3" s="21" t="inlineStr">
        <is>
          <t>R002</t>
        </is>
      </c>
      <c r="B3" s="21" t="inlineStr">
        <is>
          <t>Quincaillerie exemple B (FICTIF)</t>
        </is>
      </c>
      <c r="C3" s="21" t="inlineStr">
        <is>
          <t>Yopougon</t>
        </is>
      </c>
      <c r="D3" s="21" t="inlineStr">
        <is>
          <t>Quincaillerie</t>
        </is>
      </c>
      <c r="E3" s="21" t="inlineStr">
        <is>
          <t>Mme Exemple</t>
        </is>
      </c>
      <c r="F3" s="21" t="inlineStr">
        <is>
          <t>07 00 00 00 02</t>
        </is>
      </c>
      <c r="G3" s="21" t="n">
        <v>15</v>
      </c>
      <c r="H3" s="22" t="n">
        <v>1500000</v>
      </c>
      <c r="I3" s="23">
        <f>IF(A3="","",SUMIFS(Commandes!$O:$O,Commandes!$C:$C,A3))</f>
        <v/>
      </c>
      <c r="J3" s="24">
        <f>IF(A3="","",IFERROR(I3/IF(H3="",Paramètres!$B$10,H3),""))</f>
        <v/>
      </c>
      <c r="K3" s="23">
        <f>IF(A3="","",SUMIFS(Commandes!$O:$O,Commandes!$C:$C,A3,Commandes!$P:$P,"&gt;0"))</f>
        <v/>
      </c>
      <c r="L3" s="25">
        <f>IF(A3="","",IF(I3&gt;IF(H3="",Paramètres!$B$10,H3),"Dépassement : livraison à valider par la direction",IF(J3&gt;=0.8,"Proche du plafond","OK")))</f>
        <v/>
      </c>
    </row>
    <row r="4">
      <c r="A4" s="21" t="inlineStr">
        <is>
          <t>R003</t>
        </is>
      </c>
      <c r="B4" s="21" t="inlineStr">
        <is>
          <t>Supermarché exemple C (FICTIF)</t>
        </is>
      </c>
      <c r="C4" s="21" t="inlineStr">
        <is>
          <t>Cocody</t>
        </is>
      </c>
      <c r="D4" s="21" t="inlineStr">
        <is>
          <t>Supermarché</t>
        </is>
      </c>
      <c r="E4" s="21" t="inlineStr">
        <is>
          <t>Service achats</t>
        </is>
      </c>
      <c r="F4" s="21" t="inlineStr">
        <is>
          <t>07 00 00 00 03</t>
        </is>
      </c>
      <c r="G4" s="21" t="n">
        <v>45</v>
      </c>
      <c r="H4" s="22" t="n">
        <v>5000000</v>
      </c>
      <c r="I4" s="23">
        <f>IF(A4="","",SUMIFS(Commandes!$O:$O,Commandes!$C:$C,A4))</f>
        <v/>
      </c>
      <c r="J4" s="24">
        <f>IF(A4="","",IFERROR(I4/IF(H4="",Paramètres!$B$10,H4),""))</f>
        <v/>
      </c>
      <c r="K4" s="23">
        <f>IF(A4="","",SUMIFS(Commandes!$O:$O,Commandes!$C:$C,A4,Commandes!$P:$P,"&gt;0"))</f>
        <v/>
      </c>
      <c r="L4" s="25">
        <f>IF(A4="","",IF(I4&gt;IF(H4="",Paramètres!$B$10,H4),"Dépassement : livraison à valider par la direction",IF(J4&gt;=0.8,"Proche du plafond","OK")))</f>
        <v/>
      </c>
    </row>
    <row r="5">
      <c r="A5" s="21" t="inlineStr">
        <is>
          <t>R004</t>
        </is>
      </c>
      <c r="B5" s="21" t="inlineStr">
        <is>
          <t>Revendeur exemple D (FICTIF)</t>
        </is>
      </c>
      <c r="C5" s="21" t="inlineStr">
        <is>
          <t>Bouaké</t>
        </is>
      </c>
      <c r="D5" s="21" t="inlineStr">
        <is>
          <t>Grossiste</t>
        </is>
      </c>
      <c r="E5" s="21" t="inlineStr">
        <is>
          <t>M. Exemple</t>
        </is>
      </c>
      <c r="F5" s="21" t="inlineStr">
        <is>
          <t>07 00 00 00 04</t>
        </is>
      </c>
      <c r="G5" s="21" t="n">
        <v>30</v>
      </c>
      <c r="H5" s="22" t="inlineStr"/>
      <c r="I5" s="23">
        <f>IF(A5="","",SUMIFS(Commandes!$O:$O,Commandes!$C:$C,A5))</f>
        <v/>
      </c>
      <c r="J5" s="24">
        <f>IF(A5="","",IFERROR(I5/IF(H5="",Paramètres!$B$10,H5),""))</f>
        <v/>
      </c>
      <c r="K5" s="23">
        <f>IF(A5="","",SUMIFS(Commandes!$O:$O,Commandes!$C:$C,A5,Commandes!$P:$P,"&gt;0"))</f>
        <v/>
      </c>
      <c r="L5" s="25">
        <f>IF(A5="","",IF(I5&gt;IF(H5="",Paramètres!$B$10,H5),"Dépassement : livraison à valider par la direction",IF(J5&gt;=0.8,"Proche du plafond","OK")))</f>
        <v/>
      </c>
    </row>
    <row r="6">
      <c r="A6" s="21" t="inlineStr">
        <is>
          <t>R005</t>
        </is>
      </c>
      <c r="B6" s="21" t="inlineStr">
        <is>
          <t>BTP exemple E (FICTIF)</t>
        </is>
      </c>
      <c r="C6" s="21" t="inlineStr">
        <is>
          <t>Bingerville</t>
        </is>
      </c>
      <c r="D6" s="21" t="inlineStr">
        <is>
          <t>BTP</t>
        </is>
      </c>
      <c r="E6" s="21" t="inlineStr">
        <is>
          <t>Conducteur de travaux</t>
        </is>
      </c>
      <c r="F6" s="21" t="inlineStr">
        <is>
          <t>07 00 00 00 05</t>
        </is>
      </c>
      <c r="G6" s="21" t="n">
        <v>30</v>
      </c>
      <c r="H6" s="22" t="n">
        <v>1000000</v>
      </c>
      <c r="I6" s="23">
        <f>IF(A6="","",SUMIFS(Commandes!$O:$O,Commandes!$C:$C,A6))</f>
        <v/>
      </c>
      <c r="J6" s="24">
        <f>IF(A6="","",IFERROR(I6/IF(H6="",Paramètres!$B$10,H6),""))</f>
        <v/>
      </c>
      <c r="K6" s="23">
        <f>IF(A6="","",SUMIFS(Commandes!$O:$O,Commandes!$C:$C,A6,Commandes!$P:$P,"&gt;0"))</f>
        <v/>
      </c>
      <c r="L6" s="25">
        <f>IF(A6="","",IF(I6&gt;IF(H6="",Paramètres!$B$10,H6),"Dépassement : livraison à valider par la direction",IF(J6&gt;=0.8,"Proche du plafond","OK")))</f>
        <v/>
      </c>
    </row>
    <row r="7">
      <c r="A7" s="21" t="n"/>
      <c r="B7" s="21" t="n"/>
      <c r="C7" s="21" t="n"/>
      <c r="D7" s="21" t="n"/>
      <c r="E7" s="21" t="n"/>
      <c r="F7" s="21" t="n"/>
      <c r="G7" s="21" t="n"/>
      <c r="H7" s="22" t="n"/>
      <c r="I7" s="23">
        <f>IF(A7="","",SUMIFS(Commandes!$O:$O,Commandes!$C:$C,A7))</f>
        <v/>
      </c>
      <c r="J7" s="24">
        <f>IF(A7="","",IFERROR(I7/IF(H7="",Paramètres!$B$10,H7),""))</f>
        <v/>
      </c>
      <c r="K7" s="23">
        <f>IF(A7="","",SUMIFS(Commandes!$O:$O,Commandes!$C:$C,A7,Commandes!$P:$P,"&gt;0"))</f>
        <v/>
      </c>
      <c r="L7" s="25">
        <f>IF(A7="","",IF(I7&gt;IF(H7="",Paramètres!$B$10,H7),"Dépassement : livraison à valider par la direction",IF(J7&gt;=0.8,"Proche du plafond","OK")))</f>
        <v/>
      </c>
    </row>
    <row r="8">
      <c r="A8" s="21" t="n"/>
      <c r="B8" s="21" t="n"/>
      <c r="C8" s="21" t="n"/>
      <c r="D8" s="21" t="n"/>
      <c r="E8" s="21" t="n"/>
      <c r="F8" s="21" t="n"/>
      <c r="G8" s="21" t="n"/>
      <c r="H8" s="22" t="n"/>
      <c r="I8" s="23">
        <f>IF(A8="","",SUMIFS(Commandes!$O:$O,Commandes!$C:$C,A8))</f>
        <v/>
      </c>
      <c r="J8" s="24">
        <f>IF(A8="","",IFERROR(I8/IF(H8="",Paramètres!$B$10,H8),""))</f>
        <v/>
      </c>
      <c r="K8" s="23">
        <f>IF(A8="","",SUMIFS(Commandes!$O:$O,Commandes!$C:$C,A8,Commandes!$P:$P,"&gt;0"))</f>
        <v/>
      </c>
      <c r="L8" s="25">
        <f>IF(A8="","",IF(I8&gt;IF(H8="",Paramètres!$B$10,H8),"Dépassement : livraison à valider par la direction",IF(J8&gt;=0.8,"Proche du plafond","OK")))</f>
        <v/>
      </c>
    </row>
    <row r="9">
      <c r="A9" s="21" t="n"/>
      <c r="B9" s="21" t="n"/>
      <c r="C9" s="21" t="n"/>
      <c r="D9" s="21" t="n"/>
      <c r="E9" s="21" t="n"/>
      <c r="F9" s="21" t="n"/>
      <c r="G9" s="21" t="n"/>
      <c r="H9" s="22" t="n"/>
      <c r="I9" s="23">
        <f>IF(A9="","",SUMIFS(Commandes!$O:$O,Commandes!$C:$C,A9))</f>
        <v/>
      </c>
      <c r="J9" s="24">
        <f>IF(A9="","",IFERROR(I9/IF(H9="",Paramètres!$B$10,H9),""))</f>
        <v/>
      </c>
      <c r="K9" s="23">
        <f>IF(A9="","",SUMIFS(Commandes!$O:$O,Commandes!$C:$C,A9,Commandes!$P:$P,"&gt;0"))</f>
        <v/>
      </c>
      <c r="L9" s="25">
        <f>IF(A9="","",IF(I9&gt;IF(H9="",Paramètres!$B$10,H9),"Dépassement : livraison à valider par la direction",IF(J9&gt;=0.8,"Proche du plafond","OK")))</f>
        <v/>
      </c>
    </row>
    <row r="10">
      <c r="A10" s="21" t="n"/>
      <c r="B10" s="21" t="n"/>
      <c r="C10" s="21" t="n"/>
      <c r="D10" s="21" t="n"/>
      <c r="E10" s="21" t="n"/>
      <c r="F10" s="21" t="n"/>
      <c r="G10" s="21" t="n"/>
      <c r="H10" s="22" t="n"/>
      <c r="I10" s="23">
        <f>IF(A10="","",SUMIFS(Commandes!$O:$O,Commandes!$C:$C,A10))</f>
        <v/>
      </c>
      <c r="J10" s="24">
        <f>IF(A10="","",IFERROR(I10/IF(H10="",Paramètres!$B$10,H10),""))</f>
        <v/>
      </c>
      <c r="K10" s="23">
        <f>IF(A10="","",SUMIFS(Commandes!$O:$O,Commandes!$C:$C,A10,Commandes!$P:$P,"&gt;0"))</f>
        <v/>
      </c>
      <c r="L10" s="25">
        <f>IF(A10="","",IF(I10&gt;IF(H10="",Paramètres!$B$10,H10),"Dépassement : livraison à valider par la direction",IF(J10&gt;=0.8,"Proche du plafond","OK")))</f>
        <v/>
      </c>
    </row>
    <row r="11">
      <c r="A11" s="21" t="n"/>
      <c r="B11" s="21" t="n"/>
      <c r="C11" s="21" t="n"/>
      <c r="D11" s="21" t="n"/>
      <c r="E11" s="21" t="n"/>
      <c r="F11" s="21" t="n"/>
      <c r="G11" s="21" t="n"/>
      <c r="H11" s="22" t="n"/>
      <c r="I11" s="23">
        <f>IF(A11="","",SUMIFS(Commandes!$O:$O,Commandes!$C:$C,A11))</f>
        <v/>
      </c>
      <c r="J11" s="24">
        <f>IF(A11="","",IFERROR(I11/IF(H11="",Paramètres!$B$10,H11),""))</f>
        <v/>
      </c>
      <c r="K11" s="23">
        <f>IF(A11="","",SUMIFS(Commandes!$O:$O,Commandes!$C:$C,A11,Commandes!$P:$P,"&gt;0"))</f>
        <v/>
      </c>
      <c r="L11" s="25">
        <f>IF(A11="","",IF(I11&gt;IF(H11="",Paramètres!$B$10,H11),"Dépassement : livraison à valider par la direction",IF(J11&gt;=0.8,"Proche du plafond","OK")))</f>
        <v/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22" t="n"/>
      <c r="I12" s="23">
        <f>IF(A12="","",SUMIFS(Commandes!$O:$O,Commandes!$C:$C,A12))</f>
        <v/>
      </c>
      <c r="J12" s="24">
        <f>IF(A12="","",IFERROR(I12/IF(H12="",Paramètres!$B$10,H12),""))</f>
        <v/>
      </c>
      <c r="K12" s="23">
        <f>IF(A12="","",SUMIFS(Commandes!$O:$O,Commandes!$C:$C,A12,Commandes!$P:$P,"&gt;0"))</f>
        <v/>
      </c>
      <c r="L12" s="25">
        <f>IF(A12="","",IF(I12&gt;IF(H12="",Paramètres!$B$10,H12),"Dépassement : livraison à valider par la direction",IF(J12&gt;=0.8,"Proche du plafond","OK")))</f>
        <v/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22" t="n"/>
      <c r="I13" s="23">
        <f>IF(A13="","",SUMIFS(Commandes!$O:$O,Commandes!$C:$C,A13))</f>
        <v/>
      </c>
      <c r="J13" s="24">
        <f>IF(A13="","",IFERROR(I13/IF(H13="",Paramètres!$B$10,H13),""))</f>
        <v/>
      </c>
      <c r="K13" s="23">
        <f>IF(A13="","",SUMIFS(Commandes!$O:$O,Commandes!$C:$C,A13,Commandes!$P:$P,"&gt;0"))</f>
        <v/>
      </c>
      <c r="L13" s="25">
        <f>IF(A13="","",IF(I13&gt;IF(H13="",Paramètres!$B$10,H13),"Dépassement : livraison à valider par la direction",IF(J13&gt;=0.8,"Proche du plafond","OK")))</f>
        <v/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22" t="n"/>
      <c r="I14" s="23">
        <f>IF(A14="","",SUMIFS(Commandes!$O:$O,Commandes!$C:$C,A14))</f>
        <v/>
      </c>
      <c r="J14" s="24">
        <f>IF(A14="","",IFERROR(I14/IF(H14="",Paramètres!$B$10,H14),""))</f>
        <v/>
      </c>
      <c r="K14" s="23">
        <f>IF(A14="","",SUMIFS(Commandes!$O:$O,Commandes!$C:$C,A14,Commandes!$P:$P,"&gt;0"))</f>
        <v/>
      </c>
      <c r="L14" s="25">
        <f>IF(A14="","",IF(I14&gt;IF(H14="",Paramètres!$B$10,H14),"Dépassement : livraison à valider par la direction",IF(J14&gt;=0.8,"Proche du plafond","OK")))</f>
        <v/>
      </c>
    </row>
    <row r="15">
      <c r="A15" s="21" t="n"/>
      <c r="B15" s="21" t="n"/>
      <c r="C15" s="21" t="n"/>
      <c r="D15" s="21" t="n"/>
      <c r="E15" s="21" t="n"/>
      <c r="F15" s="21" t="n"/>
      <c r="G15" s="21" t="n"/>
      <c r="H15" s="22" t="n"/>
      <c r="I15" s="23">
        <f>IF(A15="","",SUMIFS(Commandes!$O:$O,Commandes!$C:$C,A15))</f>
        <v/>
      </c>
      <c r="J15" s="24">
        <f>IF(A15="","",IFERROR(I15/IF(H15="",Paramètres!$B$10,H15),""))</f>
        <v/>
      </c>
      <c r="K15" s="23">
        <f>IF(A15="","",SUMIFS(Commandes!$O:$O,Commandes!$C:$C,A15,Commandes!$P:$P,"&gt;0"))</f>
        <v/>
      </c>
      <c r="L15" s="25">
        <f>IF(A15="","",IF(I15&gt;IF(H15="",Paramètres!$B$10,H15),"Dépassement : livraison à valider par la direction",IF(J15&gt;=0.8,"Proche du plafond","OK")))</f>
        <v/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22" t="n"/>
      <c r="I16" s="23">
        <f>IF(A16="","",SUMIFS(Commandes!$O:$O,Commandes!$C:$C,A16))</f>
        <v/>
      </c>
      <c r="J16" s="24">
        <f>IF(A16="","",IFERROR(I16/IF(H16="",Paramètres!$B$10,H16),""))</f>
        <v/>
      </c>
      <c r="K16" s="23">
        <f>IF(A16="","",SUMIFS(Commandes!$O:$O,Commandes!$C:$C,A16,Commandes!$P:$P,"&gt;0"))</f>
        <v/>
      </c>
      <c r="L16" s="25">
        <f>IF(A16="","",IF(I16&gt;IF(H16="",Paramètres!$B$10,H16),"Dépassement : livraison à valider par la direction",IF(J16&gt;=0.8,"Proche du plafond","OK")))</f>
        <v/>
      </c>
    </row>
    <row r="17">
      <c r="A17" s="21" t="n"/>
      <c r="B17" s="21" t="n"/>
      <c r="C17" s="21" t="n"/>
      <c r="D17" s="21" t="n"/>
      <c r="E17" s="21" t="n"/>
      <c r="F17" s="21" t="n"/>
      <c r="G17" s="21" t="n"/>
      <c r="H17" s="22" t="n"/>
      <c r="I17" s="23">
        <f>IF(A17="","",SUMIFS(Commandes!$O:$O,Commandes!$C:$C,A17))</f>
        <v/>
      </c>
      <c r="J17" s="24">
        <f>IF(A17="","",IFERROR(I17/IF(H17="",Paramètres!$B$10,H17),""))</f>
        <v/>
      </c>
      <c r="K17" s="23">
        <f>IF(A17="","",SUMIFS(Commandes!$O:$O,Commandes!$C:$C,A17,Commandes!$P:$P,"&gt;0"))</f>
        <v/>
      </c>
      <c r="L17" s="25">
        <f>IF(A17="","",IF(I17&gt;IF(H17="",Paramètres!$B$10,H17),"Dépassement : livraison à valider par la direction",IF(J17&gt;=0.8,"Proche du plafond","OK")))</f>
        <v/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2" t="n"/>
      <c r="I18" s="23">
        <f>IF(A18="","",SUMIFS(Commandes!$O:$O,Commandes!$C:$C,A18))</f>
        <v/>
      </c>
      <c r="J18" s="24">
        <f>IF(A18="","",IFERROR(I18/IF(H18="",Paramètres!$B$10,H18),""))</f>
        <v/>
      </c>
      <c r="K18" s="23">
        <f>IF(A18="","",SUMIFS(Commandes!$O:$O,Commandes!$C:$C,A18,Commandes!$P:$P,"&gt;0"))</f>
        <v/>
      </c>
      <c r="L18" s="25">
        <f>IF(A18="","",IF(I18&gt;IF(H18="",Paramètres!$B$10,H18),"Dépassement : livraison à valider par la direction",IF(J18&gt;=0.8,"Proche du plafond","OK")))</f>
        <v/>
      </c>
    </row>
    <row r="19">
      <c r="A19" s="21" t="n"/>
      <c r="B19" s="21" t="n"/>
      <c r="C19" s="21" t="n"/>
      <c r="D19" s="21" t="n"/>
      <c r="E19" s="21" t="n"/>
      <c r="F19" s="21" t="n"/>
      <c r="G19" s="21" t="n"/>
      <c r="H19" s="22" t="n"/>
      <c r="I19" s="23">
        <f>IF(A19="","",SUMIFS(Commandes!$O:$O,Commandes!$C:$C,A19))</f>
        <v/>
      </c>
      <c r="J19" s="24">
        <f>IF(A19="","",IFERROR(I19/IF(H19="",Paramètres!$B$10,H19),""))</f>
        <v/>
      </c>
      <c r="K19" s="23">
        <f>IF(A19="","",SUMIFS(Commandes!$O:$O,Commandes!$C:$C,A19,Commandes!$P:$P,"&gt;0"))</f>
        <v/>
      </c>
      <c r="L19" s="25">
        <f>IF(A19="","",IF(I19&gt;IF(H19="",Paramètres!$B$10,H19),"Dépassement : livraison à valider par la direction",IF(J19&gt;=0.8,"Proche du plafond","OK")))</f>
        <v/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2" t="n"/>
      <c r="I20" s="23">
        <f>IF(A20="","",SUMIFS(Commandes!$O:$O,Commandes!$C:$C,A20))</f>
        <v/>
      </c>
      <c r="J20" s="24">
        <f>IF(A20="","",IFERROR(I20/IF(H20="",Paramètres!$B$10,H20),""))</f>
        <v/>
      </c>
      <c r="K20" s="23">
        <f>IF(A20="","",SUMIFS(Commandes!$O:$O,Commandes!$C:$C,A20,Commandes!$P:$P,"&gt;0"))</f>
        <v/>
      </c>
      <c r="L20" s="25">
        <f>IF(A20="","",IF(I20&gt;IF(H20="",Paramètres!$B$10,H20),"Dépassement : livraison à valider par la direction",IF(J20&gt;=0.8,"Proche du plafond","OK")))</f>
        <v/>
      </c>
    </row>
    <row r="21">
      <c r="A21" s="21" t="n"/>
      <c r="B21" s="21" t="n"/>
      <c r="C21" s="21" t="n"/>
      <c r="D21" s="21" t="n"/>
      <c r="E21" s="21" t="n"/>
      <c r="F21" s="21" t="n"/>
      <c r="G21" s="21" t="n"/>
      <c r="H21" s="22" t="n"/>
      <c r="I21" s="23">
        <f>IF(A21="","",SUMIFS(Commandes!$O:$O,Commandes!$C:$C,A21))</f>
        <v/>
      </c>
      <c r="J21" s="24">
        <f>IF(A21="","",IFERROR(I21/IF(H21="",Paramètres!$B$10,H21),""))</f>
        <v/>
      </c>
      <c r="K21" s="23">
        <f>IF(A21="","",SUMIFS(Commandes!$O:$O,Commandes!$C:$C,A21,Commandes!$P:$P,"&gt;0"))</f>
        <v/>
      </c>
      <c r="L21" s="25">
        <f>IF(A21="","",IF(I21&gt;IF(H21="",Paramètres!$B$10,H21),"Dépassement : livraison à valider par la direction",IF(J21&gt;=0.8,"Proche du plafond","OK")))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2" t="n"/>
      <c r="I22" s="23">
        <f>IF(A22="","",SUMIFS(Commandes!$O:$O,Commandes!$C:$C,A22))</f>
        <v/>
      </c>
      <c r="J22" s="24">
        <f>IF(A22="","",IFERROR(I22/IF(H22="",Paramètres!$B$10,H22),""))</f>
        <v/>
      </c>
      <c r="K22" s="23">
        <f>IF(A22="","",SUMIFS(Commandes!$O:$O,Commandes!$C:$C,A22,Commandes!$P:$P,"&gt;0"))</f>
        <v/>
      </c>
      <c r="L22" s="25">
        <f>IF(A22="","",IF(I22&gt;IF(H22="",Paramètres!$B$10,H22),"Dépassement : livraison à valider par la direction",IF(J22&gt;=0.8,"Proche du plafond","OK")))</f>
        <v/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2" t="n"/>
      <c r="I23" s="23">
        <f>IF(A23="","",SUMIFS(Commandes!$O:$O,Commandes!$C:$C,A23))</f>
        <v/>
      </c>
      <c r="J23" s="24">
        <f>IF(A23="","",IFERROR(I23/IF(H23="",Paramètres!$B$10,H23),""))</f>
        <v/>
      </c>
      <c r="K23" s="23">
        <f>IF(A23="","",SUMIFS(Commandes!$O:$O,Commandes!$C:$C,A23,Commandes!$P:$P,"&gt;0"))</f>
        <v/>
      </c>
      <c r="L23" s="25">
        <f>IF(A23="","",IF(I23&gt;IF(H23="",Paramètres!$B$10,H23),"Dépassement : livraison à valider par la direction",IF(J23&gt;=0.8,"Proche du plafond","OK")))</f>
        <v/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2" t="n"/>
      <c r="I24" s="23">
        <f>IF(A24="","",SUMIFS(Commandes!$O:$O,Commandes!$C:$C,A24))</f>
        <v/>
      </c>
      <c r="J24" s="24">
        <f>IF(A24="","",IFERROR(I24/IF(H24="",Paramètres!$B$10,H24),""))</f>
        <v/>
      </c>
      <c r="K24" s="23">
        <f>IF(A24="","",SUMIFS(Commandes!$O:$O,Commandes!$C:$C,A24,Commandes!$P:$P,"&gt;0"))</f>
        <v/>
      </c>
      <c r="L24" s="25">
        <f>IF(A24="","",IF(I24&gt;IF(H24="",Paramètres!$B$10,H24),"Dépassement : livraison à valider par la direction",IF(J24&gt;=0.8,"Proche du plafond","OK")))</f>
        <v/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2" t="n"/>
      <c r="I25" s="23">
        <f>IF(A25="","",SUMIFS(Commandes!$O:$O,Commandes!$C:$C,A25))</f>
        <v/>
      </c>
      <c r="J25" s="24">
        <f>IF(A25="","",IFERROR(I25/IF(H25="",Paramètres!$B$10,H25),""))</f>
        <v/>
      </c>
      <c r="K25" s="23">
        <f>IF(A25="","",SUMIFS(Commandes!$O:$O,Commandes!$C:$C,A25,Commandes!$P:$P,"&gt;0"))</f>
        <v/>
      </c>
      <c r="L25" s="25">
        <f>IF(A25="","",IF(I25&gt;IF(H25="",Paramètres!$B$10,H25),"Dépassement : livraison à valider par la direction",IF(J25&gt;=0.8,"Proche du plafond","OK")))</f>
        <v/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2" t="n"/>
      <c r="I26" s="23">
        <f>IF(A26="","",SUMIFS(Commandes!$O:$O,Commandes!$C:$C,A26))</f>
        <v/>
      </c>
      <c r="J26" s="24">
        <f>IF(A26="","",IFERROR(I26/IF(H26="",Paramètres!$B$10,H26),""))</f>
        <v/>
      </c>
      <c r="K26" s="23">
        <f>IF(A26="","",SUMIFS(Commandes!$O:$O,Commandes!$C:$C,A26,Commandes!$P:$P,"&gt;0"))</f>
        <v/>
      </c>
      <c r="L26" s="25">
        <f>IF(A26="","",IF(I26&gt;IF(H26="",Paramètres!$B$10,H26),"Dépassement : livraison à valider par la direction",IF(J26&gt;=0.8,"Proche du plafond","OK")))</f>
        <v/>
      </c>
    </row>
    <row r="27">
      <c r="A27" s="21" t="n"/>
      <c r="B27" s="21" t="n"/>
      <c r="C27" s="21" t="n"/>
      <c r="D27" s="21" t="n"/>
      <c r="E27" s="21" t="n"/>
      <c r="F27" s="21" t="n"/>
      <c r="G27" s="21" t="n"/>
      <c r="H27" s="22" t="n"/>
      <c r="I27" s="23">
        <f>IF(A27="","",SUMIFS(Commandes!$O:$O,Commandes!$C:$C,A27))</f>
        <v/>
      </c>
      <c r="J27" s="24">
        <f>IF(A27="","",IFERROR(I27/IF(H27="",Paramètres!$B$10,H27),""))</f>
        <v/>
      </c>
      <c r="K27" s="23">
        <f>IF(A27="","",SUMIFS(Commandes!$O:$O,Commandes!$C:$C,A27,Commandes!$P:$P,"&gt;0"))</f>
        <v/>
      </c>
      <c r="L27" s="25">
        <f>IF(A27="","",IF(I27&gt;IF(H27="",Paramètres!$B$10,H27),"Dépassement : livraison à valider par la direction",IF(J27&gt;=0.8,"Proche du plafond","OK")))</f>
        <v/>
      </c>
    </row>
    <row r="28">
      <c r="A28" s="21" t="n"/>
      <c r="B28" s="21" t="n"/>
      <c r="C28" s="21" t="n"/>
      <c r="D28" s="21" t="n"/>
      <c r="E28" s="21" t="n"/>
      <c r="F28" s="21" t="n"/>
      <c r="G28" s="21" t="n"/>
      <c r="H28" s="22" t="n"/>
      <c r="I28" s="23">
        <f>IF(A28="","",SUMIFS(Commandes!$O:$O,Commandes!$C:$C,A28))</f>
        <v/>
      </c>
      <c r="J28" s="24">
        <f>IF(A28="","",IFERROR(I28/IF(H28="",Paramètres!$B$10,H28),""))</f>
        <v/>
      </c>
      <c r="K28" s="23">
        <f>IF(A28="","",SUMIFS(Commandes!$O:$O,Commandes!$C:$C,A28,Commandes!$P:$P,"&gt;0"))</f>
        <v/>
      </c>
      <c r="L28" s="25">
        <f>IF(A28="","",IF(I28&gt;IF(H28="",Paramètres!$B$10,H28),"Dépassement : livraison à valider par la direction",IF(J28&gt;=0.8,"Proche du plafond","OK")))</f>
        <v/>
      </c>
    </row>
    <row r="29">
      <c r="A29" s="21" t="n"/>
      <c r="B29" s="21" t="n"/>
      <c r="C29" s="21" t="n"/>
      <c r="D29" s="21" t="n"/>
      <c r="E29" s="21" t="n"/>
      <c r="F29" s="21" t="n"/>
      <c r="G29" s="21" t="n"/>
      <c r="H29" s="22" t="n"/>
      <c r="I29" s="23">
        <f>IF(A29="","",SUMIFS(Commandes!$O:$O,Commandes!$C:$C,A29))</f>
        <v/>
      </c>
      <c r="J29" s="24">
        <f>IF(A29="","",IFERROR(I29/IF(H29="",Paramètres!$B$10,H29),""))</f>
        <v/>
      </c>
      <c r="K29" s="23">
        <f>IF(A29="","",SUMIFS(Commandes!$O:$O,Commandes!$C:$C,A29,Commandes!$P:$P,"&gt;0"))</f>
        <v/>
      </c>
      <c r="L29" s="25">
        <f>IF(A29="","",IF(I29&gt;IF(H29="",Paramètres!$B$10,H29),"Dépassement : livraison à valider par la direction",IF(J29&gt;=0.8,"Proche du plafond","OK")))</f>
        <v/>
      </c>
    </row>
    <row r="30">
      <c r="A30" s="21" t="n"/>
      <c r="B30" s="21" t="n"/>
      <c r="C30" s="21" t="n"/>
      <c r="D30" s="21" t="n"/>
      <c r="E30" s="21" t="n"/>
      <c r="F30" s="21" t="n"/>
      <c r="G30" s="21" t="n"/>
      <c r="H30" s="22" t="n"/>
      <c r="I30" s="23">
        <f>IF(A30="","",SUMIFS(Commandes!$O:$O,Commandes!$C:$C,A30))</f>
        <v/>
      </c>
      <c r="J30" s="24">
        <f>IF(A30="","",IFERROR(I30/IF(H30="",Paramètres!$B$10,H30),""))</f>
        <v/>
      </c>
      <c r="K30" s="23">
        <f>IF(A30="","",SUMIFS(Commandes!$O:$O,Commandes!$C:$C,A30,Commandes!$P:$P,"&gt;0"))</f>
        <v/>
      </c>
      <c r="L30" s="25">
        <f>IF(A30="","",IF(I30&gt;IF(H30="",Paramètres!$B$10,H30),"Dépassement : livraison à valider par la direction",IF(J30&gt;=0.8,"Proche du plafond","OK")))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  <c r="H31" s="22" t="n"/>
      <c r="I31" s="23">
        <f>IF(A31="","",SUMIFS(Commandes!$O:$O,Commandes!$C:$C,A31))</f>
        <v/>
      </c>
      <c r="J31" s="24">
        <f>IF(A31="","",IFERROR(I31/IF(H31="",Paramètres!$B$10,H31),""))</f>
        <v/>
      </c>
      <c r="K31" s="23">
        <f>IF(A31="","",SUMIFS(Commandes!$O:$O,Commandes!$C:$C,A31,Commandes!$P:$P,"&gt;0"))</f>
        <v/>
      </c>
      <c r="L31" s="25">
        <f>IF(A31="","",IF(I31&gt;IF(H31="",Paramètres!$B$10,H31),"Dépassement : livraison à valider par la direction",IF(J31&gt;=0.8,"Proche du plafond","OK")))</f>
        <v/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2" t="n"/>
      <c r="I32" s="23">
        <f>IF(A32="","",SUMIFS(Commandes!$O:$O,Commandes!$C:$C,A32))</f>
        <v/>
      </c>
      <c r="J32" s="24">
        <f>IF(A32="","",IFERROR(I32/IF(H32="",Paramètres!$B$10,H32),""))</f>
        <v/>
      </c>
      <c r="K32" s="23">
        <f>IF(A32="","",SUMIFS(Commandes!$O:$O,Commandes!$C:$C,A32,Commandes!$P:$P,"&gt;0"))</f>
        <v/>
      </c>
      <c r="L32" s="25">
        <f>IF(A32="","",IF(I32&gt;IF(H32="",Paramètres!$B$10,H32),"Dépassement : livraison à valider par la direction",IF(J32&gt;=0.8,"Proche du plafond","OK")))</f>
        <v/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2" t="n"/>
      <c r="I33" s="23">
        <f>IF(A33="","",SUMIFS(Commandes!$O:$O,Commandes!$C:$C,A33))</f>
        <v/>
      </c>
      <c r="J33" s="24">
        <f>IF(A33="","",IFERROR(I33/IF(H33="",Paramètres!$B$10,H33),""))</f>
        <v/>
      </c>
      <c r="K33" s="23">
        <f>IF(A33="","",SUMIFS(Commandes!$O:$O,Commandes!$C:$C,A33,Commandes!$P:$P,"&gt;0"))</f>
        <v/>
      </c>
      <c r="L33" s="25">
        <f>IF(A33="","",IF(I33&gt;IF(H33="",Paramètres!$B$10,H33),"Dépassement : livraison à valider par la direction",IF(J33&gt;=0.8,"Proche du plafond","OK")))</f>
        <v/>
      </c>
    </row>
    <row r="34">
      <c r="A34" s="21" t="n"/>
      <c r="B34" s="21" t="n"/>
      <c r="C34" s="21" t="n"/>
      <c r="D34" s="21" t="n"/>
      <c r="E34" s="21" t="n"/>
      <c r="F34" s="21" t="n"/>
      <c r="G34" s="21" t="n"/>
      <c r="H34" s="22" t="n"/>
      <c r="I34" s="23">
        <f>IF(A34="","",SUMIFS(Commandes!$O:$O,Commandes!$C:$C,A34))</f>
        <v/>
      </c>
      <c r="J34" s="24">
        <f>IF(A34="","",IFERROR(I34/IF(H34="",Paramètres!$B$10,H34),""))</f>
        <v/>
      </c>
      <c r="K34" s="23">
        <f>IF(A34="","",SUMIFS(Commandes!$O:$O,Commandes!$C:$C,A34,Commandes!$P:$P,"&gt;0"))</f>
        <v/>
      </c>
      <c r="L34" s="25">
        <f>IF(A34="","",IF(I34&gt;IF(H34="",Paramètres!$B$10,H34),"Dépassement : livraison à valider par la direction",IF(J34&gt;=0.8,"Proche du plafond","OK")))</f>
        <v/>
      </c>
    </row>
    <row r="35">
      <c r="A35" s="21" t="n"/>
      <c r="B35" s="21" t="n"/>
      <c r="C35" s="21" t="n"/>
      <c r="D35" s="21" t="n"/>
      <c r="E35" s="21" t="n"/>
      <c r="F35" s="21" t="n"/>
      <c r="G35" s="21" t="n"/>
      <c r="H35" s="22" t="n"/>
      <c r="I35" s="23">
        <f>IF(A35="","",SUMIFS(Commandes!$O:$O,Commandes!$C:$C,A35))</f>
        <v/>
      </c>
      <c r="J35" s="24">
        <f>IF(A35="","",IFERROR(I35/IF(H35="",Paramètres!$B$10,H35),""))</f>
        <v/>
      </c>
      <c r="K35" s="23">
        <f>IF(A35="","",SUMIFS(Commandes!$O:$O,Commandes!$C:$C,A35,Commandes!$P:$P,"&gt;0"))</f>
        <v/>
      </c>
      <c r="L35" s="25">
        <f>IF(A35="","",IF(I35&gt;IF(H35="",Paramètres!$B$10,H35),"Dépassement : livraison à valider par la direction",IF(J35&gt;=0.8,"Proche du plafond","OK")))</f>
        <v/>
      </c>
    </row>
    <row r="36">
      <c r="A36" s="21" t="n"/>
      <c r="B36" s="21" t="n"/>
      <c r="C36" s="21" t="n"/>
      <c r="D36" s="21" t="n"/>
      <c r="E36" s="21" t="n"/>
      <c r="F36" s="21" t="n"/>
      <c r="G36" s="21" t="n"/>
      <c r="H36" s="22" t="n"/>
      <c r="I36" s="23">
        <f>IF(A36="","",SUMIFS(Commandes!$O:$O,Commandes!$C:$C,A36))</f>
        <v/>
      </c>
      <c r="J36" s="24">
        <f>IF(A36="","",IFERROR(I36/IF(H36="",Paramètres!$B$10,H36),""))</f>
        <v/>
      </c>
      <c r="K36" s="23">
        <f>IF(A36="","",SUMIFS(Commandes!$O:$O,Commandes!$C:$C,A36,Commandes!$P:$P,"&gt;0"))</f>
        <v/>
      </c>
      <c r="L36" s="25">
        <f>IF(A36="","",IF(I36&gt;IF(H36="",Paramètres!$B$10,H36),"Dépassement : livraison à valider par la direction",IF(J36&gt;=0.8,"Proche du plafond","OK")))</f>
        <v/>
      </c>
    </row>
    <row r="37">
      <c r="A37" s="21" t="n"/>
      <c r="B37" s="21" t="n"/>
      <c r="C37" s="21" t="n"/>
      <c r="D37" s="21" t="n"/>
      <c r="E37" s="21" t="n"/>
      <c r="F37" s="21" t="n"/>
      <c r="G37" s="21" t="n"/>
      <c r="H37" s="22" t="n"/>
      <c r="I37" s="23">
        <f>IF(A37="","",SUMIFS(Commandes!$O:$O,Commandes!$C:$C,A37))</f>
        <v/>
      </c>
      <c r="J37" s="24">
        <f>IF(A37="","",IFERROR(I37/IF(H37="",Paramètres!$B$10,H37),""))</f>
        <v/>
      </c>
      <c r="K37" s="23">
        <f>IF(A37="","",SUMIFS(Commandes!$O:$O,Commandes!$C:$C,A37,Commandes!$P:$P,"&gt;0"))</f>
        <v/>
      </c>
      <c r="L37" s="25">
        <f>IF(A37="","",IF(I37&gt;IF(H37="",Paramètres!$B$10,H37),"Dépassement : livraison à valider par la direction",IF(J37&gt;=0.8,"Proche du plafond","OK")))</f>
        <v/>
      </c>
    </row>
    <row r="38">
      <c r="A38" s="21" t="n"/>
      <c r="B38" s="21" t="n"/>
      <c r="C38" s="21" t="n"/>
      <c r="D38" s="21" t="n"/>
      <c r="E38" s="21" t="n"/>
      <c r="F38" s="21" t="n"/>
      <c r="G38" s="21" t="n"/>
      <c r="H38" s="22" t="n"/>
      <c r="I38" s="23">
        <f>IF(A38="","",SUMIFS(Commandes!$O:$O,Commandes!$C:$C,A38))</f>
        <v/>
      </c>
      <c r="J38" s="24">
        <f>IF(A38="","",IFERROR(I38/IF(H38="",Paramètres!$B$10,H38),""))</f>
        <v/>
      </c>
      <c r="K38" s="23">
        <f>IF(A38="","",SUMIFS(Commandes!$O:$O,Commandes!$C:$C,A38,Commandes!$P:$P,"&gt;0"))</f>
        <v/>
      </c>
      <c r="L38" s="25">
        <f>IF(A38="","",IF(I38&gt;IF(H38="",Paramètres!$B$10,H38),"Dépassement : livraison à valider par la direction",IF(J38&gt;=0.8,"Proche du plafond","OK")))</f>
        <v/>
      </c>
    </row>
    <row r="39">
      <c r="A39" s="21" t="n"/>
      <c r="B39" s="21" t="n"/>
      <c r="C39" s="21" t="n"/>
      <c r="D39" s="21" t="n"/>
      <c r="E39" s="21" t="n"/>
      <c r="F39" s="21" t="n"/>
      <c r="G39" s="21" t="n"/>
      <c r="H39" s="22" t="n"/>
      <c r="I39" s="23">
        <f>IF(A39="","",SUMIFS(Commandes!$O:$O,Commandes!$C:$C,A39))</f>
        <v/>
      </c>
      <c r="J39" s="24">
        <f>IF(A39="","",IFERROR(I39/IF(H39="",Paramètres!$B$10,H39),""))</f>
        <v/>
      </c>
      <c r="K39" s="23">
        <f>IF(A39="","",SUMIFS(Commandes!$O:$O,Commandes!$C:$C,A39,Commandes!$P:$P,"&gt;0"))</f>
        <v/>
      </c>
      <c r="L39" s="25">
        <f>IF(A39="","",IF(I39&gt;IF(H39="",Paramètres!$B$10,H39),"Dépassement : livraison à valider par la direction",IF(J39&gt;=0.8,"Proche du plafond","OK")))</f>
        <v/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2" t="n"/>
      <c r="I40" s="23">
        <f>IF(A40="","",SUMIFS(Commandes!$O:$O,Commandes!$C:$C,A40))</f>
        <v/>
      </c>
      <c r="J40" s="24">
        <f>IF(A40="","",IFERROR(I40/IF(H40="",Paramètres!$B$10,H40),""))</f>
        <v/>
      </c>
      <c r="K40" s="23">
        <f>IF(A40="","",SUMIFS(Commandes!$O:$O,Commandes!$C:$C,A40,Commandes!$P:$P,"&gt;0"))</f>
        <v/>
      </c>
      <c r="L40" s="25">
        <f>IF(A40="","",IF(I40&gt;IF(H40="",Paramètres!$B$10,H40),"Dépassement : livraison à valider par la direction",IF(J40&gt;=0.8,"Proche du plafond","OK")))</f>
        <v/>
      </c>
    </row>
    <row r="41">
      <c r="A41" s="21" t="n"/>
      <c r="B41" s="21" t="n"/>
      <c r="C41" s="21" t="n"/>
      <c r="D41" s="21" t="n"/>
      <c r="E41" s="21" t="n"/>
      <c r="F41" s="21" t="n"/>
      <c r="G41" s="21" t="n"/>
      <c r="H41" s="22" t="n"/>
      <c r="I41" s="23">
        <f>IF(A41="","",SUMIFS(Commandes!$O:$O,Commandes!$C:$C,A41))</f>
        <v/>
      </c>
      <c r="J41" s="24">
        <f>IF(A41="","",IFERROR(I41/IF(H41="",Paramètres!$B$10,H41),""))</f>
        <v/>
      </c>
      <c r="K41" s="23">
        <f>IF(A41="","",SUMIFS(Commandes!$O:$O,Commandes!$C:$C,A41,Commandes!$P:$P,"&gt;0"))</f>
        <v/>
      </c>
      <c r="L41" s="25">
        <f>IF(A41="","",IF(I41&gt;IF(H41="",Paramètres!$B$10,H41),"Dépassement : livraison à valider par la direction",IF(J41&gt;=0.8,"Proche du plafond","OK")))</f>
        <v/>
      </c>
    </row>
    <row r="42">
      <c r="A42" s="21" t="n"/>
      <c r="B42" s="21" t="n"/>
      <c r="C42" s="21" t="n"/>
      <c r="D42" s="21" t="n"/>
      <c r="E42" s="21" t="n"/>
      <c r="F42" s="21" t="n"/>
      <c r="G42" s="21" t="n"/>
      <c r="H42" s="22" t="n"/>
      <c r="I42" s="23">
        <f>IF(A42="","",SUMIFS(Commandes!$O:$O,Commandes!$C:$C,A42))</f>
        <v/>
      </c>
      <c r="J42" s="24">
        <f>IF(A42="","",IFERROR(I42/IF(H42="",Paramètres!$B$10,H42),""))</f>
        <v/>
      </c>
      <c r="K42" s="23">
        <f>IF(A42="","",SUMIFS(Commandes!$O:$O,Commandes!$C:$C,A42,Commandes!$P:$P,"&gt;0"))</f>
        <v/>
      </c>
      <c r="L42" s="25">
        <f>IF(A42="","",IF(I42&gt;IF(H42="",Paramètres!$B$10,H42),"Dépassement : livraison à valider par la direction",IF(J42&gt;=0.8,"Proche du plafond","OK")))</f>
        <v/>
      </c>
    </row>
    <row r="43">
      <c r="A43" s="21" t="n"/>
      <c r="B43" s="21" t="n"/>
      <c r="C43" s="21" t="n"/>
      <c r="D43" s="21" t="n"/>
      <c r="E43" s="21" t="n"/>
      <c r="F43" s="21" t="n"/>
      <c r="G43" s="21" t="n"/>
      <c r="H43" s="22" t="n"/>
      <c r="I43" s="23">
        <f>IF(A43="","",SUMIFS(Commandes!$O:$O,Commandes!$C:$C,A43))</f>
        <v/>
      </c>
      <c r="J43" s="24">
        <f>IF(A43="","",IFERROR(I43/IF(H43="",Paramètres!$B$10,H43),""))</f>
        <v/>
      </c>
      <c r="K43" s="23">
        <f>IF(A43="","",SUMIFS(Commandes!$O:$O,Commandes!$C:$C,A43,Commandes!$P:$P,"&gt;0"))</f>
        <v/>
      </c>
      <c r="L43" s="25">
        <f>IF(A43="","",IF(I43&gt;IF(H43="",Paramètres!$B$10,H43),"Dépassement : livraison à valider par la direction",IF(J43&gt;=0.8,"Proche du plafond","OK")))</f>
        <v/>
      </c>
    </row>
    <row r="44">
      <c r="A44" s="21" t="n"/>
      <c r="B44" s="21" t="n"/>
      <c r="C44" s="21" t="n"/>
      <c r="D44" s="21" t="n"/>
      <c r="E44" s="21" t="n"/>
      <c r="F44" s="21" t="n"/>
      <c r="G44" s="21" t="n"/>
      <c r="H44" s="22" t="n"/>
      <c r="I44" s="23">
        <f>IF(A44="","",SUMIFS(Commandes!$O:$O,Commandes!$C:$C,A44))</f>
        <v/>
      </c>
      <c r="J44" s="24">
        <f>IF(A44="","",IFERROR(I44/IF(H44="",Paramètres!$B$10,H44),""))</f>
        <v/>
      </c>
      <c r="K44" s="23">
        <f>IF(A44="","",SUMIFS(Commandes!$O:$O,Commandes!$C:$C,A44,Commandes!$P:$P,"&gt;0"))</f>
        <v/>
      </c>
      <c r="L44" s="25">
        <f>IF(A44="","",IF(I44&gt;IF(H44="",Paramètres!$B$10,H44),"Dépassement : livraison à valider par la direction",IF(J44&gt;=0.8,"Proche du plafond","OK")))</f>
        <v/>
      </c>
    </row>
    <row r="45">
      <c r="A45" s="21" t="n"/>
      <c r="B45" s="21" t="n"/>
      <c r="C45" s="21" t="n"/>
      <c r="D45" s="21" t="n"/>
      <c r="E45" s="21" t="n"/>
      <c r="F45" s="21" t="n"/>
      <c r="G45" s="21" t="n"/>
      <c r="H45" s="22" t="n"/>
      <c r="I45" s="23">
        <f>IF(A45="","",SUMIFS(Commandes!$O:$O,Commandes!$C:$C,A45))</f>
        <v/>
      </c>
      <c r="J45" s="24">
        <f>IF(A45="","",IFERROR(I45/IF(H45="",Paramètres!$B$10,H45),""))</f>
        <v/>
      </c>
      <c r="K45" s="23">
        <f>IF(A45="","",SUMIFS(Commandes!$O:$O,Commandes!$C:$C,A45,Commandes!$P:$P,"&gt;0"))</f>
        <v/>
      </c>
      <c r="L45" s="25">
        <f>IF(A45="","",IF(I45&gt;IF(H45="",Paramètres!$B$10,H45),"Dépassement : livraison à valider par la direction",IF(J45&gt;=0.8,"Proche du plafond","OK")))</f>
        <v/>
      </c>
    </row>
    <row r="46">
      <c r="A46" s="21" t="n"/>
      <c r="B46" s="21" t="n"/>
      <c r="C46" s="21" t="n"/>
      <c r="D46" s="21" t="n"/>
      <c r="E46" s="21" t="n"/>
      <c r="F46" s="21" t="n"/>
      <c r="G46" s="21" t="n"/>
      <c r="H46" s="22" t="n"/>
      <c r="I46" s="23">
        <f>IF(A46="","",SUMIFS(Commandes!$O:$O,Commandes!$C:$C,A46))</f>
        <v/>
      </c>
      <c r="J46" s="24">
        <f>IF(A46="","",IFERROR(I46/IF(H46="",Paramètres!$B$10,H46),""))</f>
        <v/>
      </c>
      <c r="K46" s="23">
        <f>IF(A46="","",SUMIFS(Commandes!$O:$O,Commandes!$C:$C,A46,Commandes!$P:$P,"&gt;0"))</f>
        <v/>
      </c>
      <c r="L46" s="25">
        <f>IF(A46="","",IF(I46&gt;IF(H46="",Paramètres!$B$10,H46),"Dépassement : livraison à valider par la direction",IF(J46&gt;=0.8,"Proche du plafond","OK")))</f>
        <v/>
      </c>
    </row>
    <row r="47">
      <c r="A47" s="21" t="n"/>
      <c r="B47" s="21" t="n"/>
      <c r="C47" s="21" t="n"/>
      <c r="D47" s="21" t="n"/>
      <c r="E47" s="21" t="n"/>
      <c r="F47" s="21" t="n"/>
      <c r="G47" s="21" t="n"/>
      <c r="H47" s="22" t="n"/>
      <c r="I47" s="23">
        <f>IF(A47="","",SUMIFS(Commandes!$O:$O,Commandes!$C:$C,A47))</f>
        <v/>
      </c>
      <c r="J47" s="24">
        <f>IF(A47="","",IFERROR(I47/IF(H47="",Paramètres!$B$10,H47),""))</f>
        <v/>
      </c>
      <c r="K47" s="23">
        <f>IF(A47="","",SUMIFS(Commandes!$O:$O,Commandes!$C:$C,A47,Commandes!$P:$P,"&gt;0"))</f>
        <v/>
      </c>
      <c r="L47" s="25">
        <f>IF(A47="","",IF(I47&gt;IF(H47="",Paramètres!$B$10,H47),"Dépassement : livraison à valider par la direction",IF(J47&gt;=0.8,"Proche du plafond","OK")))</f>
        <v/>
      </c>
    </row>
    <row r="48">
      <c r="A48" s="21" t="n"/>
      <c r="B48" s="21" t="n"/>
      <c r="C48" s="21" t="n"/>
      <c r="D48" s="21" t="n"/>
      <c r="E48" s="21" t="n"/>
      <c r="F48" s="21" t="n"/>
      <c r="G48" s="21" t="n"/>
      <c r="H48" s="22" t="n"/>
      <c r="I48" s="23">
        <f>IF(A48="","",SUMIFS(Commandes!$O:$O,Commandes!$C:$C,A48))</f>
        <v/>
      </c>
      <c r="J48" s="24">
        <f>IF(A48="","",IFERROR(I48/IF(H48="",Paramètres!$B$10,H48),""))</f>
        <v/>
      </c>
      <c r="K48" s="23">
        <f>IF(A48="","",SUMIFS(Commandes!$O:$O,Commandes!$C:$C,A48,Commandes!$P:$P,"&gt;0"))</f>
        <v/>
      </c>
      <c r="L48" s="25">
        <f>IF(A48="","",IF(I48&gt;IF(H48="",Paramètres!$B$10,H48),"Dépassement : livraison à valider par la direction",IF(J48&gt;=0.8,"Proche du plafond","OK")))</f>
        <v/>
      </c>
    </row>
    <row r="49">
      <c r="A49" s="21" t="n"/>
      <c r="B49" s="21" t="n"/>
      <c r="C49" s="21" t="n"/>
      <c r="D49" s="21" t="n"/>
      <c r="E49" s="21" t="n"/>
      <c r="F49" s="21" t="n"/>
      <c r="G49" s="21" t="n"/>
      <c r="H49" s="22" t="n"/>
      <c r="I49" s="23">
        <f>IF(A49="","",SUMIFS(Commandes!$O:$O,Commandes!$C:$C,A49))</f>
        <v/>
      </c>
      <c r="J49" s="24">
        <f>IF(A49="","",IFERROR(I49/IF(H49="",Paramètres!$B$10,H49),""))</f>
        <v/>
      </c>
      <c r="K49" s="23">
        <f>IF(A49="","",SUMIFS(Commandes!$O:$O,Commandes!$C:$C,A49,Commandes!$P:$P,"&gt;0"))</f>
        <v/>
      </c>
      <c r="L49" s="25">
        <f>IF(A49="","",IF(I49&gt;IF(H49="",Paramètres!$B$10,H49),"Dépassement : livraison à valider par la direction",IF(J49&gt;=0.8,"Proche du plafond","OK")))</f>
        <v/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2" t="n"/>
      <c r="I50" s="23">
        <f>IF(A50="","",SUMIFS(Commandes!$O:$O,Commandes!$C:$C,A50))</f>
        <v/>
      </c>
      <c r="J50" s="24">
        <f>IF(A50="","",IFERROR(I50/IF(H50="",Paramètres!$B$10,H50),""))</f>
        <v/>
      </c>
      <c r="K50" s="23">
        <f>IF(A50="","",SUMIFS(Commandes!$O:$O,Commandes!$C:$C,A50,Commandes!$P:$P,"&gt;0"))</f>
        <v/>
      </c>
      <c r="L50" s="25">
        <f>IF(A50="","",IF(I50&gt;IF(H50="",Paramètres!$B$10,H50),"Dépassement : livraison à valider par la direction",IF(J50&gt;=0.8,"Proche du plafond","OK")))</f>
        <v/>
      </c>
    </row>
    <row r="51">
      <c r="A51" s="21" t="n"/>
      <c r="B51" s="21" t="n"/>
      <c r="C51" s="21" t="n"/>
      <c r="D51" s="21" t="n"/>
      <c r="E51" s="21" t="n"/>
      <c r="F51" s="21" t="n"/>
      <c r="G51" s="21" t="n"/>
      <c r="H51" s="22" t="n"/>
      <c r="I51" s="23">
        <f>IF(A51="","",SUMIFS(Commandes!$O:$O,Commandes!$C:$C,A51))</f>
        <v/>
      </c>
      <c r="J51" s="24">
        <f>IF(A51="","",IFERROR(I51/IF(H51="",Paramètres!$B$10,H51),""))</f>
        <v/>
      </c>
      <c r="K51" s="23">
        <f>IF(A51="","",SUMIFS(Commandes!$O:$O,Commandes!$C:$C,A51,Commandes!$P:$P,"&gt;0"))</f>
        <v/>
      </c>
      <c r="L51" s="25">
        <f>IF(A51="","",IF(I51&gt;IF(H51="",Paramètres!$B$10,H51),"Dépassement : livraison à valider par la direction",IF(J51&gt;=0.8,"Proche du plafond","OK")))</f>
        <v/>
      </c>
    </row>
    <row r="52">
      <c r="A52" s="21" t="n"/>
      <c r="B52" s="21" t="n"/>
      <c r="C52" s="21" t="n"/>
      <c r="D52" s="21" t="n"/>
      <c r="E52" s="21" t="n"/>
      <c r="F52" s="21" t="n"/>
      <c r="G52" s="21" t="n"/>
      <c r="H52" s="22" t="n"/>
      <c r="I52" s="23">
        <f>IF(A52="","",SUMIFS(Commandes!$O:$O,Commandes!$C:$C,A52))</f>
        <v/>
      </c>
      <c r="J52" s="24">
        <f>IF(A52="","",IFERROR(I52/IF(H52="",Paramètres!$B$10,H52),""))</f>
        <v/>
      </c>
      <c r="K52" s="23">
        <f>IF(A52="","",SUMIFS(Commandes!$O:$O,Commandes!$C:$C,A52,Commandes!$P:$P,"&gt;0"))</f>
        <v/>
      </c>
      <c r="L52" s="25">
        <f>IF(A52="","",IF(I52&gt;IF(H52="",Paramètres!$B$10,H52),"Dépassement : livraison à valider par la direction",IF(J52&gt;=0.8,"Proche du plafond","OK")))</f>
        <v/>
      </c>
    </row>
    <row r="53">
      <c r="A53" s="21" t="n"/>
      <c r="B53" s="21" t="n"/>
      <c r="C53" s="21" t="n"/>
      <c r="D53" s="21" t="n"/>
      <c r="E53" s="21" t="n"/>
      <c r="F53" s="21" t="n"/>
      <c r="G53" s="21" t="n"/>
      <c r="H53" s="22" t="n"/>
      <c r="I53" s="23">
        <f>IF(A53="","",SUMIFS(Commandes!$O:$O,Commandes!$C:$C,A53))</f>
        <v/>
      </c>
      <c r="J53" s="24">
        <f>IF(A53="","",IFERROR(I53/IF(H53="",Paramètres!$B$10,H53),""))</f>
        <v/>
      </c>
      <c r="K53" s="23">
        <f>IF(A53="","",SUMIFS(Commandes!$O:$O,Commandes!$C:$C,A53,Commandes!$P:$P,"&gt;0"))</f>
        <v/>
      </c>
      <c r="L53" s="25">
        <f>IF(A53="","",IF(I53&gt;IF(H53="",Paramètres!$B$10,H53),"Dépassement : livraison à valider par la direction",IF(J53&gt;=0.8,"Proche du plafond","OK")))</f>
        <v/>
      </c>
    </row>
    <row r="54">
      <c r="A54" s="21" t="n"/>
      <c r="B54" s="21" t="n"/>
      <c r="C54" s="21" t="n"/>
      <c r="D54" s="21" t="n"/>
      <c r="E54" s="21" t="n"/>
      <c r="F54" s="21" t="n"/>
      <c r="G54" s="21" t="n"/>
      <c r="H54" s="22" t="n"/>
      <c r="I54" s="23">
        <f>IF(A54="","",SUMIFS(Commandes!$O:$O,Commandes!$C:$C,A54))</f>
        <v/>
      </c>
      <c r="J54" s="24">
        <f>IF(A54="","",IFERROR(I54/IF(H54="",Paramètres!$B$10,H54),""))</f>
        <v/>
      </c>
      <c r="K54" s="23">
        <f>IF(A54="","",SUMIFS(Commandes!$O:$O,Commandes!$C:$C,A54,Commandes!$P:$P,"&gt;0"))</f>
        <v/>
      </c>
      <c r="L54" s="25">
        <f>IF(A54="","",IF(I54&gt;IF(H54="",Paramètres!$B$10,H54),"Dépassement : livraison à valider par la direction",IF(J54&gt;=0.8,"Proche du plafond","OK")))</f>
        <v/>
      </c>
    </row>
    <row r="55">
      <c r="A55" s="21" t="n"/>
      <c r="B55" s="21" t="n"/>
      <c r="C55" s="21" t="n"/>
      <c r="D55" s="21" t="n"/>
      <c r="E55" s="21" t="n"/>
      <c r="F55" s="21" t="n"/>
      <c r="G55" s="21" t="n"/>
      <c r="H55" s="22" t="n"/>
      <c r="I55" s="23">
        <f>IF(A55="","",SUMIFS(Commandes!$O:$O,Commandes!$C:$C,A55))</f>
        <v/>
      </c>
      <c r="J55" s="24">
        <f>IF(A55="","",IFERROR(I55/IF(H55="",Paramètres!$B$10,H55),""))</f>
        <v/>
      </c>
      <c r="K55" s="23">
        <f>IF(A55="","",SUMIFS(Commandes!$O:$O,Commandes!$C:$C,A55,Commandes!$P:$P,"&gt;0"))</f>
        <v/>
      </c>
      <c r="L55" s="25">
        <f>IF(A55="","",IF(I55&gt;IF(H55="",Paramètres!$B$10,H55),"Dépassement : livraison à valider par la direction",IF(J55&gt;=0.8,"Proche du plafond","OK")))</f>
        <v/>
      </c>
    </row>
    <row r="56">
      <c r="A56" s="21" t="n"/>
      <c r="B56" s="21" t="n"/>
      <c r="C56" s="21" t="n"/>
      <c r="D56" s="21" t="n"/>
      <c r="E56" s="21" t="n"/>
      <c r="F56" s="21" t="n"/>
      <c r="G56" s="21" t="n"/>
      <c r="H56" s="22" t="n"/>
      <c r="I56" s="23">
        <f>IF(A56="","",SUMIFS(Commandes!$O:$O,Commandes!$C:$C,A56))</f>
        <v/>
      </c>
      <c r="J56" s="24">
        <f>IF(A56="","",IFERROR(I56/IF(H56="",Paramètres!$B$10,H56),""))</f>
        <v/>
      </c>
      <c r="K56" s="23">
        <f>IF(A56="","",SUMIFS(Commandes!$O:$O,Commandes!$C:$C,A56,Commandes!$P:$P,"&gt;0"))</f>
        <v/>
      </c>
      <c r="L56" s="25">
        <f>IF(A56="","",IF(I56&gt;IF(H56="",Paramètres!$B$10,H56),"Dépassement : livraison à valider par la direction",IF(J56&gt;=0.8,"Proche du plafond","OK")))</f>
        <v/>
      </c>
    </row>
    <row r="57">
      <c r="A57" s="21" t="n"/>
      <c r="B57" s="21" t="n"/>
      <c r="C57" s="21" t="n"/>
      <c r="D57" s="21" t="n"/>
      <c r="E57" s="21" t="n"/>
      <c r="F57" s="21" t="n"/>
      <c r="G57" s="21" t="n"/>
      <c r="H57" s="22" t="n"/>
      <c r="I57" s="23">
        <f>IF(A57="","",SUMIFS(Commandes!$O:$O,Commandes!$C:$C,A57))</f>
        <v/>
      </c>
      <c r="J57" s="24">
        <f>IF(A57="","",IFERROR(I57/IF(H57="",Paramètres!$B$10,H57),""))</f>
        <v/>
      </c>
      <c r="K57" s="23">
        <f>IF(A57="","",SUMIFS(Commandes!$O:$O,Commandes!$C:$C,A57,Commandes!$P:$P,"&gt;0"))</f>
        <v/>
      </c>
      <c r="L57" s="25">
        <f>IF(A57="","",IF(I57&gt;IF(H57="",Paramètres!$B$10,H57),"Dépassement : livraison à valider par la direction",IF(J57&gt;=0.8,"Proche du plafond","OK")))</f>
        <v/>
      </c>
    </row>
    <row r="58">
      <c r="A58" s="21" t="n"/>
      <c r="B58" s="21" t="n"/>
      <c r="C58" s="21" t="n"/>
      <c r="D58" s="21" t="n"/>
      <c r="E58" s="21" t="n"/>
      <c r="F58" s="21" t="n"/>
      <c r="G58" s="21" t="n"/>
      <c r="H58" s="22" t="n"/>
      <c r="I58" s="23">
        <f>IF(A58="","",SUMIFS(Commandes!$O:$O,Commandes!$C:$C,A58))</f>
        <v/>
      </c>
      <c r="J58" s="24">
        <f>IF(A58="","",IFERROR(I58/IF(H58="",Paramètres!$B$10,H58),""))</f>
        <v/>
      </c>
      <c r="K58" s="23">
        <f>IF(A58="","",SUMIFS(Commandes!$O:$O,Commandes!$C:$C,A58,Commandes!$P:$P,"&gt;0"))</f>
        <v/>
      </c>
      <c r="L58" s="25">
        <f>IF(A58="","",IF(I58&gt;IF(H58="",Paramètres!$B$10,H58),"Dépassement : livraison à valider par la direction",IF(J58&gt;=0.8,"Proche du plafond","OK")))</f>
        <v/>
      </c>
    </row>
    <row r="59">
      <c r="A59" s="21" t="n"/>
      <c r="B59" s="21" t="n"/>
      <c r="C59" s="21" t="n"/>
      <c r="D59" s="21" t="n"/>
      <c r="E59" s="21" t="n"/>
      <c r="F59" s="21" t="n"/>
      <c r="G59" s="21" t="n"/>
      <c r="H59" s="22" t="n"/>
      <c r="I59" s="23">
        <f>IF(A59="","",SUMIFS(Commandes!$O:$O,Commandes!$C:$C,A59))</f>
        <v/>
      </c>
      <c r="J59" s="24">
        <f>IF(A59="","",IFERROR(I59/IF(H59="",Paramètres!$B$10,H59),""))</f>
        <v/>
      </c>
      <c r="K59" s="23">
        <f>IF(A59="","",SUMIFS(Commandes!$O:$O,Commandes!$C:$C,A59,Commandes!$P:$P,"&gt;0"))</f>
        <v/>
      </c>
      <c r="L59" s="25">
        <f>IF(A59="","",IF(I59&gt;IF(H59="",Paramètres!$B$10,H59),"Dépassement : livraison à valider par la direction",IF(J59&gt;=0.8,"Proche du plafond","OK")))</f>
        <v/>
      </c>
    </row>
    <row r="60">
      <c r="A60" s="21" t="n"/>
      <c r="B60" s="21" t="n"/>
      <c r="C60" s="21" t="n"/>
      <c r="D60" s="21" t="n"/>
      <c r="E60" s="21" t="n"/>
      <c r="F60" s="21" t="n"/>
      <c r="G60" s="21" t="n"/>
      <c r="H60" s="22" t="n"/>
      <c r="I60" s="23">
        <f>IF(A60="","",SUMIFS(Commandes!$O:$O,Commandes!$C:$C,A60))</f>
        <v/>
      </c>
      <c r="J60" s="24">
        <f>IF(A60="","",IFERROR(I60/IF(H60="",Paramètres!$B$10,H60),""))</f>
        <v/>
      </c>
      <c r="K60" s="23">
        <f>IF(A60="","",SUMIFS(Commandes!$O:$O,Commandes!$C:$C,A60,Commandes!$P:$P,"&gt;0"))</f>
        <v/>
      </c>
      <c r="L60" s="25">
        <f>IF(A60="","",IF(I60&gt;IF(H60="",Paramètres!$B$10,H60),"Dépassement : livraison à valider par la direction",IF(J60&gt;=0.8,"Proche du plafond","OK")))</f>
        <v/>
      </c>
    </row>
    <row r="61">
      <c r="A61" s="21" t="n"/>
      <c r="B61" s="21" t="n"/>
      <c r="C61" s="21" t="n"/>
      <c r="D61" s="21" t="n"/>
      <c r="E61" s="21" t="n"/>
      <c r="F61" s="21" t="n"/>
      <c r="G61" s="21" t="n"/>
      <c r="H61" s="22" t="n"/>
      <c r="I61" s="23">
        <f>IF(A61="","",SUMIFS(Commandes!$O:$O,Commandes!$C:$C,A61))</f>
        <v/>
      </c>
      <c r="J61" s="24">
        <f>IF(A61="","",IFERROR(I61/IF(H61="",Paramètres!$B$10,H61),""))</f>
        <v/>
      </c>
      <c r="K61" s="23">
        <f>IF(A61="","",SUMIFS(Commandes!$O:$O,Commandes!$C:$C,A61,Commandes!$P:$P,"&gt;0"))</f>
        <v/>
      </c>
      <c r="L61" s="25">
        <f>IF(A61="","",IF(I61&gt;IF(H61="",Paramètres!$B$10,H61),"Dépassement : livraison à valider par la direction",IF(J61&gt;=0.8,"Proche du plafond","OK")))</f>
        <v/>
      </c>
    </row>
    <row r="62">
      <c r="A62" s="21" t="n"/>
      <c r="B62" s="21" t="n"/>
      <c r="C62" s="21" t="n"/>
      <c r="D62" s="21" t="n"/>
      <c r="E62" s="21" t="n"/>
      <c r="F62" s="21" t="n"/>
      <c r="G62" s="21" t="n"/>
      <c r="H62" s="22" t="n"/>
      <c r="I62" s="23">
        <f>IF(A62="","",SUMIFS(Commandes!$O:$O,Commandes!$C:$C,A62))</f>
        <v/>
      </c>
      <c r="J62" s="24">
        <f>IF(A62="","",IFERROR(I62/IF(H62="",Paramètres!$B$10,H62),""))</f>
        <v/>
      </c>
      <c r="K62" s="23">
        <f>IF(A62="","",SUMIFS(Commandes!$O:$O,Commandes!$C:$C,A62,Commandes!$P:$P,"&gt;0"))</f>
        <v/>
      </c>
      <c r="L62" s="25">
        <f>IF(A62="","",IF(I62&gt;IF(H62="",Paramètres!$B$10,H62),"Dépassement : livraison à valider par la direction",IF(J62&gt;=0.8,"Proche du plafond","OK")))</f>
        <v/>
      </c>
    </row>
    <row r="63">
      <c r="A63" s="21" t="n"/>
      <c r="B63" s="21" t="n"/>
      <c r="C63" s="21" t="n"/>
      <c r="D63" s="21" t="n"/>
      <c r="E63" s="21" t="n"/>
      <c r="F63" s="21" t="n"/>
      <c r="G63" s="21" t="n"/>
      <c r="H63" s="22" t="n"/>
      <c r="I63" s="23">
        <f>IF(A63="","",SUMIFS(Commandes!$O:$O,Commandes!$C:$C,A63))</f>
        <v/>
      </c>
      <c r="J63" s="24">
        <f>IF(A63="","",IFERROR(I63/IF(H63="",Paramètres!$B$10,H63),""))</f>
        <v/>
      </c>
      <c r="K63" s="23">
        <f>IF(A63="","",SUMIFS(Commandes!$O:$O,Commandes!$C:$C,A63,Commandes!$P:$P,"&gt;0"))</f>
        <v/>
      </c>
      <c r="L63" s="25">
        <f>IF(A63="","",IF(I63&gt;IF(H63="",Paramètres!$B$10,H63),"Dépassement : livraison à valider par la direction",IF(J63&gt;=0.8,"Proche du plafond","OK")))</f>
        <v/>
      </c>
    </row>
    <row r="64">
      <c r="A64" s="21" t="n"/>
      <c r="B64" s="21" t="n"/>
      <c r="C64" s="21" t="n"/>
      <c r="D64" s="21" t="n"/>
      <c r="E64" s="21" t="n"/>
      <c r="F64" s="21" t="n"/>
      <c r="G64" s="21" t="n"/>
      <c r="H64" s="22" t="n"/>
      <c r="I64" s="23">
        <f>IF(A64="","",SUMIFS(Commandes!$O:$O,Commandes!$C:$C,A64))</f>
        <v/>
      </c>
      <c r="J64" s="24">
        <f>IF(A64="","",IFERROR(I64/IF(H64="",Paramètres!$B$10,H64),""))</f>
        <v/>
      </c>
      <c r="K64" s="23">
        <f>IF(A64="","",SUMIFS(Commandes!$O:$O,Commandes!$C:$C,A64,Commandes!$P:$P,"&gt;0"))</f>
        <v/>
      </c>
      <c r="L64" s="25">
        <f>IF(A64="","",IF(I64&gt;IF(H64="",Paramètres!$B$10,H64),"Dépassement : livraison à valider par la direction",IF(J64&gt;=0.8,"Proche du plafond","OK")))</f>
        <v/>
      </c>
    </row>
    <row r="65">
      <c r="A65" s="21" t="n"/>
      <c r="B65" s="21" t="n"/>
      <c r="C65" s="21" t="n"/>
      <c r="D65" s="21" t="n"/>
      <c r="E65" s="21" t="n"/>
      <c r="F65" s="21" t="n"/>
      <c r="G65" s="21" t="n"/>
      <c r="H65" s="22" t="n"/>
      <c r="I65" s="23">
        <f>IF(A65="","",SUMIFS(Commandes!$O:$O,Commandes!$C:$C,A65))</f>
        <v/>
      </c>
      <c r="J65" s="24">
        <f>IF(A65="","",IFERROR(I65/IF(H65="",Paramètres!$B$10,H65),""))</f>
        <v/>
      </c>
      <c r="K65" s="23">
        <f>IF(A65="","",SUMIFS(Commandes!$O:$O,Commandes!$C:$C,A65,Commandes!$P:$P,"&gt;0"))</f>
        <v/>
      </c>
      <c r="L65" s="25">
        <f>IF(A65="","",IF(I65&gt;IF(H65="",Paramètres!$B$10,H65),"Dépassement : livraison à valider par la direction",IF(J65&gt;=0.8,"Proche du plafond","OK")))</f>
        <v/>
      </c>
    </row>
    <row r="66">
      <c r="A66" s="21" t="n"/>
      <c r="B66" s="21" t="n"/>
      <c r="C66" s="21" t="n"/>
      <c r="D66" s="21" t="n"/>
      <c r="E66" s="21" t="n"/>
      <c r="F66" s="21" t="n"/>
      <c r="G66" s="21" t="n"/>
      <c r="H66" s="22" t="n"/>
      <c r="I66" s="23">
        <f>IF(A66="","",SUMIFS(Commandes!$O:$O,Commandes!$C:$C,A66))</f>
        <v/>
      </c>
      <c r="J66" s="24">
        <f>IF(A66="","",IFERROR(I66/IF(H66="",Paramètres!$B$10,H66),""))</f>
        <v/>
      </c>
      <c r="K66" s="23">
        <f>IF(A66="","",SUMIFS(Commandes!$O:$O,Commandes!$C:$C,A66,Commandes!$P:$P,"&gt;0"))</f>
        <v/>
      </c>
      <c r="L66" s="25">
        <f>IF(A66="","",IF(I66&gt;IF(H66="",Paramètres!$B$10,H66),"Dépassement : livraison à valider par la direction",IF(J66&gt;=0.8,"Proche du plafond","OK")))</f>
        <v/>
      </c>
    </row>
    <row r="67">
      <c r="A67" s="21" t="n"/>
      <c r="B67" s="21" t="n"/>
      <c r="C67" s="21" t="n"/>
      <c r="D67" s="21" t="n"/>
      <c r="E67" s="21" t="n"/>
      <c r="F67" s="21" t="n"/>
      <c r="G67" s="21" t="n"/>
      <c r="H67" s="22" t="n"/>
      <c r="I67" s="23">
        <f>IF(A67="","",SUMIFS(Commandes!$O:$O,Commandes!$C:$C,A67))</f>
        <v/>
      </c>
      <c r="J67" s="24">
        <f>IF(A67="","",IFERROR(I67/IF(H67="",Paramètres!$B$10,H67),""))</f>
        <v/>
      </c>
      <c r="K67" s="23">
        <f>IF(A67="","",SUMIFS(Commandes!$O:$O,Commandes!$C:$C,A67,Commandes!$P:$P,"&gt;0"))</f>
        <v/>
      </c>
      <c r="L67" s="25">
        <f>IF(A67="","",IF(I67&gt;IF(H67="",Paramètres!$B$10,H67),"Dépassement : livraison à valider par la direction",IF(J67&gt;=0.8,"Proche du plafond","OK")))</f>
        <v/>
      </c>
    </row>
    <row r="68">
      <c r="A68" s="21" t="n"/>
      <c r="B68" s="21" t="n"/>
      <c r="C68" s="21" t="n"/>
      <c r="D68" s="21" t="n"/>
      <c r="E68" s="21" t="n"/>
      <c r="F68" s="21" t="n"/>
      <c r="G68" s="21" t="n"/>
      <c r="H68" s="22" t="n"/>
      <c r="I68" s="23">
        <f>IF(A68="","",SUMIFS(Commandes!$O:$O,Commandes!$C:$C,A68))</f>
        <v/>
      </c>
      <c r="J68" s="24">
        <f>IF(A68="","",IFERROR(I68/IF(H68="",Paramètres!$B$10,H68),""))</f>
        <v/>
      </c>
      <c r="K68" s="23">
        <f>IF(A68="","",SUMIFS(Commandes!$O:$O,Commandes!$C:$C,A68,Commandes!$P:$P,"&gt;0"))</f>
        <v/>
      </c>
      <c r="L68" s="25">
        <f>IF(A68="","",IF(I68&gt;IF(H68="",Paramètres!$B$10,H68),"Dépassement : livraison à valider par la direction",IF(J68&gt;=0.8,"Proche du plafond","OK")))</f>
        <v/>
      </c>
    </row>
    <row r="69">
      <c r="A69" s="21" t="n"/>
      <c r="B69" s="21" t="n"/>
      <c r="C69" s="21" t="n"/>
      <c r="D69" s="21" t="n"/>
      <c r="E69" s="21" t="n"/>
      <c r="F69" s="21" t="n"/>
      <c r="G69" s="21" t="n"/>
      <c r="H69" s="22" t="n"/>
      <c r="I69" s="23">
        <f>IF(A69="","",SUMIFS(Commandes!$O:$O,Commandes!$C:$C,A69))</f>
        <v/>
      </c>
      <c r="J69" s="24">
        <f>IF(A69="","",IFERROR(I69/IF(H69="",Paramètres!$B$10,H69),""))</f>
        <v/>
      </c>
      <c r="K69" s="23">
        <f>IF(A69="","",SUMIFS(Commandes!$O:$O,Commandes!$C:$C,A69,Commandes!$P:$P,"&gt;0"))</f>
        <v/>
      </c>
      <c r="L69" s="25">
        <f>IF(A69="","",IF(I69&gt;IF(H69="",Paramètres!$B$10,H69),"Dépassement : livraison à valider par la direction",IF(J69&gt;=0.8,"Proche du plafond","OK")))</f>
        <v/>
      </c>
    </row>
    <row r="70">
      <c r="A70" s="21" t="n"/>
      <c r="B70" s="21" t="n"/>
      <c r="C70" s="21" t="n"/>
      <c r="D70" s="21" t="n"/>
      <c r="E70" s="21" t="n"/>
      <c r="F70" s="21" t="n"/>
      <c r="G70" s="21" t="n"/>
      <c r="H70" s="22" t="n"/>
      <c r="I70" s="23">
        <f>IF(A70="","",SUMIFS(Commandes!$O:$O,Commandes!$C:$C,A70))</f>
        <v/>
      </c>
      <c r="J70" s="24">
        <f>IF(A70="","",IFERROR(I70/IF(H70="",Paramètres!$B$10,H70),""))</f>
        <v/>
      </c>
      <c r="K70" s="23">
        <f>IF(A70="","",SUMIFS(Commandes!$O:$O,Commandes!$C:$C,A70,Commandes!$P:$P,"&gt;0"))</f>
        <v/>
      </c>
      <c r="L70" s="25">
        <f>IF(A70="","",IF(I70&gt;IF(H70="",Paramètres!$B$10,H70),"Dépassement : livraison à valider par la direction",IF(J70&gt;=0.8,"Proche du plafond","OK")))</f>
        <v/>
      </c>
    </row>
    <row r="71">
      <c r="A71" s="21" t="n"/>
      <c r="B71" s="21" t="n"/>
      <c r="C71" s="21" t="n"/>
      <c r="D71" s="21" t="n"/>
      <c r="E71" s="21" t="n"/>
      <c r="F71" s="21" t="n"/>
      <c r="G71" s="21" t="n"/>
      <c r="H71" s="22" t="n"/>
      <c r="I71" s="23">
        <f>IF(A71="","",SUMIFS(Commandes!$O:$O,Commandes!$C:$C,A71))</f>
        <v/>
      </c>
      <c r="J71" s="24">
        <f>IF(A71="","",IFERROR(I71/IF(H71="",Paramètres!$B$10,H71),""))</f>
        <v/>
      </c>
      <c r="K71" s="23">
        <f>IF(A71="","",SUMIFS(Commandes!$O:$O,Commandes!$C:$C,A71,Commandes!$P:$P,"&gt;0"))</f>
        <v/>
      </c>
      <c r="L71" s="25">
        <f>IF(A71="","",IF(I71&gt;IF(H71="",Paramètres!$B$10,H71),"Dépassement : livraison à valider par la direction",IF(J71&gt;=0.8,"Proche du plafond","OK")))</f>
        <v/>
      </c>
    </row>
    <row r="72">
      <c r="A72" s="21" t="n"/>
      <c r="B72" s="21" t="n"/>
      <c r="C72" s="21" t="n"/>
      <c r="D72" s="21" t="n"/>
      <c r="E72" s="21" t="n"/>
      <c r="F72" s="21" t="n"/>
      <c r="G72" s="21" t="n"/>
      <c r="H72" s="22" t="n"/>
      <c r="I72" s="23">
        <f>IF(A72="","",SUMIFS(Commandes!$O:$O,Commandes!$C:$C,A72))</f>
        <v/>
      </c>
      <c r="J72" s="24">
        <f>IF(A72="","",IFERROR(I72/IF(H72="",Paramètres!$B$10,H72),""))</f>
        <v/>
      </c>
      <c r="K72" s="23">
        <f>IF(A72="","",SUMIFS(Commandes!$O:$O,Commandes!$C:$C,A72,Commandes!$P:$P,"&gt;0"))</f>
        <v/>
      </c>
      <c r="L72" s="25">
        <f>IF(A72="","",IF(I72&gt;IF(H72="",Paramètres!$B$10,H72),"Dépassement : livraison à valider par la direction",IF(J72&gt;=0.8,"Proche du plafond","OK")))</f>
        <v/>
      </c>
    </row>
    <row r="73">
      <c r="A73" s="21" t="n"/>
      <c r="B73" s="21" t="n"/>
      <c r="C73" s="21" t="n"/>
      <c r="D73" s="21" t="n"/>
      <c r="E73" s="21" t="n"/>
      <c r="F73" s="21" t="n"/>
      <c r="G73" s="21" t="n"/>
      <c r="H73" s="22" t="n"/>
      <c r="I73" s="23">
        <f>IF(A73="","",SUMIFS(Commandes!$O:$O,Commandes!$C:$C,A73))</f>
        <v/>
      </c>
      <c r="J73" s="24">
        <f>IF(A73="","",IFERROR(I73/IF(H73="",Paramètres!$B$10,H73),""))</f>
        <v/>
      </c>
      <c r="K73" s="23">
        <f>IF(A73="","",SUMIFS(Commandes!$O:$O,Commandes!$C:$C,A73,Commandes!$P:$P,"&gt;0"))</f>
        <v/>
      </c>
      <c r="L73" s="25">
        <f>IF(A73="","",IF(I73&gt;IF(H73="",Paramètres!$B$10,H73),"Dépassement : livraison à valider par la direction",IF(J73&gt;=0.8,"Proche du plafond","OK")))</f>
        <v/>
      </c>
    </row>
    <row r="74">
      <c r="A74" s="21" t="n"/>
      <c r="B74" s="21" t="n"/>
      <c r="C74" s="21" t="n"/>
      <c r="D74" s="21" t="n"/>
      <c r="E74" s="21" t="n"/>
      <c r="F74" s="21" t="n"/>
      <c r="G74" s="21" t="n"/>
      <c r="H74" s="22" t="n"/>
      <c r="I74" s="23">
        <f>IF(A74="","",SUMIFS(Commandes!$O:$O,Commandes!$C:$C,A74))</f>
        <v/>
      </c>
      <c r="J74" s="24">
        <f>IF(A74="","",IFERROR(I74/IF(H74="",Paramètres!$B$10,H74),""))</f>
        <v/>
      </c>
      <c r="K74" s="23">
        <f>IF(A74="","",SUMIFS(Commandes!$O:$O,Commandes!$C:$C,A74,Commandes!$P:$P,"&gt;0"))</f>
        <v/>
      </c>
      <c r="L74" s="25">
        <f>IF(A74="","",IF(I74&gt;IF(H74="",Paramètres!$B$10,H74),"Dépassement : livraison à valider par la direction",IF(J74&gt;=0.8,"Proche du plafond","OK")))</f>
        <v/>
      </c>
    </row>
    <row r="75">
      <c r="A75" s="21" t="n"/>
      <c r="B75" s="21" t="n"/>
      <c r="C75" s="21" t="n"/>
      <c r="D75" s="21" t="n"/>
      <c r="E75" s="21" t="n"/>
      <c r="F75" s="21" t="n"/>
      <c r="G75" s="21" t="n"/>
      <c r="H75" s="22" t="n"/>
      <c r="I75" s="23">
        <f>IF(A75="","",SUMIFS(Commandes!$O:$O,Commandes!$C:$C,A75))</f>
        <v/>
      </c>
      <c r="J75" s="24">
        <f>IF(A75="","",IFERROR(I75/IF(H75="",Paramètres!$B$10,H75),""))</f>
        <v/>
      </c>
      <c r="K75" s="23">
        <f>IF(A75="","",SUMIFS(Commandes!$O:$O,Commandes!$C:$C,A75,Commandes!$P:$P,"&gt;0"))</f>
        <v/>
      </c>
      <c r="L75" s="25">
        <f>IF(A75="","",IF(I75&gt;IF(H75="",Paramètres!$B$10,H75),"Dépassement : livraison à valider par la direction",IF(J75&gt;=0.8,"Proche du plafond","OK")))</f>
        <v/>
      </c>
    </row>
    <row r="76">
      <c r="A76" s="21" t="n"/>
      <c r="B76" s="21" t="n"/>
      <c r="C76" s="21" t="n"/>
      <c r="D76" s="21" t="n"/>
      <c r="E76" s="21" t="n"/>
      <c r="F76" s="21" t="n"/>
      <c r="G76" s="21" t="n"/>
      <c r="H76" s="22" t="n"/>
      <c r="I76" s="23">
        <f>IF(A76="","",SUMIFS(Commandes!$O:$O,Commandes!$C:$C,A76))</f>
        <v/>
      </c>
      <c r="J76" s="24">
        <f>IF(A76="","",IFERROR(I76/IF(H76="",Paramètres!$B$10,H76),""))</f>
        <v/>
      </c>
      <c r="K76" s="23">
        <f>IF(A76="","",SUMIFS(Commandes!$O:$O,Commandes!$C:$C,A76,Commandes!$P:$P,"&gt;0"))</f>
        <v/>
      </c>
      <c r="L76" s="25">
        <f>IF(A76="","",IF(I76&gt;IF(H76="",Paramètres!$B$10,H76),"Dépassement : livraison à valider par la direction",IF(J76&gt;=0.8,"Proche du plafond","OK")))</f>
        <v/>
      </c>
    </row>
    <row r="77">
      <c r="A77" s="21" t="n"/>
      <c r="B77" s="21" t="n"/>
      <c r="C77" s="21" t="n"/>
      <c r="D77" s="21" t="n"/>
      <c r="E77" s="21" t="n"/>
      <c r="F77" s="21" t="n"/>
      <c r="G77" s="21" t="n"/>
      <c r="H77" s="22" t="n"/>
      <c r="I77" s="23">
        <f>IF(A77="","",SUMIFS(Commandes!$O:$O,Commandes!$C:$C,A77))</f>
        <v/>
      </c>
      <c r="J77" s="24">
        <f>IF(A77="","",IFERROR(I77/IF(H77="",Paramètres!$B$10,H77),""))</f>
        <v/>
      </c>
      <c r="K77" s="23">
        <f>IF(A77="","",SUMIFS(Commandes!$O:$O,Commandes!$C:$C,A77,Commandes!$P:$P,"&gt;0"))</f>
        <v/>
      </c>
      <c r="L77" s="25">
        <f>IF(A77="","",IF(I77&gt;IF(H77="",Paramètres!$B$10,H77),"Dépassement : livraison à valider par la direction",IF(J77&gt;=0.8,"Proche du plafond","OK")))</f>
        <v/>
      </c>
    </row>
    <row r="78">
      <c r="A78" s="21" t="n"/>
      <c r="B78" s="21" t="n"/>
      <c r="C78" s="21" t="n"/>
      <c r="D78" s="21" t="n"/>
      <c r="E78" s="21" t="n"/>
      <c r="F78" s="21" t="n"/>
      <c r="G78" s="21" t="n"/>
      <c r="H78" s="22" t="n"/>
      <c r="I78" s="23">
        <f>IF(A78="","",SUMIFS(Commandes!$O:$O,Commandes!$C:$C,A78))</f>
        <v/>
      </c>
      <c r="J78" s="24">
        <f>IF(A78="","",IFERROR(I78/IF(H78="",Paramètres!$B$10,H78),""))</f>
        <v/>
      </c>
      <c r="K78" s="23">
        <f>IF(A78="","",SUMIFS(Commandes!$O:$O,Commandes!$C:$C,A78,Commandes!$P:$P,"&gt;0"))</f>
        <v/>
      </c>
      <c r="L78" s="25">
        <f>IF(A78="","",IF(I78&gt;IF(H78="",Paramètres!$B$10,H78),"Dépassement : livraison à valider par la direction",IF(J78&gt;=0.8,"Proche du plafond","OK")))</f>
        <v/>
      </c>
    </row>
    <row r="79">
      <c r="A79" s="21" t="n"/>
      <c r="B79" s="21" t="n"/>
      <c r="C79" s="21" t="n"/>
      <c r="D79" s="21" t="n"/>
      <c r="E79" s="21" t="n"/>
      <c r="F79" s="21" t="n"/>
      <c r="G79" s="21" t="n"/>
      <c r="H79" s="22" t="n"/>
      <c r="I79" s="23">
        <f>IF(A79="","",SUMIFS(Commandes!$O:$O,Commandes!$C:$C,A79))</f>
        <v/>
      </c>
      <c r="J79" s="24">
        <f>IF(A79="","",IFERROR(I79/IF(H79="",Paramètres!$B$10,H79),""))</f>
        <v/>
      </c>
      <c r="K79" s="23">
        <f>IF(A79="","",SUMIFS(Commandes!$O:$O,Commandes!$C:$C,A79,Commandes!$P:$P,"&gt;0"))</f>
        <v/>
      </c>
      <c r="L79" s="25">
        <f>IF(A79="","",IF(I79&gt;IF(H79="",Paramètres!$B$10,H79),"Dépassement : livraison à valider par la direction",IF(J79&gt;=0.8,"Proche du plafond","OK")))</f>
        <v/>
      </c>
    </row>
    <row r="80">
      <c r="A80" s="21" t="n"/>
      <c r="B80" s="21" t="n"/>
      <c r="C80" s="21" t="n"/>
      <c r="D80" s="21" t="n"/>
      <c r="E80" s="21" t="n"/>
      <c r="F80" s="21" t="n"/>
      <c r="G80" s="21" t="n"/>
      <c r="H80" s="22" t="n"/>
      <c r="I80" s="23">
        <f>IF(A80="","",SUMIFS(Commandes!$O:$O,Commandes!$C:$C,A80))</f>
        <v/>
      </c>
      <c r="J80" s="24">
        <f>IF(A80="","",IFERROR(I80/IF(H80="",Paramètres!$B$10,H80),""))</f>
        <v/>
      </c>
      <c r="K80" s="23">
        <f>IF(A80="","",SUMIFS(Commandes!$O:$O,Commandes!$C:$C,A80,Commandes!$P:$P,"&gt;0"))</f>
        <v/>
      </c>
      <c r="L80" s="25">
        <f>IF(A80="","",IF(I80&gt;IF(H80="",Paramètres!$B$10,H80),"Dépassement : livraison à valider par la direction",IF(J80&gt;=0.8,"Proche du plafond","OK")))</f>
        <v/>
      </c>
    </row>
    <row r="81">
      <c r="A81" s="21" t="n"/>
      <c r="B81" s="21" t="n"/>
      <c r="C81" s="21" t="n"/>
      <c r="D81" s="21" t="n"/>
      <c r="E81" s="21" t="n"/>
      <c r="F81" s="21" t="n"/>
      <c r="G81" s="21" t="n"/>
      <c r="H81" s="22" t="n"/>
      <c r="I81" s="23">
        <f>IF(A81="","",SUMIFS(Commandes!$O:$O,Commandes!$C:$C,A81))</f>
        <v/>
      </c>
      <c r="J81" s="24">
        <f>IF(A81="","",IFERROR(I81/IF(H81="",Paramètres!$B$10,H81),""))</f>
        <v/>
      </c>
      <c r="K81" s="23">
        <f>IF(A81="","",SUMIFS(Commandes!$O:$O,Commandes!$C:$C,A81,Commandes!$P:$P,"&gt;0"))</f>
        <v/>
      </c>
      <c r="L81" s="25">
        <f>IF(A81="","",IF(I81&gt;IF(H81="",Paramètres!$B$10,H81),"Dépassement : livraison à valider par la direction",IF(J81&gt;=0.8,"Proche du plafond","OK")))</f>
        <v/>
      </c>
    </row>
    <row r="82">
      <c r="A82" s="21" t="n"/>
      <c r="B82" s="21" t="n"/>
      <c r="C82" s="21" t="n"/>
      <c r="D82" s="21" t="n"/>
      <c r="E82" s="21" t="n"/>
      <c r="F82" s="21" t="n"/>
      <c r="G82" s="21" t="n"/>
      <c r="H82" s="22" t="n"/>
      <c r="I82" s="23">
        <f>IF(A82="","",SUMIFS(Commandes!$O:$O,Commandes!$C:$C,A82))</f>
        <v/>
      </c>
      <c r="J82" s="24">
        <f>IF(A82="","",IFERROR(I82/IF(H82="",Paramètres!$B$10,H82),""))</f>
        <v/>
      </c>
      <c r="K82" s="23">
        <f>IF(A82="","",SUMIFS(Commandes!$O:$O,Commandes!$C:$C,A82,Commandes!$P:$P,"&gt;0"))</f>
        <v/>
      </c>
      <c r="L82" s="25">
        <f>IF(A82="","",IF(I82&gt;IF(H82="",Paramètres!$B$10,H82),"Dépassement : livraison à valider par la direction",IF(J82&gt;=0.8,"Proche du plafond","OK")))</f>
        <v/>
      </c>
    </row>
    <row r="83">
      <c r="A83" s="21" t="n"/>
      <c r="B83" s="21" t="n"/>
      <c r="C83" s="21" t="n"/>
      <c r="D83" s="21" t="n"/>
      <c r="E83" s="21" t="n"/>
      <c r="F83" s="21" t="n"/>
      <c r="G83" s="21" t="n"/>
      <c r="H83" s="22" t="n"/>
      <c r="I83" s="23">
        <f>IF(A83="","",SUMIFS(Commandes!$O:$O,Commandes!$C:$C,A83))</f>
        <v/>
      </c>
      <c r="J83" s="24">
        <f>IF(A83="","",IFERROR(I83/IF(H83="",Paramètres!$B$10,H83),""))</f>
        <v/>
      </c>
      <c r="K83" s="23">
        <f>IF(A83="","",SUMIFS(Commandes!$O:$O,Commandes!$C:$C,A83,Commandes!$P:$P,"&gt;0"))</f>
        <v/>
      </c>
      <c r="L83" s="25">
        <f>IF(A83="","",IF(I83&gt;IF(H83="",Paramètres!$B$10,H83),"Dépassement : livraison à valider par la direction",IF(J83&gt;=0.8,"Proche du plafond","OK")))</f>
        <v/>
      </c>
    </row>
    <row r="84">
      <c r="A84" s="21" t="n"/>
      <c r="B84" s="21" t="n"/>
      <c r="C84" s="21" t="n"/>
      <c r="D84" s="21" t="n"/>
      <c r="E84" s="21" t="n"/>
      <c r="F84" s="21" t="n"/>
      <c r="G84" s="21" t="n"/>
      <c r="H84" s="22" t="n"/>
      <c r="I84" s="23">
        <f>IF(A84="","",SUMIFS(Commandes!$O:$O,Commandes!$C:$C,A84))</f>
        <v/>
      </c>
      <c r="J84" s="24">
        <f>IF(A84="","",IFERROR(I84/IF(H84="",Paramètres!$B$10,H84),""))</f>
        <v/>
      </c>
      <c r="K84" s="23">
        <f>IF(A84="","",SUMIFS(Commandes!$O:$O,Commandes!$C:$C,A84,Commandes!$P:$P,"&gt;0"))</f>
        <v/>
      </c>
      <c r="L84" s="25">
        <f>IF(A84="","",IF(I84&gt;IF(H84="",Paramètres!$B$10,H84),"Dépassement : livraison à valider par la direction",IF(J84&gt;=0.8,"Proche du plafond","OK")))</f>
        <v/>
      </c>
    </row>
    <row r="85">
      <c r="A85" s="21" t="n"/>
      <c r="B85" s="21" t="n"/>
      <c r="C85" s="21" t="n"/>
      <c r="D85" s="21" t="n"/>
      <c r="E85" s="21" t="n"/>
      <c r="F85" s="21" t="n"/>
      <c r="G85" s="21" t="n"/>
      <c r="H85" s="22" t="n"/>
      <c r="I85" s="23">
        <f>IF(A85="","",SUMIFS(Commandes!$O:$O,Commandes!$C:$C,A85))</f>
        <v/>
      </c>
      <c r="J85" s="24">
        <f>IF(A85="","",IFERROR(I85/IF(H85="",Paramètres!$B$10,H85),""))</f>
        <v/>
      </c>
      <c r="K85" s="23">
        <f>IF(A85="","",SUMIFS(Commandes!$O:$O,Commandes!$C:$C,A85,Commandes!$P:$P,"&gt;0"))</f>
        <v/>
      </c>
      <c r="L85" s="25">
        <f>IF(A85="","",IF(I85&gt;IF(H85="",Paramètres!$B$10,H85),"Dépassement : livraison à valider par la direction",IF(J85&gt;=0.8,"Proche du plafond","OK")))</f>
        <v/>
      </c>
    </row>
    <row r="86">
      <c r="A86" s="21" t="n"/>
      <c r="B86" s="21" t="n"/>
      <c r="C86" s="21" t="n"/>
      <c r="D86" s="21" t="n"/>
      <c r="E86" s="21" t="n"/>
      <c r="F86" s="21" t="n"/>
      <c r="G86" s="21" t="n"/>
      <c r="H86" s="22" t="n"/>
      <c r="I86" s="23">
        <f>IF(A86="","",SUMIFS(Commandes!$O:$O,Commandes!$C:$C,A86))</f>
        <v/>
      </c>
      <c r="J86" s="24">
        <f>IF(A86="","",IFERROR(I86/IF(H86="",Paramètres!$B$10,H86),""))</f>
        <v/>
      </c>
      <c r="K86" s="23">
        <f>IF(A86="","",SUMIFS(Commandes!$O:$O,Commandes!$C:$C,A86,Commandes!$P:$P,"&gt;0"))</f>
        <v/>
      </c>
      <c r="L86" s="25">
        <f>IF(A86="","",IF(I86&gt;IF(H86="",Paramètres!$B$10,H86),"Dépassement : livraison à valider par la direction",IF(J86&gt;=0.8,"Proche du plafond","OK")))</f>
        <v/>
      </c>
    </row>
    <row r="87">
      <c r="A87" s="21" t="n"/>
      <c r="B87" s="21" t="n"/>
      <c r="C87" s="21" t="n"/>
      <c r="D87" s="21" t="n"/>
      <c r="E87" s="21" t="n"/>
      <c r="F87" s="21" t="n"/>
      <c r="G87" s="21" t="n"/>
      <c r="H87" s="22" t="n"/>
      <c r="I87" s="23">
        <f>IF(A87="","",SUMIFS(Commandes!$O:$O,Commandes!$C:$C,A87))</f>
        <v/>
      </c>
      <c r="J87" s="24">
        <f>IF(A87="","",IFERROR(I87/IF(H87="",Paramètres!$B$10,H87),""))</f>
        <v/>
      </c>
      <c r="K87" s="23">
        <f>IF(A87="","",SUMIFS(Commandes!$O:$O,Commandes!$C:$C,A87,Commandes!$P:$P,"&gt;0"))</f>
        <v/>
      </c>
      <c r="L87" s="25">
        <f>IF(A87="","",IF(I87&gt;IF(H87="",Paramètres!$B$10,H87),"Dépassement : livraison à valider par la direction",IF(J87&gt;=0.8,"Proche du plafond","OK")))</f>
        <v/>
      </c>
    </row>
    <row r="88">
      <c r="A88" s="21" t="n"/>
      <c r="B88" s="21" t="n"/>
      <c r="C88" s="21" t="n"/>
      <c r="D88" s="21" t="n"/>
      <c r="E88" s="21" t="n"/>
      <c r="F88" s="21" t="n"/>
      <c r="G88" s="21" t="n"/>
      <c r="H88" s="22" t="n"/>
      <c r="I88" s="23">
        <f>IF(A88="","",SUMIFS(Commandes!$O:$O,Commandes!$C:$C,A88))</f>
        <v/>
      </c>
      <c r="J88" s="24">
        <f>IF(A88="","",IFERROR(I88/IF(H88="",Paramètres!$B$10,H88),""))</f>
        <v/>
      </c>
      <c r="K88" s="23">
        <f>IF(A88="","",SUMIFS(Commandes!$O:$O,Commandes!$C:$C,A88,Commandes!$P:$P,"&gt;0"))</f>
        <v/>
      </c>
      <c r="L88" s="25">
        <f>IF(A88="","",IF(I88&gt;IF(H88="",Paramètres!$B$10,H88),"Dépassement : livraison à valider par la direction",IF(J88&gt;=0.8,"Proche du plafond","OK")))</f>
        <v/>
      </c>
    </row>
    <row r="89">
      <c r="A89" s="21" t="n"/>
      <c r="B89" s="21" t="n"/>
      <c r="C89" s="21" t="n"/>
      <c r="D89" s="21" t="n"/>
      <c r="E89" s="21" t="n"/>
      <c r="F89" s="21" t="n"/>
      <c r="G89" s="21" t="n"/>
      <c r="H89" s="22" t="n"/>
      <c r="I89" s="23">
        <f>IF(A89="","",SUMIFS(Commandes!$O:$O,Commandes!$C:$C,A89))</f>
        <v/>
      </c>
      <c r="J89" s="24">
        <f>IF(A89="","",IFERROR(I89/IF(H89="",Paramètres!$B$10,H89),""))</f>
        <v/>
      </c>
      <c r="K89" s="23">
        <f>IF(A89="","",SUMIFS(Commandes!$O:$O,Commandes!$C:$C,A89,Commandes!$P:$P,"&gt;0"))</f>
        <v/>
      </c>
      <c r="L89" s="25">
        <f>IF(A89="","",IF(I89&gt;IF(H89="",Paramètres!$B$10,H89),"Dépassement : livraison à valider par la direction",IF(J89&gt;=0.8,"Proche du plafond","OK")))</f>
        <v/>
      </c>
    </row>
    <row r="90">
      <c r="A90" s="21" t="n"/>
      <c r="B90" s="21" t="n"/>
      <c r="C90" s="21" t="n"/>
      <c r="D90" s="21" t="n"/>
      <c r="E90" s="21" t="n"/>
      <c r="F90" s="21" t="n"/>
      <c r="G90" s="21" t="n"/>
      <c r="H90" s="22" t="n"/>
      <c r="I90" s="23">
        <f>IF(A90="","",SUMIFS(Commandes!$O:$O,Commandes!$C:$C,A90))</f>
        <v/>
      </c>
      <c r="J90" s="24">
        <f>IF(A90="","",IFERROR(I90/IF(H90="",Paramètres!$B$10,H90),""))</f>
        <v/>
      </c>
      <c r="K90" s="23">
        <f>IF(A90="","",SUMIFS(Commandes!$O:$O,Commandes!$C:$C,A90,Commandes!$P:$P,"&gt;0"))</f>
        <v/>
      </c>
      <c r="L90" s="25">
        <f>IF(A90="","",IF(I90&gt;IF(H90="",Paramètres!$B$10,H90),"Dépassement : livraison à valider par la direction",IF(J90&gt;=0.8,"Proche du plafond","OK")))</f>
        <v/>
      </c>
    </row>
    <row r="91">
      <c r="A91" s="21" t="n"/>
      <c r="B91" s="21" t="n"/>
      <c r="C91" s="21" t="n"/>
      <c r="D91" s="21" t="n"/>
      <c r="E91" s="21" t="n"/>
      <c r="F91" s="21" t="n"/>
      <c r="G91" s="21" t="n"/>
      <c r="H91" s="22" t="n"/>
      <c r="I91" s="23">
        <f>IF(A91="","",SUMIFS(Commandes!$O:$O,Commandes!$C:$C,A91))</f>
        <v/>
      </c>
      <c r="J91" s="24">
        <f>IF(A91="","",IFERROR(I91/IF(H91="",Paramètres!$B$10,H91),""))</f>
        <v/>
      </c>
      <c r="K91" s="23">
        <f>IF(A91="","",SUMIFS(Commandes!$O:$O,Commandes!$C:$C,A91,Commandes!$P:$P,"&gt;0"))</f>
        <v/>
      </c>
      <c r="L91" s="25">
        <f>IF(A91="","",IF(I91&gt;IF(H91="",Paramètres!$B$10,H91),"Dépassement : livraison à valider par la direction",IF(J91&gt;=0.8,"Proche du plafond","OK")))</f>
        <v/>
      </c>
    </row>
    <row r="92">
      <c r="A92" s="21" t="n"/>
      <c r="B92" s="21" t="n"/>
      <c r="C92" s="21" t="n"/>
      <c r="D92" s="21" t="n"/>
      <c r="E92" s="21" t="n"/>
      <c r="F92" s="21" t="n"/>
      <c r="G92" s="21" t="n"/>
      <c r="H92" s="22" t="n"/>
      <c r="I92" s="23">
        <f>IF(A92="","",SUMIFS(Commandes!$O:$O,Commandes!$C:$C,A92))</f>
        <v/>
      </c>
      <c r="J92" s="24">
        <f>IF(A92="","",IFERROR(I92/IF(H92="",Paramètres!$B$10,H92),""))</f>
        <v/>
      </c>
      <c r="K92" s="23">
        <f>IF(A92="","",SUMIFS(Commandes!$O:$O,Commandes!$C:$C,A92,Commandes!$P:$P,"&gt;0"))</f>
        <v/>
      </c>
      <c r="L92" s="25">
        <f>IF(A92="","",IF(I92&gt;IF(H92="",Paramètres!$B$10,H92),"Dépassement : livraison à valider par la direction",IF(J92&gt;=0.8,"Proche du plafond","OK")))</f>
        <v/>
      </c>
    </row>
    <row r="93">
      <c r="A93" s="21" t="n"/>
      <c r="B93" s="21" t="n"/>
      <c r="C93" s="21" t="n"/>
      <c r="D93" s="21" t="n"/>
      <c r="E93" s="21" t="n"/>
      <c r="F93" s="21" t="n"/>
      <c r="G93" s="21" t="n"/>
      <c r="H93" s="22" t="n"/>
      <c r="I93" s="23">
        <f>IF(A93="","",SUMIFS(Commandes!$O:$O,Commandes!$C:$C,A93))</f>
        <v/>
      </c>
      <c r="J93" s="24">
        <f>IF(A93="","",IFERROR(I93/IF(H93="",Paramètres!$B$10,H93),""))</f>
        <v/>
      </c>
      <c r="K93" s="23">
        <f>IF(A93="","",SUMIFS(Commandes!$O:$O,Commandes!$C:$C,A93,Commandes!$P:$P,"&gt;0"))</f>
        <v/>
      </c>
      <c r="L93" s="25">
        <f>IF(A93="","",IF(I93&gt;IF(H93="",Paramètres!$B$10,H93),"Dépassement : livraison à valider par la direction",IF(J93&gt;=0.8,"Proche du plafond","OK")))</f>
        <v/>
      </c>
    </row>
    <row r="94">
      <c r="A94" s="21" t="n"/>
      <c r="B94" s="21" t="n"/>
      <c r="C94" s="21" t="n"/>
      <c r="D94" s="21" t="n"/>
      <c r="E94" s="21" t="n"/>
      <c r="F94" s="21" t="n"/>
      <c r="G94" s="21" t="n"/>
      <c r="H94" s="22" t="n"/>
      <c r="I94" s="23">
        <f>IF(A94="","",SUMIFS(Commandes!$O:$O,Commandes!$C:$C,A94))</f>
        <v/>
      </c>
      <c r="J94" s="24">
        <f>IF(A94="","",IFERROR(I94/IF(H94="",Paramètres!$B$10,H94),""))</f>
        <v/>
      </c>
      <c r="K94" s="23">
        <f>IF(A94="","",SUMIFS(Commandes!$O:$O,Commandes!$C:$C,A94,Commandes!$P:$P,"&gt;0"))</f>
        <v/>
      </c>
      <c r="L94" s="25">
        <f>IF(A94="","",IF(I94&gt;IF(H94="",Paramètres!$B$10,H94),"Dépassement : livraison à valider par la direction",IF(J94&gt;=0.8,"Proche du plafond","OK")))</f>
        <v/>
      </c>
    </row>
    <row r="95">
      <c r="A95" s="21" t="n"/>
      <c r="B95" s="21" t="n"/>
      <c r="C95" s="21" t="n"/>
      <c r="D95" s="21" t="n"/>
      <c r="E95" s="21" t="n"/>
      <c r="F95" s="21" t="n"/>
      <c r="G95" s="21" t="n"/>
      <c r="H95" s="22" t="n"/>
      <c r="I95" s="23">
        <f>IF(A95="","",SUMIFS(Commandes!$O:$O,Commandes!$C:$C,A95))</f>
        <v/>
      </c>
      <c r="J95" s="24">
        <f>IF(A95="","",IFERROR(I95/IF(H95="",Paramètres!$B$10,H95),""))</f>
        <v/>
      </c>
      <c r="K95" s="23">
        <f>IF(A95="","",SUMIFS(Commandes!$O:$O,Commandes!$C:$C,A95,Commandes!$P:$P,"&gt;0"))</f>
        <v/>
      </c>
      <c r="L95" s="25">
        <f>IF(A95="","",IF(I95&gt;IF(H95="",Paramètres!$B$10,H95),"Dépassement : livraison à valider par la direction",IF(J95&gt;=0.8,"Proche du plafond","OK")))</f>
        <v/>
      </c>
    </row>
    <row r="96">
      <c r="A96" s="21" t="n"/>
      <c r="B96" s="21" t="n"/>
      <c r="C96" s="21" t="n"/>
      <c r="D96" s="21" t="n"/>
      <c r="E96" s="21" t="n"/>
      <c r="F96" s="21" t="n"/>
      <c r="G96" s="21" t="n"/>
      <c r="H96" s="22" t="n"/>
      <c r="I96" s="23">
        <f>IF(A96="","",SUMIFS(Commandes!$O:$O,Commandes!$C:$C,A96))</f>
        <v/>
      </c>
      <c r="J96" s="24">
        <f>IF(A96="","",IFERROR(I96/IF(H96="",Paramètres!$B$10,H96),""))</f>
        <v/>
      </c>
      <c r="K96" s="23">
        <f>IF(A96="","",SUMIFS(Commandes!$O:$O,Commandes!$C:$C,A96,Commandes!$P:$P,"&gt;0"))</f>
        <v/>
      </c>
      <c r="L96" s="25">
        <f>IF(A96="","",IF(I96&gt;IF(H96="",Paramètres!$B$10,H96),"Dépassement : livraison à valider par la direction",IF(J96&gt;=0.8,"Proche du plafond","OK")))</f>
        <v/>
      </c>
    </row>
    <row r="97">
      <c r="A97" s="21" t="n"/>
      <c r="B97" s="21" t="n"/>
      <c r="C97" s="21" t="n"/>
      <c r="D97" s="21" t="n"/>
      <c r="E97" s="21" t="n"/>
      <c r="F97" s="21" t="n"/>
      <c r="G97" s="21" t="n"/>
      <c r="H97" s="22" t="n"/>
      <c r="I97" s="23">
        <f>IF(A97="","",SUMIFS(Commandes!$O:$O,Commandes!$C:$C,A97))</f>
        <v/>
      </c>
      <c r="J97" s="24">
        <f>IF(A97="","",IFERROR(I97/IF(H97="",Paramètres!$B$10,H97),""))</f>
        <v/>
      </c>
      <c r="K97" s="23">
        <f>IF(A97="","",SUMIFS(Commandes!$O:$O,Commandes!$C:$C,A97,Commandes!$P:$P,"&gt;0"))</f>
        <v/>
      </c>
      <c r="L97" s="25">
        <f>IF(A97="","",IF(I97&gt;IF(H97="",Paramètres!$B$10,H97),"Dépassement : livraison à valider par la direction",IF(J97&gt;=0.8,"Proche du plafond","OK")))</f>
        <v/>
      </c>
    </row>
    <row r="98">
      <c r="A98" s="21" t="n"/>
      <c r="B98" s="21" t="n"/>
      <c r="C98" s="21" t="n"/>
      <c r="D98" s="21" t="n"/>
      <c r="E98" s="21" t="n"/>
      <c r="F98" s="21" t="n"/>
      <c r="G98" s="21" t="n"/>
      <c r="H98" s="22" t="n"/>
      <c r="I98" s="23">
        <f>IF(A98="","",SUMIFS(Commandes!$O:$O,Commandes!$C:$C,A98))</f>
        <v/>
      </c>
      <c r="J98" s="24">
        <f>IF(A98="","",IFERROR(I98/IF(H98="",Paramètres!$B$10,H98),""))</f>
        <v/>
      </c>
      <c r="K98" s="23">
        <f>IF(A98="","",SUMIFS(Commandes!$O:$O,Commandes!$C:$C,A98,Commandes!$P:$P,"&gt;0"))</f>
        <v/>
      </c>
      <c r="L98" s="25">
        <f>IF(A98="","",IF(I98&gt;IF(H98="",Paramètres!$B$10,H98),"Dépassement : livraison à valider par la direction",IF(J98&gt;=0.8,"Proche du plafond","OK")))</f>
        <v/>
      </c>
    </row>
    <row r="99">
      <c r="A99" s="21" t="n"/>
      <c r="B99" s="21" t="n"/>
      <c r="C99" s="21" t="n"/>
      <c r="D99" s="21" t="n"/>
      <c r="E99" s="21" t="n"/>
      <c r="F99" s="21" t="n"/>
      <c r="G99" s="21" t="n"/>
      <c r="H99" s="22" t="n"/>
      <c r="I99" s="23">
        <f>IF(A99="","",SUMIFS(Commandes!$O:$O,Commandes!$C:$C,A99))</f>
        <v/>
      </c>
      <c r="J99" s="24">
        <f>IF(A99="","",IFERROR(I99/IF(H99="",Paramètres!$B$10,H99),""))</f>
        <v/>
      </c>
      <c r="K99" s="23">
        <f>IF(A99="","",SUMIFS(Commandes!$O:$O,Commandes!$C:$C,A99,Commandes!$P:$P,"&gt;0"))</f>
        <v/>
      </c>
      <c r="L99" s="25">
        <f>IF(A99="","",IF(I99&gt;IF(H99="",Paramètres!$B$10,H99),"Dépassement : livraison à valider par la direction",IF(J99&gt;=0.8,"Proche du plafond","OK")))</f>
        <v/>
      </c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2" t="n"/>
      <c r="I100" s="23">
        <f>IF(A100="","",SUMIFS(Commandes!$O:$O,Commandes!$C:$C,A100))</f>
        <v/>
      </c>
      <c r="J100" s="24">
        <f>IF(A100="","",IFERROR(I100/IF(H100="",Paramètres!$B$10,H100),""))</f>
        <v/>
      </c>
      <c r="K100" s="23">
        <f>IF(A100="","",SUMIFS(Commandes!$O:$O,Commandes!$C:$C,A100,Commandes!$P:$P,"&gt;0"))</f>
        <v/>
      </c>
      <c r="L100" s="25">
        <f>IF(A100="","",IF(I100&gt;IF(H100="",Paramètres!$B$10,H100),"Dépassement : livraison à valider par la direction",IF(J100&gt;=0.8,"Proche du plafond","OK")))</f>
        <v/>
      </c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2" t="n"/>
      <c r="I101" s="23">
        <f>IF(A101="","",SUMIFS(Commandes!$O:$O,Commandes!$C:$C,A101))</f>
        <v/>
      </c>
      <c r="J101" s="24">
        <f>IF(A101="","",IFERROR(I101/IF(H101="",Paramètres!$B$10,H101),""))</f>
        <v/>
      </c>
      <c r="K101" s="23">
        <f>IF(A101="","",SUMIFS(Commandes!$O:$O,Commandes!$C:$C,A101,Commandes!$P:$P,"&gt;0"))</f>
        <v/>
      </c>
      <c r="L101" s="25">
        <f>IF(A101="","",IF(I101&gt;IF(H101="",Paramètres!$B$10,H101),"Dépassement : livraison à valider par la direction",IF(J101&gt;=0.8,"Proche du plafond","OK")))</f>
        <v/>
      </c>
    </row>
  </sheetData>
  <conditionalFormatting sqref="L2:L101">
    <cfRule type="expression" priority="1" dxfId="0">
      <formula>LEFT($L2,11)="Dépassement"</formula>
    </cfRule>
    <cfRule type="expression" priority="2" dxfId="1">
      <formula>$L2="Proche du plafond"</formula>
    </cfRule>
  </conditionalFormatting>
  <dataValidations count="1">
    <dataValidation sqref="D2:D101" showDropDown="0" showInputMessage="0" showErrorMessage="0" allowBlank="1" type="list">
      <formula1>"Quincaillerie,Grossiste,Supermarché,BTP,École / mairie,Jumia,Autre"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9040"/>
    <outlinePr summaryBelow="1" summaryRight="1"/>
    <pageSetUpPr/>
  </sheetPr>
  <dimension ref="A1:V5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26" customWidth="1" min="4" max="4"/>
    <col width="26" customWidth="1" min="5" max="5"/>
    <col width="9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3" customWidth="1" min="14" max="14"/>
    <col width="13" customWidth="1" min="15" max="15"/>
    <col width="10" customWidth="1" min="16" max="16"/>
    <col width="20" customWidth="1" min="17" max="17"/>
    <col width="26" customWidth="1" min="18" max="18"/>
    <col width="60" customWidth="1" min="19" max="19"/>
    <col width="12" customWidth="1" min="20" max="20"/>
    <col width="12" customWidth="1" min="21" max="21"/>
    <col width="20" customWidth="1" min="22" max="22"/>
  </cols>
  <sheetData>
    <row r="1" ht="34" customHeight="1">
      <c r="A1" s="8" t="inlineStr">
        <is>
          <t>N° commande</t>
        </is>
      </c>
      <c r="B1" s="8" t="inlineStr">
        <is>
          <t>Date de commande</t>
        </is>
      </c>
      <c r="C1" s="8" t="inlineStr">
        <is>
          <t>Code revendeur</t>
        </is>
      </c>
      <c r="D1" s="8" t="inlineStr">
        <is>
          <t>Revendeur</t>
        </is>
      </c>
      <c r="E1" s="8" t="inlineStr">
        <is>
          <t>Produit</t>
        </is>
      </c>
      <c r="F1" s="8" t="inlineStr">
        <is>
          <t>Quantité</t>
        </is>
      </c>
      <c r="G1" s="8" t="inlineStr">
        <is>
          <t>Prix unitaire HT (FCFA)</t>
        </is>
      </c>
      <c r="H1" s="8" t="inlineStr">
        <is>
          <t>Montant HT (FCFA)</t>
        </is>
      </c>
      <c r="I1" s="8" t="inlineStr">
        <is>
          <t>Livraison promise le</t>
        </is>
      </c>
      <c r="J1" s="8" t="inlineStr">
        <is>
          <t>Livrée le</t>
        </is>
      </c>
      <c r="K1" s="8" t="inlineStr">
        <is>
          <t>Statut livraison</t>
        </is>
      </c>
      <c r="L1" s="8" t="inlineStr">
        <is>
          <t>Jours de retard livraison</t>
        </is>
      </c>
      <c r="M1" s="8" t="inlineStr">
        <is>
          <t>Échéance de paiement</t>
        </is>
      </c>
      <c r="N1" s="8" t="inlineStr">
        <is>
          <t>Montant payé (FCFA)</t>
        </is>
      </c>
      <c r="O1" s="8" t="inlineStr">
        <is>
          <t>Reste à payer (FCFA)</t>
        </is>
      </c>
      <c r="P1" s="8" t="inlineStr">
        <is>
          <t>Jours de retard de paiement</t>
        </is>
      </c>
      <c r="Q1" s="8" t="inlineStr">
        <is>
          <t>Statut paiement</t>
        </is>
      </c>
      <c r="R1" s="8" t="inlineStr">
        <is>
          <t>Action du jour</t>
        </is>
      </c>
      <c r="S1" s="8" t="inlineStr">
        <is>
          <t>Message préparé (WhatsApp)</t>
        </is>
      </c>
      <c r="T1" s="8" t="inlineStr">
        <is>
          <t>Validé par</t>
        </is>
      </c>
      <c r="U1" s="8" t="inlineStr">
        <is>
          <t>Relance envoyée le</t>
        </is>
      </c>
      <c r="V1" s="8" t="inlineStr">
        <is>
          <t>Notes</t>
        </is>
      </c>
    </row>
    <row r="2">
      <c r="A2" s="21" t="inlineStr">
        <is>
          <t>C-0001</t>
        </is>
      </c>
      <c r="B2" s="26" t="n">
        <v>46254</v>
      </c>
      <c r="C2" s="21" t="inlineStr">
        <is>
          <t>R001</t>
        </is>
      </c>
      <c r="D2" s="25">
        <f>IF(C2="","",IFERROR(VLOOKUP(C2,Revendeurs!$A:$B,2,FALSE),"Code inconnu"))</f>
        <v/>
      </c>
      <c r="E2" s="21" t="inlineStr">
        <is>
          <t>Chaise Ibiza</t>
        </is>
      </c>
      <c r="F2" s="21" t="n">
        <v>200</v>
      </c>
      <c r="G2" s="22" t="n">
        <v>4500</v>
      </c>
      <c r="H2" s="23">
        <f>IF(OR(F2="",G2=""),"",F2*G2)</f>
        <v/>
      </c>
      <c r="I2" s="26" t="n">
        <v>46261</v>
      </c>
      <c r="J2" s="26" t="n">
        <v>46261</v>
      </c>
      <c r="K2" s="25">
        <f>IF(B2="","",IF(J2&lt;&gt;"","Livrée",IF(I2="","À planifier",IF(Paramètres!$B$4&gt;I2+Paramètres!$B$8,"En retard","En cours"))))</f>
        <v/>
      </c>
      <c r="L2" s="25">
        <f>IF(K2="En retard",Paramètres!$B$4-I2,"")</f>
        <v/>
      </c>
      <c r="M2" s="27">
        <f>IF(OR(B2="",J2=""),"",J2+IFERROR(IF(VLOOKUP(C2,Revendeurs!$A:$G,7,FALSE)="",Paramètres!$B$9,VLOOKUP(C2,Revendeurs!$A:$G,7,FALSE)),Paramètres!$B$9))</f>
        <v/>
      </c>
      <c r="N2" s="22" t="n">
        <v>900000</v>
      </c>
      <c r="O2" s="23">
        <f>IF(H2="","",H2-N2)</f>
        <v/>
      </c>
      <c r="P2" s="25">
        <f>IF(OR(M2="",O2=""),"",IF(O2&lt;=0,0,MAX(0,Paramètres!$B$4-M2)))</f>
        <v/>
      </c>
      <c r="Q2" s="25">
        <f>IF(H2="","",IF(O2&lt;=0,"Payée",IF(M2="","Pas encore livrée",IF(P2=0,"Non échue",IF(P2&gt;=Paramètres!$B$7,"Relance 3 : appel direction",IF(P2&gt;=Paramètres!$B$6,"Relance 2",IF(P2&gt;=Paramètres!$B$5,"Relance 1","Échue, relance à venir")))))))</f>
        <v/>
      </c>
      <c r="R2" s="25">
        <f>IF(B2="","",IF(U2=Paramètres!$B$4,"Relancé aujourd'hui",TRIM(IF(LEFT(Q2,7)="Relance",Q2&amp;" ","")&amp;IF(K2="En retard","· Prévenir du retard de livraison",""))))</f>
        <v/>
      </c>
      <c r="S2" s="28">
        <f>IF(B2="","",IF(LEFT(Q2,9)="Relance 3","Bonjour "&amp;D2&amp;", nous revenons vers vous au sujet de la commande "&amp;A2&amp;" du "&amp;TEXT(B2,"dd/mm/yyyy")&amp;" : "&amp;SUBSTITUTE(TEXT(O2,"#,##0"),","," ")&amp;" FCFA restent à régler depuis le "&amp;TEXT(M2,"dd/mm/yyyy")&amp;". Notre responsable souhaite vous appeler pour convenir ensemble d'une solution. Quel moment vous arrange cette semaine ? "&amp;Paramètres!$B$11&amp;", "&amp;Paramètres!$B$12,IF(LEFT(Q2,7)="Relance","Bonjour "&amp;D2&amp;", sauf erreur de notre part, la commande "&amp;A2&amp;" du "&amp;TEXT(B2,"dd/mm/yyyy")&amp;" ("&amp;E2&amp;") présente un reste à payer de "&amp;SUBSTITUTE(TEXT(O2,"#,##0"),","," ")&amp;" FCFA, échu depuis le "&amp;TEXT(M2,"dd/mm/yyyy")&amp;". Pouvez-vous nous indiquer la date de règlement prévue ? Si le paiement est déjà parti, merci de nous envoyer la preuve et ne tenez pas compte de ce message. "&amp;Paramètres!$B$11&amp;", "&amp;Paramètres!$B$12,IF(K2="En retard","Bonjour "&amp;D2&amp;", votre commande "&amp;A2&amp;" ("&amp;E2&amp;", "&amp;F2&amp;" pièces) prévue le "&amp;TEXT(I2,"dd/mm/yyyy")&amp;" a pris du retard. Nous vous confirmons la nouvelle date de livraison dans la journée. Toutes nos excuses pour ce contretemps. "&amp;Paramètres!$B$11&amp;", "&amp;Paramètres!$B$12,""))))</f>
        <v/>
      </c>
      <c r="T2" s="21" t="n"/>
      <c r="U2" s="26" t="n"/>
      <c r="V2" s="21" t="n"/>
    </row>
    <row r="3">
      <c r="A3" s="21" t="inlineStr">
        <is>
          <t>C-0002</t>
        </is>
      </c>
      <c r="B3" s="26" t="n">
        <v>46267</v>
      </c>
      <c r="C3" s="21" t="inlineStr">
        <is>
          <t>R002</t>
        </is>
      </c>
      <c r="D3" s="25">
        <f>IF(C3="","",IFERROR(VLOOKUP(C3,Revendeurs!$A:$B,2,FALSE),"Code inconnu"))</f>
        <v/>
      </c>
      <c r="E3" s="21" t="inlineStr">
        <is>
          <t>Bidon 20 L</t>
        </is>
      </c>
      <c r="F3" s="21" t="n">
        <v>120</v>
      </c>
      <c r="G3" s="22" t="n">
        <v>2800</v>
      </c>
      <c r="H3" s="23">
        <f>IF(OR(F3="",G3=""),"",F3*G3)</f>
        <v/>
      </c>
      <c r="I3" s="26" t="n">
        <v>46274</v>
      </c>
      <c r="J3" s="26" t="n">
        <v>46275</v>
      </c>
      <c r="K3" s="25">
        <f>IF(B3="","",IF(J3&lt;&gt;"","Livrée",IF(I3="","À planifier",IF(Paramètres!$B$4&gt;I3+Paramètres!$B$8,"En retard","En cours"))))</f>
        <v/>
      </c>
      <c r="L3" s="25">
        <f>IF(K3="En retard",Paramètres!$B$4-I3,"")</f>
        <v/>
      </c>
      <c r="M3" s="27">
        <f>IF(OR(B3="",J3=""),"",J3+IFERROR(IF(VLOOKUP(C3,Revendeurs!$A:$G,7,FALSE)="",Paramètres!$B$9,VLOOKUP(C3,Revendeurs!$A:$G,7,FALSE)),Paramètres!$B$9))</f>
        <v/>
      </c>
      <c r="N3" s="22" t="n">
        <v>0</v>
      </c>
      <c r="O3" s="23">
        <f>IF(H3="","",H3-N3)</f>
        <v/>
      </c>
      <c r="P3" s="25">
        <f>IF(OR(M3="",O3=""),"",IF(O3&lt;=0,0,MAX(0,Paramètres!$B$4-M3)))</f>
        <v/>
      </c>
      <c r="Q3" s="25">
        <f>IF(H3="","",IF(O3&lt;=0,"Payée",IF(M3="","Pas encore livrée",IF(P3=0,"Non échue",IF(P3&gt;=Paramètres!$B$7,"Relance 3 : appel direction",IF(P3&gt;=Paramètres!$B$6,"Relance 2",IF(P3&gt;=Paramètres!$B$5,"Relance 1","Échue, relance à venir")))))))</f>
        <v/>
      </c>
      <c r="R3" s="25">
        <f>IF(B3="","",IF(U3=Paramètres!$B$4,"Relancé aujourd'hui",TRIM(IF(LEFT(Q3,7)="Relance",Q3&amp;" ","")&amp;IF(K3="En retard","· Prévenir du retard de livraison",""))))</f>
        <v/>
      </c>
      <c r="S3" s="28">
        <f>IF(B3="","",IF(LEFT(Q3,9)="Relance 3","Bonjour "&amp;D3&amp;", nous revenons vers vous au sujet de la commande "&amp;A3&amp;" du "&amp;TEXT(B3,"dd/mm/yyyy")&amp;" : "&amp;SUBSTITUTE(TEXT(O3,"#,##0"),","," ")&amp;" FCFA restent à régler depuis le "&amp;TEXT(M3,"dd/mm/yyyy")&amp;". Notre responsable souhaite vous appeler pour convenir ensemble d'une solution. Quel moment vous arrange cette semaine ? "&amp;Paramètres!$B$11&amp;", "&amp;Paramètres!$B$12,IF(LEFT(Q3,7)="Relance","Bonjour "&amp;D3&amp;", sauf erreur de notre part, la commande "&amp;A3&amp;" du "&amp;TEXT(B3,"dd/mm/yyyy")&amp;" ("&amp;E3&amp;") présente un reste à payer de "&amp;SUBSTITUTE(TEXT(O3,"#,##0"),","," ")&amp;" FCFA, échu depuis le "&amp;TEXT(M3,"dd/mm/yyyy")&amp;". Pouvez-vous nous indiquer la date de règlement prévue ? Si le paiement est déjà parti, merci de nous envoyer la preuve et ne tenez pas compte de ce message. "&amp;Paramètres!$B$11&amp;", "&amp;Paramètres!$B$12,IF(K3="En retard","Bonjour "&amp;D3&amp;", votre commande "&amp;A3&amp;" ("&amp;E3&amp;", "&amp;F3&amp;" pièces) prévue le "&amp;TEXT(I3,"dd/mm/yyyy")&amp;" a pris du retard. Nous vous confirmons la nouvelle date de livraison dans la journée. Toutes nos excuses pour ce contretemps. "&amp;Paramètres!$B$11&amp;", "&amp;Paramètres!$B$12,""))))</f>
        <v/>
      </c>
      <c r="T3" s="21" t="n"/>
      <c r="U3" s="26" t="n"/>
      <c r="V3" s="21" t="n"/>
    </row>
    <row r="4">
      <c r="A4" s="21" t="inlineStr">
        <is>
          <t>C-0003</t>
        </is>
      </c>
      <c r="B4" s="26" t="n">
        <v>46275</v>
      </c>
      <c r="C4" s="21" t="inlineStr">
        <is>
          <t>R003</t>
        </is>
      </c>
      <c r="D4" s="25">
        <f>IF(C4="","",IFERROR(VLOOKUP(C4,Revendeurs!$A:$B,2,FALSE),"Code inconnu"))</f>
        <v/>
      </c>
      <c r="E4" s="21" t="inlineStr">
        <is>
          <t>Poubelle à pédale</t>
        </is>
      </c>
      <c r="F4" s="21" t="n">
        <v>300</v>
      </c>
      <c r="G4" s="22" t="n">
        <v>3200</v>
      </c>
      <c r="H4" s="23">
        <f>IF(OR(F4="",G4=""),"",F4*G4)</f>
        <v/>
      </c>
      <c r="I4" s="26" t="n">
        <v>46282</v>
      </c>
      <c r="J4" s="26" t="n">
        <v>46281</v>
      </c>
      <c r="K4" s="25">
        <f>IF(B4="","",IF(J4&lt;&gt;"","Livrée",IF(I4="","À planifier",IF(Paramètres!$B$4&gt;I4+Paramètres!$B$8,"En retard","En cours"))))</f>
        <v/>
      </c>
      <c r="L4" s="25">
        <f>IF(K4="En retard",Paramètres!$B$4-I4,"")</f>
        <v/>
      </c>
      <c r="M4" s="27">
        <f>IF(OR(B4="",J4=""),"",J4+IFERROR(IF(VLOOKUP(C4,Revendeurs!$A:$G,7,FALSE)="",Paramètres!$B$9,VLOOKUP(C4,Revendeurs!$A:$G,7,FALSE)),Paramètres!$B$9))</f>
        <v/>
      </c>
      <c r="N4" s="22" t="n">
        <v>960000</v>
      </c>
      <c r="O4" s="23">
        <f>IF(H4="","",H4-N4)</f>
        <v/>
      </c>
      <c r="P4" s="25">
        <f>IF(OR(M4="",O4=""),"",IF(O4&lt;=0,0,MAX(0,Paramètres!$B$4-M4)))</f>
        <v/>
      </c>
      <c r="Q4" s="25">
        <f>IF(H4="","",IF(O4&lt;=0,"Payée",IF(M4="","Pas encore livrée",IF(P4=0,"Non échue",IF(P4&gt;=Paramètres!$B$7,"Relance 3 : appel direction",IF(P4&gt;=Paramètres!$B$6,"Relance 2",IF(P4&gt;=Paramètres!$B$5,"Relance 1","Échue, relance à venir")))))))</f>
        <v/>
      </c>
      <c r="R4" s="25">
        <f>IF(B4="","",IF(U4=Paramètres!$B$4,"Relancé aujourd'hui",TRIM(IF(LEFT(Q4,7)="Relance",Q4&amp;" ","")&amp;IF(K4="En retard","· Prévenir du retard de livraison",""))))</f>
        <v/>
      </c>
      <c r="S4" s="28">
        <f>IF(B4="","",IF(LEFT(Q4,9)="Relance 3","Bonjour "&amp;D4&amp;", nous revenons vers vous au sujet de la commande "&amp;A4&amp;" du "&amp;TEXT(B4,"dd/mm/yyyy")&amp;" : "&amp;SUBSTITUTE(TEXT(O4,"#,##0"),","," ")&amp;" FCFA restent à régler depuis le "&amp;TEXT(M4,"dd/mm/yyyy")&amp;". Notre responsable souhaite vous appeler pour convenir ensemble d'une solution. Quel moment vous arrange cette semaine ? "&amp;Paramètres!$B$11&amp;", "&amp;Paramètres!$B$12,IF(LEFT(Q4,7)="Relance","Bonjour "&amp;D4&amp;", sauf erreur de notre part, la commande "&amp;A4&amp;" du "&amp;TEXT(B4,"dd/mm/yyyy")&amp;" ("&amp;E4&amp;") présente un reste à payer de "&amp;SUBSTITUTE(TEXT(O4,"#,##0"),","," ")&amp;" FCFA, échu depuis le "&amp;TEXT(M4,"dd/mm/yyyy")&amp;". Pouvez-vous nous indiquer la date de règlement prévue ? Si le paiement est déjà parti, merci de nous envoyer la preuve et ne tenez pas compte de ce message. "&amp;Paramètres!$B$11&amp;", "&amp;Paramètres!$B$12,IF(K4="En retard","Bonjour "&amp;D4&amp;", votre commande "&amp;A4&amp;" ("&amp;E4&amp;", "&amp;F4&amp;" pièces) prévue le "&amp;TEXT(I4,"dd/mm/yyyy")&amp;" a pris du retard. Nous vous confirmons la nouvelle date de livraison dans la journée. Toutes nos excuses pour ce contretemps. "&amp;Paramètres!$B$11&amp;", "&amp;Paramètres!$B$12,""))))</f>
        <v/>
      </c>
      <c r="T4" s="21" t="n"/>
      <c r="U4" s="26" t="n"/>
      <c r="V4" s="21" t="n"/>
    </row>
    <row r="5">
      <c r="A5" s="21" t="inlineStr">
        <is>
          <t>C-0004</t>
        </is>
      </c>
      <c r="B5" s="26" t="n">
        <v>46277</v>
      </c>
      <c r="C5" s="21" t="inlineStr">
        <is>
          <t>R001</t>
        </is>
      </c>
      <c r="D5" s="25">
        <f>IF(C5="","",IFERROR(VLOOKUP(C5,Revendeurs!$A:$B,2,FALSE),"Code inconnu"))</f>
        <v/>
      </c>
      <c r="E5" s="21" t="inlineStr">
        <is>
          <t>Table Choco</t>
        </is>
      </c>
      <c r="F5" s="21" t="n">
        <v>80</v>
      </c>
      <c r="G5" s="22" t="n">
        <v>12000</v>
      </c>
      <c r="H5" s="23">
        <f>IF(OR(F5="",G5=""),"",F5*G5)</f>
        <v/>
      </c>
      <c r="I5" s="26" t="n">
        <v>46284</v>
      </c>
      <c r="J5" s="26" t="n">
        <v>46284</v>
      </c>
      <c r="K5" s="25">
        <f>IF(B5="","",IF(J5&lt;&gt;"","Livrée",IF(I5="","À planifier",IF(Paramètres!$B$4&gt;I5+Paramètres!$B$8,"En retard","En cours"))))</f>
        <v/>
      </c>
      <c r="L5" s="25">
        <f>IF(K5="En retard",Paramètres!$B$4-I5,"")</f>
        <v/>
      </c>
      <c r="M5" s="27">
        <f>IF(OR(B5="",J5=""),"",J5+IFERROR(IF(VLOOKUP(C5,Revendeurs!$A:$G,7,FALSE)="",Paramètres!$B$9,VLOOKUP(C5,Revendeurs!$A:$G,7,FALSE)),Paramètres!$B$9))</f>
        <v/>
      </c>
      <c r="N5" s="22" t="n">
        <v>500000</v>
      </c>
      <c r="O5" s="23">
        <f>IF(H5="","",H5-N5)</f>
        <v/>
      </c>
      <c r="P5" s="25">
        <f>IF(OR(M5="",O5=""),"",IF(O5&lt;=0,0,MAX(0,Paramètres!$B$4-M5)))</f>
        <v/>
      </c>
      <c r="Q5" s="25">
        <f>IF(H5="","",IF(O5&lt;=0,"Payée",IF(M5="","Pas encore livrée",IF(P5=0,"Non échue",IF(P5&gt;=Paramètres!$B$7,"Relance 3 : appel direction",IF(P5&gt;=Paramètres!$B$6,"Relance 2",IF(P5&gt;=Paramètres!$B$5,"Relance 1","Échue, relance à venir")))))))</f>
        <v/>
      </c>
      <c r="R5" s="25">
        <f>IF(B5="","",IF(U5=Paramètres!$B$4,"Relancé aujourd'hui",TRIM(IF(LEFT(Q5,7)="Relance",Q5&amp;" ","")&amp;IF(K5="En retard","· Prévenir du retard de livraison",""))))</f>
        <v/>
      </c>
      <c r="S5" s="28">
        <f>IF(B5="","",IF(LEFT(Q5,9)="Relance 3","Bonjour "&amp;D5&amp;", nous revenons vers vous au sujet de la commande "&amp;A5&amp;" du "&amp;TEXT(B5,"dd/mm/yyyy")&amp;" : "&amp;SUBSTITUTE(TEXT(O5,"#,##0"),","," ")&amp;" FCFA restent à régler depuis le "&amp;TEXT(M5,"dd/mm/yyyy")&amp;". Notre responsable souhaite vous appeler pour convenir ensemble d'une solution. Quel moment vous arrange cette semaine ? "&amp;Paramètres!$B$11&amp;", "&amp;Paramètres!$B$12,IF(LEFT(Q5,7)="Relance","Bonjour "&amp;D5&amp;", sauf erreur de notre part, la commande "&amp;A5&amp;" du "&amp;TEXT(B5,"dd/mm/yyyy")&amp;" ("&amp;E5&amp;") présente un reste à payer de "&amp;SUBSTITUTE(TEXT(O5,"#,##0"),","," ")&amp;" FCFA, échu depuis le "&amp;TEXT(M5,"dd/mm/yyyy")&amp;". Pouvez-vous nous indiquer la date de règlement prévue ? Si le paiement est déjà parti, merci de nous envoyer la preuve et ne tenez pas compte de ce message. "&amp;Paramètres!$B$11&amp;", "&amp;Paramètres!$B$12,IF(K5="En retard","Bonjour "&amp;D5&amp;", votre commande "&amp;A5&amp;" ("&amp;E5&amp;", "&amp;F5&amp;" pièces) prévue le "&amp;TEXT(I5,"dd/mm/yyyy")&amp;" a pris du retard. Nous vous confirmons la nouvelle date de livraison dans la journée. Toutes nos excuses pour ce contretemps. "&amp;Paramètres!$B$11&amp;", "&amp;Paramètres!$B$12,""))))</f>
        <v/>
      </c>
      <c r="T5" s="21" t="n"/>
      <c r="U5" s="26" t="n"/>
      <c r="V5" s="21" t="n"/>
    </row>
    <row r="6">
      <c r="A6" s="21" t="inlineStr">
        <is>
          <t>C-0005</t>
        </is>
      </c>
      <c r="B6" s="26" t="n">
        <v>46280</v>
      </c>
      <c r="C6" s="21" t="inlineStr">
        <is>
          <t>R004</t>
        </is>
      </c>
      <c r="D6" s="25">
        <f>IF(C6="","",IFERROR(VLOOKUP(C6,Revendeurs!$A:$B,2,FALSE),"Code inconnu"))</f>
        <v/>
      </c>
      <c r="E6" s="21" t="inlineStr">
        <is>
          <t>Bidon 5 L</t>
        </is>
      </c>
      <c r="F6" s="21" t="n">
        <v>480</v>
      </c>
      <c r="G6" s="22" t="n">
        <v>900</v>
      </c>
      <c r="H6" s="23">
        <f>IF(OR(F6="",G6=""),"",F6*G6)</f>
        <v/>
      </c>
      <c r="I6" s="26" t="n">
        <v>46287</v>
      </c>
      <c r="J6" s="26" t="n">
        <v>46288</v>
      </c>
      <c r="K6" s="25">
        <f>IF(B6="","",IF(J6&lt;&gt;"","Livrée",IF(I6="","À planifier",IF(Paramètres!$B$4&gt;I6+Paramètres!$B$8,"En retard","En cours"))))</f>
        <v/>
      </c>
      <c r="L6" s="25">
        <f>IF(K6="En retard",Paramètres!$B$4-I6,"")</f>
        <v/>
      </c>
      <c r="M6" s="27">
        <f>IF(OR(B6="",J6=""),"",J6+IFERROR(IF(VLOOKUP(C6,Revendeurs!$A:$G,7,FALSE)="",Paramètres!$B$9,VLOOKUP(C6,Revendeurs!$A:$G,7,FALSE)),Paramètres!$B$9))</f>
        <v/>
      </c>
      <c r="N6" s="22" t="n">
        <v>0</v>
      </c>
      <c r="O6" s="23">
        <f>IF(H6="","",H6-N6)</f>
        <v/>
      </c>
      <c r="P6" s="25">
        <f>IF(OR(M6="",O6=""),"",IF(O6&lt;=0,0,MAX(0,Paramètres!$B$4-M6)))</f>
        <v/>
      </c>
      <c r="Q6" s="25">
        <f>IF(H6="","",IF(O6&lt;=0,"Payée",IF(M6="","Pas encore livrée",IF(P6=0,"Non échue",IF(P6&gt;=Paramètres!$B$7,"Relance 3 : appel direction",IF(P6&gt;=Paramètres!$B$6,"Relance 2",IF(P6&gt;=Paramètres!$B$5,"Relance 1","Échue, relance à venir")))))))</f>
        <v/>
      </c>
      <c r="R6" s="25">
        <f>IF(B6="","",IF(U6=Paramètres!$B$4,"Relancé aujourd'hui",TRIM(IF(LEFT(Q6,7)="Relance",Q6&amp;" ","")&amp;IF(K6="En retard","· Prévenir du retard de livraison",""))))</f>
        <v/>
      </c>
      <c r="S6" s="28">
        <f>IF(B6="","",IF(LEFT(Q6,9)="Relance 3","Bonjour "&amp;D6&amp;", nous revenons vers vous au sujet de la commande "&amp;A6&amp;" du "&amp;TEXT(B6,"dd/mm/yyyy")&amp;" : "&amp;SUBSTITUTE(TEXT(O6,"#,##0"),","," ")&amp;" FCFA restent à régler depuis le "&amp;TEXT(M6,"dd/mm/yyyy")&amp;". Notre responsable souhaite vous appeler pour convenir ensemble d'une solution. Quel moment vous arrange cette semaine ? "&amp;Paramètres!$B$11&amp;", "&amp;Paramètres!$B$12,IF(LEFT(Q6,7)="Relance","Bonjour "&amp;D6&amp;", sauf erreur de notre part, la commande "&amp;A6&amp;" du "&amp;TEXT(B6,"dd/mm/yyyy")&amp;" ("&amp;E6&amp;") présente un reste à payer de "&amp;SUBSTITUTE(TEXT(O6,"#,##0"),","," ")&amp;" FCFA, échu depuis le "&amp;TEXT(M6,"dd/mm/yyyy")&amp;". Pouvez-vous nous indiquer la date de règlement prévue ? Si le paiement est déjà parti, merci de nous envoyer la preuve et ne tenez pas compte de ce message. "&amp;Paramètres!$B$11&amp;", "&amp;Paramètres!$B$12,IF(K6="En retard","Bonjour "&amp;D6&amp;", votre commande "&amp;A6&amp;" ("&amp;E6&amp;", "&amp;F6&amp;" pièces) prévue le "&amp;TEXT(I6,"dd/mm/yyyy")&amp;" a pris du retard. Nous vous confirmons la nouvelle date de livraison dans la journée. Toutes nos excuses pour ce contretemps. "&amp;Paramètres!$B$11&amp;", "&amp;Paramètres!$B$12,""))))</f>
        <v/>
      </c>
      <c r="T6" s="21" t="n"/>
      <c r="U6" s="26" t="n"/>
      <c r="V6" s="21" t="n"/>
    </row>
    <row r="7">
      <c r="A7" s="21" t="inlineStr">
        <is>
          <t>C-0006</t>
        </is>
      </c>
      <c r="B7" s="26" t="n">
        <v>46290</v>
      </c>
      <c r="C7" s="21" t="inlineStr">
        <is>
          <t>R005</t>
        </is>
      </c>
      <c r="D7" s="25">
        <f>IF(C7="","",IFERROR(VLOOKUP(C7,Revendeurs!$A:$B,2,FALSE),"Code inconnu"))</f>
        <v/>
      </c>
      <c r="E7" s="21" t="inlineStr">
        <is>
          <t>Cuve de stockage (capacité à préciser)</t>
        </is>
      </c>
      <c r="F7" s="21" t="n">
        <v>10</v>
      </c>
      <c r="G7" s="22" t="n">
        <v>150000</v>
      </c>
      <c r="H7" s="23">
        <f>IF(OR(F7="",G7=""),"",F7*G7)</f>
        <v/>
      </c>
      <c r="I7" s="26" t="n">
        <v>46297</v>
      </c>
      <c r="J7" s="26" t="n">
        <v>46298</v>
      </c>
      <c r="K7" s="25">
        <f>IF(B7="","",IF(J7&lt;&gt;"","Livrée",IF(I7="","À planifier",IF(Paramètres!$B$4&gt;I7+Paramètres!$B$8,"En retard","En cours"))))</f>
        <v/>
      </c>
      <c r="L7" s="25">
        <f>IF(K7="En retard",Paramètres!$B$4-I7,"")</f>
        <v/>
      </c>
      <c r="M7" s="27">
        <f>IF(OR(B7="",J7=""),"",J7+IFERROR(IF(VLOOKUP(C7,Revendeurs!$A:$G,7,FALSE)="",Paramètres!$B$9,VLOOKUP(C7,Revendeurs!$A:$G,7,FALSE)),Paramètres!$B$9))</f>
        <v/>
      </c>
      <c r="N7" s="22" t="n">
        <v>0</v>
      </c>
      <c r="O7" s="23">
        <f>IF(H7="","",H7-N7)</f>
        <v/>
      </c>
      <c r="P7" s="25">
        <f>IF(OR(M7="",O7=""),"",IF(O7&lt;=0,0,MAX(0,Paramètres!$B$4-M7)))</f>
        <v/>
      </c>
      <c r="Q7" s="25">
        <f>IF(H7="","",IF(O7&lt;=0,"Payée",IF(M7="","Pas encore livrée",IF(P7=0,"Non échue",IF(P7&gt;=Paramètres!$B$7,"Relance 3 : appel direction",IF(P7&gt;=Paramètres!$B$6,"Relance 2",IF(P7&gt;=Paramètres!$B$5,"Relance 1","Échue, relance à venir")))))))</f>
        <v/>
      </c>
      <c r="R7" s="25">
        <f>IF(B7="","",IF(U7=Paramètres!$B$4,"Relancé aujourd'hui",TRIM(IF(LEFT(Q7,7)="Relance",Q7&amp;" ","")&amp;IF(K7="En retard","· Prévenir du retard de livraison",""))))</f>
        <v/>
      </c>
      <c r="S7" s="28">
        <f>IF(B7="","",IF(LEFT(Q7,9)="Relance 3","Bonjour "&amp;D7&amp;", nous revenons vers vous au sujet de la commande "&amp;A7&amp;" du "&amp;TEXT(B7,"dd/mm/yyyy")&amp;" : "&amp;SUBSTITUTE(TEXT(O7,"#,##0"),","," ")&amp;" FCFA restent à régler depuis le "&amp;TEXT(M7,"dd/mm/yyyy")&amp;". Notre responsable souhaite vous appeler pour convenir ensemble d'une solution. Quel moment vous arrange cette semaine ? "&amp;Paramètres!$B$11&amp;", "&amp;Paramètres!$B$12,IF(LEFT(Q7,7)="Relance","Bonjour "&amp;D7&amp;", sauf erreur de notre part, la commande "&amp;A7&amp;" du "&amp;TEXT(B7,"dd/mm/yyyy")&amp;" ("&amp;E7&amp;") présente un reste à payer de "&amp;SUBSTITUTE(TEXT(O7,"#,##0"),","," ")&amp;" FCFA, échu depuis le "&amp;TEXT(M7,"dd/mm/yyyy")&amp;". Pouvez-vous nous indiquer la date de règlement prévue ? Si le paiement est déjà parti, merci de nous envoyer la preuve et ne tenez pas compte de ce message. "&amp;Paramètres!$B$11&amp;", "&amp;Paramètres!$B$12,IF(K7="En retard","Bonjour "&amp;D7&amp;", votre commande "&amp;A7&amp;" ("&amp;E7&amp;", "&amp;F7&amp;" pièces) prévue le "&amp;TEXT(I7,"dd/mm/yyyy")&amp;" a pris du retard. Nous vous confirmons la nouvelle date de livraison dans la journée. Toutes nos excuses pour ce contretemps. "&amp;Paramètres!$B$11&amp;", "&amp;Paramètres!$B$12,""))))</f>
        <v/>
      </c>
      <c r="T7" s="21" t="n"/>
      <c r="U7" s="26" t="n"/>
      <c r="V7" s="21" t="n"/>
    </row>
    <row r="8">
      <c r="A8" s="21" t="inlineStr">
        <is>
          <t>C-0007</t>
        </is>
      </c>
      <c r="B8" s="26" t="n">
        <v>46300</v>
      </c>
      <c r="C8" s="21" t="inlineStr">
        <is>
          <t>R002</t>
        </is>
      </c>
      <c r="D8" s="25">
        <f>IF(C8="","",IFERROR(VLOOKUP(C8,Revendeurs!$A:$B,2,FALSE),"Code inconnu"))</f>
        <v/>
      </c>
      <c r="E8" s="21" t="inlineStr">
        <is>
          <t>Arrosoir 15 L</t>
        </is>
      </c>
      <c r="F8" s="21" t="n">
        <v>60</v>
      </c>
      <c r="G8" s="22" t="n">
        <v>2500</v>
      </c>
      <c r="H8" s="23">
        <f>IF(OR(F8="",G8=""),"",F8*G8)</f>
        <v/>
      </c>
      <c r="I8" s="26" t="n">
        <v>46307</v>
      </c>
      <c r="J8" s="26" t="n">
        <v>46307</v>
      </c>
      <c r="K8" s="25">
        <f>IF(B8="","",IF(J8&lt;&gt;"","Livrée",IF(I8="","À planifier",IF(Paramètres!$B$4&gt;I8+Paramètres!$B$8,"En retard","En cours"))))</f>
        <v/>
      </c>
      <c r="L8" s="25">
        <f>IF(K8="En retard",Paramètres!$B$4-I8,"")</f>
        <v/>
      </c>
      <c r="M8" s="27">
        <f>IF(OR(B8="",J8=""),"",J8+IFERROR(IF(VLOOKUP(C8,Revendeurs!$A:$G,7,FALSE)="",Paramètres!$B$9,VLOOKUP(C8,Revendeurs!$A:$G,7,FALSE)),Paramètres!$B$9))</f>
        <v/>
      </c>
      <c r="N8" s="22" t="n">
        <v>0</v>
      </c>
      <c r="O8" s="23">
        <f>IF(H8="","",H8-N8)</f>
        <v/>
      </c>
      <c r="P8" s="25">
        <f>IF(OR(M8="",O8=""),"",IF(O8&lt;=0,0,MAX(0,Paramètres!$B$4-M8)))</f>
        <v/>
      </c>
      <c r="Q8" s="25">
        <f>IF(H8="","",IF(O8&lt;=0,"Payée",IF(M8="","Pas encore livrée",IF(P8=0,"Non échue",IF(P8&gt;=Paramètres!$B$7,"Relance 3 : appel direction",IF(P8&gt;=Paramètres!$B$6,"Relance 2",IF(P8&gt;=Paramètres!$B$5,"Relance 1","Échue, relance à venir")))))))</f>
        <v/>
      </c>
      <c r="R8" s="25">
        <f>IF(B8="","",IF(U8=Paramètres!$B$4,"Relancé aujourd'hui",TRIM(IF(LEFT(Q8,7)="Relance",Q8&amp;" ","")&amp;IF(K8="En retard","· Prévenir du retard de livraison",""))))</f>
        <v/>
      </c>
      <c r="S8" s="28">
        <f>IF(B8="","",IF(LEFT(Q8,9)="Relance 3","Bonjour "&amp;D8&amp;", nous revenons vers vous au sujet de la commande "&amp;A8&amp;" du "&amp;TEXT(B8,"dd/mm/yyyy")&amp;" : "&amp;SUBSTITUTE(TEXT(O8,"#,##0"),","," ")&amp;" FCFA restent à régler depuis le "&amp;TEXT(M8,"dd/mm/yyyy")&amp;". Notre responsable souhaite vous appeler pour convenir ensemble d'une solution. Quel moment vous arrange cette semaine ? "&amp;Paramètres!$B$11&amp;", "&amp;Paramètres!$B$12,IF(LEFT(Q8,7)="Relance","Bonjour "&amp;D8&amp;", sauf erreur de notre part, la commande "&amp;A8&amp;" du "&amp;TEXT(B8,"dd/mm/yyyy")&amp;" ("&amp;E8&amp;") présente un reste à payer de "&amp;SUBSTITUTE(TEXT(O8,"#,##0"),","," ")&amp;" FCFA, échu depuis le "&amp;TEXT(M8,"dd/mm/yyyy")&amp;". Pouvez-vous nous indiquer la date de règlement prévue ? Si le paiement est déjà parti, merci de nous envoyer la preuve et ne tenez pas compte de ce message. "&amp;Paramètres!$B$11&amp;", "&amp;Paramètres!$B$12,IF(K8="En retard","Bonjour "&amp;D8&amp;", votre commande "&amp;A8&amp;" ("&amp;E8&amp;", "&amp;F8&amp;" pièces) prévue le "&amp;TEXT(I8,"dd/mm/yyyy")&amp;" a pris du retard. Nous vous confirmons la nouvelle date de livraison dans la journée. Toutes nos excuses pour ce contretemps. "&amp;Paramètres!$B$11&amp;", "&amp;Paramètres!$B$12,""))))</f>
        <v/>
      </c>
      <c r="T8" s="21" t="n"/>
      <c r="U8" s="26" t="n"/>
      <c r="V8" s="21" t="n"/>
    </row>
    <row r="9">
      <c r="A9" s="21" t="inlineStr">
        <is>
          <t>C-0008</t>
        </is>
      </c>
      <c r="B9" s="26" t="n">
        <v>46307</v>
      </c>
      <c r="C9" s="21" t="inlineStr">
        <is>
          <t>R003</t>
        </is>
      </c>
      <c r="D9" s="25">
        <f>IF(C9="","",IFERROR(VLOOKUP(C9,Revendeurs!$A:$B,2,FALSE),"Code inconnu"))</f>
        <v/>
      </c>
      <c r="E9" s="21" t="inlineStr">
        <is>
          <t>Armoire de rangement</t>
        </is>
      </c>
      <c r="F9" s="21" t="n">
        <v>40</v>
      </c>
      <c r="G9" s="22" t="n">
        <v>25000</v>
      </c>
      <c r="H9" s="23">
        <f>IF(OR(F9="",G9=""),"",F9*G9)</f>
        <v/>
      </c>
      <c r="I9" s="26" t="n">
        <v>46315</v>
      </c>
      <c r="J9" s="26" t="n"/>
      <c r="K9" s="25">
        <f>IF(B9="","",IF(J9&lt;&gt;"","Livrée",IF(I9="","À planifier",IF(Paramètres!$B$4&gt;I9+Paramètres!$B$8,"En retard","En cours"))))</f>
        <v/>
      </c>
      <c r="L9" s="25">
        <f>IF(K9="En retard",Paramètres!$B$4-I9,"")</f>
        <v/>
      </c>
      <c r="M9" s="27">
        <f>IF(OR(B9="",J9=""),"",J9+IFERROR(IF(VLOOKUP(C9,Revendeurs!$A:$G,7,FALSE)="",Paramètres!$B$9,VLOOKUP(C9,Revendeurs!$A:$G,7,FALSE)),Paramètres!$B$9))</f>
        <v/>
      </c>
      <c r="N9" s="22" t="n">
        <v>0</v>
      </c>
      <c r="O9" s="23">
        <f>IF(H9="","",H9-N9)</f>
        <v/>
      </c>
      <c r="P9" s="25">
        <f>IF(OR(M9="",O9=""),"",IF(O9&lt;=0,0,MAX(0,Paramètres!$B$4-M9)))</f>
        <v/>
      </c>
      <c r="Q9" s="25">
        <f>IF(H9="","",IF(O9&lt;=0,"Payée",IF(M9="","Pas encore livrée",IF(P9=0,"Non échue",IF(P9&gt;=Paramètres!$B$7,"Relance 3 : appel direction",IF(P9&gt;=Paramètres!$B$6,"Relance 2",IF(P9&gt;=Paramètres!$B$5,"Relance 1","Échue, relance à venir")))))))</f>
        <v/>
      </c>
      <c r="R9" s="25">
        <f>IF(B9="","",IF(U9=Paramètres!$B$4,"Relancé aujourd'hui",TRIM(IF(LEFT(Q9,7)="Relance",Q9&amp;" ","")&amp;IF(K9="En retard","· Prévenir du retard de livraison",""))))</f>
        <v/>
      </c>
      <c r="S9" s="28">
        <f>IF(B9="","",IF(LEFT(Q9,9)="Relance 3","Bonjour "&amp;D9&amp;", nous revenons vers vous au sujet de la commande "&amp;A9&amp;" du "&amp;TEXT(B9,"dd/mm/yyyy")&amp;" : "&amp;SUBSTITUTE(TEXT(O9,"#,##0"),","," ")&amp;" FCFA restent à régler depuis le "&amp;TEXT(M9,"dd/mm/yyyy")&amp;". Notre responsable souhaite vous appeler pour convenir ensemble d'une solution. Quel moment vous arrange cette semaine ? "&amp;Paramètres!$B$11&amp;", "&amp;Paramètres!$B$12,IF(LEFT(Q9,7)="Relance","Bonjour "&amp;D9&amp;", sauf erreur de notre part, la commande "&amp;A9&amp;" du "&amp;TEXT(B9,"dd/mm/yyyy")&amp;" ("&amp;E9&amp;") présente un reste à payer de "&amp;SUBSTITUTE(TEXT(O9,"#,##0"),","," ")&amp;" FCFA, échu depuis le "&amp;TEXT(M9,"dd/mm/yyyy")&amp;". Pouvez-vous nous indiquer la date de règlement prévue ? Si le paiement est déjà parti, merci de nous envoyer la preuve et ne tenez pas compte de ce message. "&amp;Paramètres!$B$11&amp;", "&amp;Paramètres!$B$12,IF(K9="En retard","Bonjour "&amp;D9&amp;", votre commande "&amp;A9&amp;" ("&amp;E9&amp;", "&amp;F9&amp;" pièces) prévue le "&amp;TEXT(I9,"dd/mm/yyyy")&amp;" a pris du retard. Nous vous confirmons la nouvelle date de livraison dans la journée. Toutes nos excuses pour ce contretemps. "&amp;Paramètres!$B$11&amp;", "&amp;Paramètres!$B$12,""))))</f>
        <v/>
      </c>
      <c r="T9" s="21" t="n"/>
      <c r="U9" s="26" t="n"/>
      <c r="V9" s="21" t="n"/>
    </row>
    <row r="10">
      <c r="A10" s="21" t="inlineStr">
        <is>
          <t>C-0009</t>
        </is>
      </c>
      <c r="B10" s="26" t="n">
        <v>46310</v>
      </c>
      <c r="C10" s="21" t="inlineStr">
        <is>
          <t>R005</t>
        </is>
      </c>
      <c r="D10" s="25">
        <f>IF(C10="","",IFERROR(VLOOKUP(C10,Revendeurs!$A:$B,2,FALSE),"Code inconnu"))</f>
        <v/>
      </c>
      <c r="E10" s="21" t="inlineStr">
        <is>
          <t>Fosse septique (modèle à préciser)</t>
        </is>
      </c>
      <c r="F10" s="21" t="n">
        <v>6</v>
      </c>
      <c r="G10" s="22" t="n">
        <v>250000</v>
      </c>
      <c r="H10" s="23">
        <f>IF(OR(F10="",G10=""),"",F10*G10)</f>
        <v/>
      </c>
      <c r="I10" s="26" t="n">
        <v>46317</v>
      </c>
      <c r="J10" s="26" t="n"/>
      <c r="K10" s="25">
        <f>IF(B10="","",IF(J10&lt;&gt;"","Livrée",IF(I10="","À planifier",IF(Paramètres!$B$4&gt;I10+Paramètres!$B$8,"En retard","En cours"))))</f>
        <v/>
      </c>
      <c r="L10" s="25">
        <f>IF(K10="En retard",Paramètres!$B$4-I10,"")</f>
        <v/>
      </c>
      <c r="M10" s="27">
        <f>IF(OR(B10="",J10=""),"",J10+IFERROR(IF(VLOOKUP(C10,Revendeurs!$A:$G,7,FALSE)="",Paramètres!$B$9,VLOOKUP(C10,Revendeurs!$A:$G,7,FALSE)),Paramètres!$B$9))</f>
        <v/>
      </c>
      <c r="N10" s="22" t="n">
        <v>0</v>
      </c>
      <c r="O10" s="23">
        <f>IF(H10="","",H10-N10)</f>
        <v/>
      </c>
      <c r="P10" s="25">
        <f>IF(OR(M10="",O10=""),"",IF(O10&lt;=0,0,MAX(0,Paramètres!$B$4-M10)))</f>
        <v/>
      </c>
      <c r="Q10" s="25">
        <f>IF(H10="","",IF(O10&lt;=0,"Payée",IF(M10="","Pas encore livrée",IF(P10=0,"Non échue",IF(P10&gt;=Paramètres!$B$7,"Relance 3 : appel direction",IF(P10&gt;=Paramètres!$B$6,"Relance 2",IF(P10&gt;=Paramètres!$B$5,"Relance 1","Échue, relance à venir")))))))</f>
        <v/>
      </c>
      <c r="R10" s="25">
        <f>IF(B10="","",IF(U10=Paramètres!$B$4,"Relancé aujourd'hui",TRIM(IF(LEFT(Q10,7)="Relance",Q10&amp;" ","")&amp;IF(K10="En retard","· Prévenir du retard de livraison",""))))</f>
        <v/>
      </c>
      <c r="S10" s="28">
        <f>IF(B10="","",IF(LEFT(Q10,9)="Relance 3","Bonjour "&amp;D10&amp;", nous revenons vers vous au sujet de la commande "&amp;A10&amp;" du "&amp;TEXT(B10,"dd/mm/yyyy")&amp;" : "&amp;SUBSTITUTE(TEXT(O10,"#,##0"),","," ")&amp;" FCFA restent à régler depuis le "&amp;TEXT(M10,"dd/mm/yyyy")&amp;". Notre responsable souhaite vous appeler pour convenir ensemble d'une solution. Quel moment vous arrange cette semaine ? "&amp;Paramètres!$B$11&amp;", "&amp;Paramètres!$B$12,IF(LEFT(Q10,7)="Relance","Bonjour "&amp;D10&amp;", sauf erreur de notre part, la commande "&amp;A10&amp;" du "&amp;TEXT(B10,"dd/mm/yyyy")&amp;" ("&amp;E10&amp;") présente un reste à payer de "&amp;SUBSTITUTE(TEXT(O10,"#,##0"),","," ")&amp;" FCFA, échu depuis le "&amp;TEXT(M10,"dd/mm/yyyy")&amp;". Pouvez-vous nous indiquer la date de règlement prévue ? Si le paiement est déjà parti, merci de nous envoyer la preuve et ne tenez pas compte de ce message. "&amp;Paramètres!$B$11&amp;", "&amp;Paramètres!$B$12,IF(K10="En retard","Bonjour "&amp;D10&amp;", votre commande "&amp;A10&amp;" ("&amp;E10&amp;", "&amp;F10&amp;" pièces) prévue le "&amp;TEXT(I10,"dd/mm/yyyy")&amp;" a pris du retard. Nous vous confirmons la nouvelle date de livraison dans la journée. Toutes nos excuses pour ce contretemps. "&amp;Paramètres!$B$11&amp;", "&amp;Paramètres!$B$12,""))))</f>
        <v/>
      </c>
      <c r="T10" s="21" t="n"/>
      <c r="U10" s="26" t="n"/>
      <c r="V10" s="21" t="n"/>
    </row>
    <row r="11">
      <c r="A11" s="21" t="inlineStr">
        <is>
          <t>C-0010</t>
        </is>
      </c>
      <c r="B11" s="26" t="n">
        <v>46315</v>
      </c>
      <c r="C11" s="21" t="inlineStr">
        <is>
          <t>R001</t>
        </is>
      </c>
      <c r="D11" s="25">
        <f>IF(C11="","",IFERROR(VLOOKUP(C11,Revendeurs!$A:$B,2,FALSE),"Code inconnu"))</f>
        <v/>
      </c>
      <c r="E11" s="21" t="inlineStr">
        <is>
          <t>Chaise Ibiza</t>
        </is>
      </c>
      <c r="F11" s="21" t="n">
        <v>300</v>
      </c>
      <c r="G11" s="22" t="n">
        <v>4500</v>
      </c>
      <c r="H11" s="23">
        <f>IF(OR(F11="",G11=""),"",F11*G11)</f>
        <v/>
      </c>
      <c r="I11" s="26" t="n">
        <v>46325</v>
      </c>
      <c r="J11" s="26" t="n"/>
      <c r="K11" s="25">
        <f>IF(B11="","",IF(J11&lt;&gt;"","Livrée",IF(I11="","À planifier",IF(Paramètres!$B$4&gt;I11+Paramètres!$B$8,"En retard","En cours"))))</f>
        <v/>
      </c>
      <c r="L11" s="25">
        <f>IF(K11="En retard",Paramètres!$B$4-I11,"")</f>
        <v/>
      </c>
      <c r="M11" s="27">
        <f>IF(OR(B11="",J11=""),"",J11+IFERROR(IF(VLOOKUP(C11,Revendeurs!$A:$G,7,FALSE)="",Paramètres!$B$9,VLOOKUP(C11,Revendeurs!$A:$G,7,FALSE)),Paramètres!$B$9))</f>
        <v/>
      </c>
      <c r="N11" s="22" t="n">
        <v>0</v>
      </c>
      <c r="O11" s="23">
        <f>IF(H11="","",H11-N11)</f>
        <v/>
      </c>
      <c r="P11" s="25">
        <f>IF(OR(M11="",O11=""),"",IF(O11&lt;=0,0,MAX(0,Paramètres!$B$4-M11)))</f>
        <v/>
      </c>
      <c r="Q11" s="25">
        <f>IF(H11="","",IF(O11&lt;=0,"Payée",IF(M11="","Pas encore livrée",IF(P11=0,"Non échue",IF(P11&gt;=Paramètres!$B$7,"Relance 3 : appel direction",IF(P11&gt;=Paramètres!$B$6,"Relance 2",IF(P11&gt;=Paramètres!$B$5,"Relance 1","Échue, relance à venir")))))))</f>
        <v/>
      </c>
      <c r="R11" s="25">
        <f>IF(B11="","",IF(U11=Paramètres!$B$4,"Relancé aujourd'hui",TRIM(IF(LEFT(Q11,7)="Relance",Q11&amp;" ","")&amp;IF(K11="En retard","· Prévenir du retard de livraison",""))))</f>
        <v/>
      </c>
      <c r="S11" s="28">
        <f>IF(B11="","",IF(LEFT(Q11,9)="Relance 3","Bonjour "&amp;D11&amp;", nous revenons vers vous au sujet de la commande "&amp;A11&amp;" du "&amp;TEXT(B11,"dd/mm/yyyy")&amp;" : "&amp;SUBSTITUTE(TEXT(O11,"#,##0"),","," ")&amp;" FCFA restent à régler depuis le "&amp;TEXT(M11,"dd/mm/yyyy")&amp;". Notre responsable souhaite vous appeler pour convenir ensemble d'une solution. Quel moment vous arrange cette semaine ? "&amp;Paramètres!$B$11&amp;", "&amp;Paramètres!$B$12,IF(LEFT(Q11,7)="Relance","Bonjour "&amp;D11&amp;", sauf erreur de notre part, la commande "&amp;A11&amp;" du "&amp;TEXT(B11,"dd/mm/yyyy")&amp;" ("&amp;E11&amp;") présente un reste à payer de "&amp;SUBSTITUTE(TEXT(O11,"#,##0"),","," ")&amp;" FCFA, échu depuis le "&amp;TEXT(M11,"dd/mm/yyyy")&amp;". Pouvez-vous nous indiquer la date de règlement prévue ? Si le paiement est déjà parti, merci de nous envoyer la preuve et ne tenez pas compte de ce message. "&amp;Paramètres!$B$11&amp;", "&amp;Paramètres!$B$12,IF(K11="En retard","Bonjour "&amp;D11&amp;", votre commande "&amp;A11&amp;" ("&amp;E11&amp;", "&amp;F11&amp;" pièces) prévue le "&amp;TEXT(I11,"dd/mm/yyyy")&amp;" a pris du retard. Nous vous confirmons la nouvelle date de livraison dans la journée. Toutes nos excuses pour ce contretemps. "&amp;Paramètres!$B$11&amp;", "&amp;Paramètres!$B$12,""))))</f>
        <v/>
      </c>
      <c r="T11" s="21" t="n"/>
      <c r="U11" s="26" t="n"/>
      <c r="V11" s="21" t="n"/>
    </row>
    <row r="12">
      <c r="A12" s="21" t="inlineStr">
        <is>
          <t>C-0011</t>
        </is>
      </c>
      <c r="B12" s="26" t="n">
        <v>46317</v>
      </c>
      <c r="C12" s="21" t="inlineStr">
        <is>
          <t>R004</t>
        </is>
      </c>
      <c r="D12" s="25">
        <f>IF(C12="","",IFERROR(VLOOKUP(C12,Revendeurs!$A:$B,2,FALSE),"Code inconnu"))</f>
        <v/>
      </c>
      <c r="E12" s="21" t="inlineStr">
        <is>
          <t>Bidon 25 L</t>
        </is>
      </c>
      <c r="F12" s="21" t="n">
        <v>50</v>
      </c>
      <c r="G12" s="22" t="n">
        <v>3500</v>
      </c>
      <c r="H12" s="23">
        <f>IF(OR(F12="",G12=""),"",F12*G12)</f>
        <v/>
      </c>
      <c r="I12" s="26" t="n">
        <v>46324</v>
      </c>
      <c r="J12" s="26" t="n"/>
      <c r="K12" s="25">
        <f>IF(B12="","",IF(J12&lt;&gt;"","Livrée",IF(I12="","À planifier",IF(Paramètres!$B$4&gt;I12+Paramètres!$B$8,"En retard","En cours"))))</f>
        <v/>
      </c>
      <c r="L12" s="25">
        <f>IF(K12="En retard",Paramètres!$B$4-I12,"")</f>
        <v/>
      </c>
      <c r="M12" s="27">
        <f>IF(OR(B12="",J12=""),"",J12+IFERROR(IF(VLOOKUP(C12,Revendeurs!$A:$G,7,FALSE)="",Paramètres!$B$9,VLOOKUP(C12,Revendeurs!$A:$G,7,FALSE)),Paramètres!$B$9))</f>
        <v/>
      </c>
      <c r="N12" s="22" t="n">
        <v>0</v>
      </c>
      <c r="O12" s="23">
        <f>IF(H12="","",H12-N12)</f>
        <v/>
      </c>
      <c r="P12" s="25">
        <f>IF(OR(M12="",O12=""),"",IF(O12&lt;=0,0,MAX(0,Paramètres!$B$4-M12)))</f>
        <v/>
      </c>
      <c r="Q12" s="25">
        <f>IF(H12="","",IF(O12&lt;=0,"Payée",IF(M12="","Pas encore livrée",IF(P12=0,"Non échue",IF(P12&gt;=Paramètres!$B$7,"Relance 3 : appel direction",IF(P12&gt;=Paramètres!$B$6,"Relance 2",IF(P12&gt;=Paramètres!$B$5,"Relance 1","Échue, relance à venir")))))))</f>
        <v/>
      </c>
      <c r="R12" s="25">
        <f>IF(B12="","",IF(U12=Paramètres!$B$4,"Relancé aujourd'hui",TRIM(IF(LEFT(Q12,7)="Relance",Q12&amp;" ","")&amp;IF(K12="En retard","· Prévenir du retard de livraison",""))))</f>
        <v/>
      </c>
      <c r="S12" s="28">
        <f>IF(B12="","",IF(LEFT(Q12,9)="Relance 3","Bonjour "&amp;D12&amp;", nous revenons vers vous au sujet de la commande "&amp;A12&amp;" du "&amp;TEXT(B12,"dd/mm/yyyy")&amp;" : "&amp;SUBSTITUTE(TEXT(O12,"#,##0"),","," ")&amp;" FCFA restent à régler depuis le "&amp;TEXT(M12,"dd/mm/yyyy")&amp;". Notre responsable souhaite vous appeler pour convenir ensemble d'une solution. Quel moment vous arrange cette semaine ? "&amp;Paramètres!$B$11&amp;", "&amp;Paramètres!$B$12,IF(LEFT(Q12,7)="Relance","Bonjour "&amp;D12&amp;", sauf erreur de notre part, la commande "&amp;A12&amp;" du "&amp;TEXT(B12,"dd/mm/yyyy")&amp;" ("&amp;E12&amp;") présente un reste à payer de "&amp;SUBSTITUTE(TEXT(O12,"#,##0"),","," ")&amp;" FCFA, échu depuis le "&amp;TEXT(M12,"dd/mm/yyyy")&amp;". Pouvez-vous nous indiquer la date de règlement prévue ? Si le paiement est déjà parti, merci de nous envoyer la preuve et ne tenez pas compte de ce message. "&amp;Paramètres!$B$11&amp;", "&amp;Paramètres!$B$12,IF(K12="En retard","Bonjour "&amp;D12&amp;", votre commande "&amp;A12&amp;" ("&amp;E12&amp;", "&amp;F12&amp;" pièces) prévue le "&amp;TEXT(I12,"dd/mm/yyyy")&amp;" a pris du retard. Nous vous confirmons la nouvelle date de livraison dans la journée. Toutes nos excuses pour ce contretemps. "&amp;Paramètres!$B$11&amp;", "&amp;Paramètres!$B$12,""))))</f>
        <v/>
      </c>
      <c r="T12" s="21" t="n"/>
      <c r="U12" s="26" t="n"/>
      <c r="V12" s="21" t="n"/>
    </row>
    <row r="13">
      <c r="A13" s="21" t="inlineStr">
        <is>
          <t>C-0012</t>
        </is>
      </c>
      <c r="B13" s="26" t="n">
        <v>46321</v>
      </c>
      <c r="C13" s="21" t="inlineStr">
        <is>
          <t>R002</t>
        </is>
      </c>
      <c r="D13" s="25">
        <f>IF(C13="","",IFERROR(VLOOKUP(C13,Revendeurs!$A:$B,2,FALSE),"Code inconnu"))</f>
        <v/>
      </c>
      <c r="E13" s="21" t="inlineStr">
        <is>
          <t>Tube orange (rouleau)</t>
        </is>
      </c>
      <c r="F13" s="21" t="n">
        <v>30</v>
      </c>
      <c r="G13" s="22" t="n">
        <v>20000</v>
      </c>
      <c r="H13" s="23">
        <f>IF(OR(F13="",G13=""),"",F13*G13)</f>
        <v/>
      </c>
      <c r="I13" s="26" t="n">
        <v>46328</v>
      </c>
      <c r="J13" s="26" t="n"/>
      <c r="K13" s="25">
        <f>IF(B13="","",IF(J13&lt;&gt;"","Livrée",IF(I13="","À planifier",IF(Paramètres!$B$4&gt;I13+Paramètres!$B$8,"En retard","En cours"))))</f>
        <v/>
      </c>
      <c r="L13" s="25">
        <f>IF(K13="En retard",Paramètres!$B$4-I13,"")</f>
        <v/>
      </c>
      <c r="M13" s="27">
        <f>IF(OR(B13="",J13=""),"",J13+IFERROR(IF(VLOOKUP(C13,Revendeurs!$A:$G,7,FALSE)="",Paramètres!$B$9,VLOOKUP(C13,Revendeurs!$A:$G,7,FALSE)),Paramètres!$B$9))</f>
        <v/>
      </c>
      <c r="N13" s="22" t="n">
        <v>0</v>
      </c>
      <c r="O13" s="23">
        <f>IF(H13="","",H13-N13)</f>
        <v/>
      </c>
      <c r="P13" s="25">
        <f>IF(OR(M13="",O13=""),"",IF(O13&lt;=0,0,MAX(0,Paramètres!$B$4-M13)))</f>
        <v/>
      </c>
      <c r="Q13" s="25">
        <f>IF(H13="","",IF(O13&lt;=0,"Payée",IF(M13="","Pas encore livrée",IF(P13=0,"Non échue",IF(P13&gt;=Paramètres!$B$7,"Relance 3 : appel direction",IF(P13&gt;=Paramètres!$B$6,"Relance 2",IF(P13&gt;=Paramètres!$B$5,"Relance 1","Échue, relance à venir")))))))</f>
        <v/>
      </c>
      <c r="R13" s="25">
        <f>IF(B13="","",IF(U13=Paramètres!$B$4,"Relancé aujourd'hui",TRIM(IF(LEFT(Q13,7)="Relance",Q13&amp;" ","")&amp;IF(K13="En retard","· Prévenir du retard de livraison",""))))</f>
        <v/>
      </c>
      <c r="S13" s="28">
        <f>IF(B13="","",IF(LEFT(Q13,9)="Relance 3","Bonjour "&amp;D13&amp;", nous revenons vers vous au sujet de la commande "&amp;A13&amp;" du "&amp;TEXT(B13,"dd/mm/yyyy")&amp;" : "&amp;SUBSTITUTE(TEXT(O13,"#,##0"),","," ")&amp;" FCFA restent à régler depuis le "&amp;TEXT(M13,"dd/mm/yyyy")&amp;". Notre responsable souhaite vous appeler pour convenir ensemble d'une solution. Quel moment vous arrange cette semaine ? "&amp;Paramètres!$B$11&amp;", "&amp;Paramètres!$B$12,IF(LEFT(Q13,7)="Relance","Bonjour "&amp;D13&amp;", sauf erreur de notre part, la commande "&amp;A13&amp;" du "&amp;TEXT(B13,"dd/mm/yyyy")&amp;" ("&amp;E13&amp;") présente un reste à payer de "&amp;SUBSTITUTE(TEXT(O13,"#,##0"),","," ")&amp;" FCFA, échu depuis le "&amp;TEXT(M13,"dd/mm/yyyy")&amp;". Pouvez-vous nous indiquer la date de règlement prévue ? Si le paiement est déjà parti, merci de nous envoyer la preuve et ne tenez pas compte de ce message. "&amp;Paramètres!$B$11&amp;", "&amp;Paramètres!$B$12,IF(K13="En retard","Bonjour "&amp;D13&amp;", votre commande "&amp;A13&amp;" ("&amp;E13&amp;", "&amp;F13&amp;" pièces) prévue le "&amp;TEXT(I13,"dd/mm/yyyy")&amp;" a pris du retard. Nous vous confirmons la nouvelle date de livraison dans la journée. Toutes nos excuses pour ce contretemps. "&amp;Paramètres!$B$11&amp;", "&amp;Paramètres!$B$12,""))))</f>
        <v/>
      </c>
      <c r="T13" s="21" t="n"/>
      <c r="U13" s="26" t="n"/>
      <c r="V13" s="21" t="n"/>
    </row>
    <row r="14">
      <c r="A14" s="21" t="n"/>
      <c r="B14" s="26" t="n"/>
      <c r="C14" s="21" t="n"/>
      <c r="D14" s="25">
        <f>IF(C14="","",IFERROR(VLOOKUP(C14,Revendeurs!$A:$B,2,FALSE),"Code inconnu"))</f>
        <v/>
      </c>
      <c r="E14" s="21" t="n"/>
      <c r="F14" s="21" t="n"/>
      <c r="G14" s="22" t="n"/>
      <c r="H14" s="23">
        <f>IF(OR(F14="",G14=""),"",F14*G14)</f>
        <v/>
      </c>
      <c r="I14" s="26" t="n"/>
      <c r="J14" s="26" t="n"/>
      <c r="K14" s="25">
        <f>IF(B14="","",IF(J14&lt;&gt;"","Livrée",IF(I14="","À planifier",IF(Paramètres!$B$4&gt;I14+Paramètres!$B$8,"En retard","En cours"))))</f>
        <v/>
      </c>
      <c r="L14" s="25">
        <f>IF(K14="En retard",Paramètres!$B$4-I14,"")</f>
        <v/>
      </c>
      <c r="M14" s="27">
        <f>IF(OR(B14="",J14=""),"",J14+IFERROR(IF(VLOOKUP(C14,Revendeurs!$A:$G,7,FALSE)="",Paramètres!$B$9,VLOOKUP(C14,Revendeurs!$A:$G,7,FALSE)),Paramètres!$B$9))</f>
        <v/>
      </c>
      <c r="N14" s="22" t="n"/>
      <c r="O14" s="23">
        <f>IF(H14="","",H14-N14)</f>
        <v/>
      </c>
      <c r="P14" s="25">
        <f>IF(OR(M14="",O14=""),"",IF(O14&lt;=0,0,MAX(0,Paramètres!$B$4-M14)))</f>
        <v/>
      </c>
      <c r="Q14" s="25">
        <f>IF(H14="","",IF(O14&lt;=0,"Payée",IF(M14="","Pas encore livrée",IF(P14=0,"Non échue",IF(P14&gt;=Paramètres!$B$7,"Relance 3 : appel direction",IF(P14&gt;=Paramètres!$B$6,"Relance 2",IF(P14&gt;=Paramètres!$B$5,"Relance 1","Échue, relance à venir")))))))</f>
        <v/>
      </c>
      <c r="R14" s="25">
        <f>IF(B14="","",IF(U14=Paramètres!$B$4,"Relancé aujourd'hui",TRIM(IF(LEFT(Q14,7)="Relance",Q14&amp;" ","")&amp;IF(K14="En retard","· Prévenir du retard de livraison",""))))</f>
        <v/>
      </c>
      <c r="S14" s="28">
        <f>IF(B14="","",IF(LEFT(Q14,9)="Relance 3","Bonjour "&amp;D14&amp;", nous revenons vers vous au sujet de la commande "&amp;A14&amp;" du "&amp;TEXT(B14,"dd/mm/yyyy")&amp;" : "&amp;SUBSTITUTE(TEXT(O14,"#,##0"),","," ")&amp;" FCFA restent à régler depuis le "&amp;TEXT(M14,"dd/mm/yyyy")&amp;". Notre responsable souhaite vous appeler pour convenir ensemble d'une solution. Quel moment vous arrange cette semaine ? "&amp;Paramètres!$B$11&amp;", "&amp;Paramètres!$B$12,IF(LEFT(Q14,7)="Relance","Bonjour "&amp;D14&amp;", sauf erreur de notre part, la commande "&amp;A14&amp;" du "&amp;TEXT(B14,"dd/mm/yyyy")&amp;" ("&amp;E14&amp;") présente un reste à payer de "&amp;SUBSTITUTE(TEXT(O14,"#,##0"),","," ")&amp;" FCFA, échu depuis le "&amp;TEXT(M14,"dd/mm/yyyy")&amp;". Pouvez-vous nous indiquer la date de règlement prévue ? Si le paiement est déjà parti, merci de nous envoyer la preuve et ne tenez pas compte de ce message. "&amp;Paramètres!$B$11&amp;", "&amp;Paramètres!$B$12,IF(K14="En retard","Bonjour "&amp;D14&amp;", votre commande "&amp;A14&amp;" ("&amp;E14&amp;", "&amp;F14&amp;" pièces) prévue le "&amp;TEXT(I14,"dd/mm/yyyy")&amp;" a pris du retard. Nous vous confirmons la nouvelle date de livraison dans la journée. Toutes nos excuses pour ce contretemps. "&amp;Paramètres!$B$11&amp;", "&amp;Paramètres!$B$12,""))))</f>
        <v/>
      </c>
      <c r="T14" s="21" t="n"/>
      <c r="U14" s="26" t="n"/>
      <c r="V14" s="21" t="n"/>
    </row>
    <row r="15">
      <c r="A15" s="21" t="n"/>
      <c r="B15" s="26" t="n"/>
      <c r="C15" s="21" t="n"/>
      <c r="D15" s="25">
        <f>IF(C15="","",IFERROR(VLOOKUP(C15,Revendeurs!$A:$B,2,FALSE),"Code inconnu"))</f>
        <v/>
      </c>
      <c r="E15" s="21" t="n"/>
      <c r="F15" s="21" t="n"/>
      <c r="G15" s="22" t="n"/>
      <c r="H15" s="23">
        <f>IF(OR(F15="",G15=""),"",F15*G15)</f>
        <v/>
      </c>
      <c r="I15" s="26" t="n"/>
      <c r="J15" s="26" t="n"/>
      <c r="K15" s="25">
        <f>IF(B15="","",IF(J15&lt;&gt;"","Livrée",IF(I15="","À planifier",IF(Paramètres!$B$4&gt;I15+Paramètres!$B$8,"En retard","En cours"))))</f>
        <v/>
      </c>
      <c r="L15" s="25">
        <f>IF(K15="En retard",Paramètres!$B$4-I15,"")</f>
        <v/>
      </c>
      <c r="M15" s="27">
        <f>IF(OR(B15="",J15=""),"",J15+IFERROR(IF(VLOOKUP(C15,Revendeurs!$A:$G,7,FALSE)="",Paramètres!$B$9,VLOOKUP(C15,Revendeurs!$A:$G,7,FALSE)),Paramètres!$B$9))</f>
        <v/>
      </c>
      <c r="N15" s="22" t="n"/>
      <c r="O15" s="23">
        <f>IF(H15="","",H15-N15)</f>
        <v/>
      </c>
      <c r="P15" s="25">
        <f>IF(OR(M15="",O15=""),"",IF(O15&lt;=0,0,MAX(0,Paramètres!$B$4-M15)))</f>
        <v/>
      </c>
      <c r="Q15" s="25">
        <f>IF(H15="","",IF(O15&lt;=0,"Payée",IF(M15="","Pas encore livrée",IF(P15=0,"Non échue",IF(P15&gt;=Paramètres!$B$7,"Relance 3 : appel direction",IF(P15&gt;=Paramètres!$B$6,"Relance 2",IF(P15&gt;=Paramètres!$B$5,"Relance 1","Échue, relance à venir")))))))</f>
        <v/>
      </c>
      <c r="R15" s="25">
        <f>IF(B15="","",IF(U15=Paramètres!$B$4,"Relancé aujourd'hui",TRIM(IF(LEFT(Q15,7)="Relance",Q15&amp;" ","")&amp;IF(K15="En retard","· Prévenir du retard de livraison",""))))</f>
        <v/>
      </c>
      <c r="S15" s="28">
        <f>IF(B15="","",IF(LEFT(Q15,9)="Relance 3","Bonjour "&amp;D15&amp;", nous revenons vers vous au sujet de la commande "&amp;A15&amp;" du "&amp;TEXT(B15,"dd/mm/yyyy")&amp;" : "&amp;SUBSTITUTE(TEXT(O15,"#,##0"),","," ")&amp;" FCFA restent à régler depuis le "&amp;TEXT(M15,"dd/mm/yyyy")&amp;". Notre responsable souhaite vous appeler pour convenir ensemble d'une solution. Quel moment vous arrange cette semaine ? "&amp;Paramètres!$B$11&amp;", "&amp;Paramètres!$B$12,IF(LEFT(Q15,7)="Relance","Bonjour "&amp;D15&amp;", sauf erreur de notre part, la commande "&amp;A15&amp;" du "&amp;TEXT(B15,"dd/mm/yyyy")&amp;" ("&amp;E15&amp;") présente un reste à payer de "&amp;SUBSTITUTE(TEXT(O15,"#,##0"),","," ")&amp;" FCFA, échu depuis le "&amp;TEXT(M15,"dd/mm/yyyy")&amp;". Pouvez-vous nous indiquer la date de règlement prévue ? Si le paiement est déjà parti, merci de nous envoyer la preuve et ne tenez pas compte de ce message. "&amp;Paramètres!$B$11&amp;", "&amp;Paramètres!$B$12,IF(K15="En retard","Bonjour "&amp;D15&amp;", votre commande "&amp;A15&amp;" ("&amp;E15&amp;", "&amp;F15&amp;" pièces) prévue le "&amp;TEXT(I15,"dd/mm/yyyy")&amp;" a pris du retard. Nous vous confirmons la nouvelle date de livraison dans la journée. Toutes nos excuses pour ce contretemps. "&amp;Paramètres!$B$11&amp;", "&amp;Paramètres!$B$12,""))))</f>
        <v/>
      </c>
      <c r="T15" s="21" t="n"/>
      <c r="U15" s="26" t="n"/>
      <c r="V15" s="21" t="n"/>
    </row>
    <row r="16">
      <c r="A16" s="21" t="n"/>
      <c r="B16" s="26" t="n"/>
      <c r="C16" s="21" t="n"/>
      <c r="D16" s="25">
        <f>IF(C16="","",IFERROR(VLOOKUP(C16,Revendeurs!$A:$B,2,FALSE),"Code inconnu"))</f>
        <v/>
      </c>
      <c r="E16" s="21" t="n"/>
      <c r="F16" s="21" t="n"/>
      <c r="G16" s="22" t="n"/>
      <c r="H16" s="23">
        <f>IF(OR(F16="",G16=""),"",F16*G16)</f>
        <v/>
      </c>
      <c r="I16" s="26" t="n"/>
      <c r="J16" s="26" t="n"/>
      <c r="K16" s="25">
        <f>IF(B16="","",IF(J16&lt;&gt;"","Livrée",IF(I16="","À planifier",IF(Paramètres!$B$4&gt;I16+Paramètres!$B$8,"En retard","En cours"))))</f>
        <v/>
      </c>
      <c r="L16" s="25">
        <f>IF(K16="En retard",Paramètres!$B$4-I16,"")</f>
        <v/>
      </c>
      <c r="M16" s="27">
        <f>IF(OR(B16="",J16=""),"",J16+IFERROR(IF(VLOOKUP(C16,Revendeurs!$A:$G,7,FALSE)="",Paramètres!$B$9,VLOOKUP(C16,Revendeurs!$A:$G,7,FALSE)),Paramètres!$B$9))</f>
        <v/>
      </c>
      <c r="N16" s="22" t="n"/>
      <c r="O16" s="23">
        <f>IF(H16="","",H16-N16)</f>
        <v/>
      </c>
      <c r="P16" s="25">
        <f>IF(OR(M16="",O16=""),"",IF(O16&lt;=0,0,MAX(0,Paramètres!$B$4-M16)))</f>
        <v/>
      </c>
      <c r="Q16" s="25">
        <f>IF(H16="","",IF(O16&lt;=0,"Payée",IF(M16="","Pas encore livrée",IF(P16=0,"Non échue",IF(P16&gt;=Paramètres!$B$7,"Relance 3 : appel direction",IF(P16&gt;=Paramètres!$B$6,"Relance 2",IF(P16&gt;=Paramètres!$B$5,"Relance 1","Échue, relance à venir")))))))</f>
        <v/>
      </c>
      <c r="R16" s="25">
        <f>IF(B16="","",IF(U16=Paramètres!$B$4,"Relancé aujourd'hui",TRIM(IF(LEFT(Q16,7)="Relance",Q16&amp;" ","")&amp;IF(K16="En retard","· Prévenir du retard de livraison",""))))</f>
        <v/>
      </c>
      <c r="S16" s="28">
        <f>IF(B16="","",IF(LEFT(Q16,9)="Relance 3","Bonjour "&amp;D16&amp;", nous revenons vers vous au sujet de la commande "&amp;A16&amp;" du "&amp;TEXT(B16,"dd/mm/yyyy")&amp;" : "&amp;SUBSTITUTE(TEXT(O16,"#,##0"),","," ")&amp;" FCFA restent à régler depuis le "&amp;TEXT(M16,"dd/mm/yyyy")&amp;". Notre responsable souhaite vous appeler pour convenir ensemble d'une solution. Quel moment vous arrange cette semaine ? "&amp;Paramètres!$B$11&amp;", "&amp;Paramètres!$B$12,IF(LEFT(Q16,7)="Relance","Bonjour "&amp;D16&amp;", sauf erreur de notre part, la commande "&amp;A16&amp;" du "&amp;TEXT(B16,"dd/mm/yyyy")&amp;" ("&amp;E16&amp;") présente un reste à payer de "&amp;SUBSTITUTE(TEXT(O16,"#,##0"),","," ")&amp;" FCFA, échu depuis le "&amp;TEXT(M16,"dd/mm/yyyy")&amp;". Pouvez-vous nous indiquer la date de règlement prévue ? Si le paiement est déjà parti, merci de nous envoyer la preuve et ne tenez pas compte de ce message. "&amp;Paramètres!$B$11&amp;", "&amp;Paramètres!$B$12,IF(K16="En retard","Bonjour "&amp;D16&amp;", votre commande "&amp;A16&amp;" ("&amp;E16&amp;", "&amp;F16&amp;" pièces) prévue le "&amp;TEXT(I16,"dd/mm/yyyy")&amp;" a pris du retard. Nous vous confirmons la nouvelle date de livraison dans la journée. Toutes nos excuses pour ce contretemps. "&amp;Paramètres!$B$11&amp;", "&amp;Paramètres!$B$12,""))))</f>
        <v/>
      </c>
      <c r="T16" s="21" t="n"/>
      <c r="U16" s="26" t="n"/>
      <c r="V16" s="21" t="n"/>
    </row>
    <row r="17">
      <c r="A17" s="21" t="n"/>
      <c r="B17" s="26" t="n"/>
      <c r="C17" s="21" t="n"/>
      <c r="D17" s="25">
        <f>IF(C17="","",IFERROR(VLOOKUP(C17,Revendeurs!$A:$B,2,FALSE),"Code inconnu"))</f>
        <v/>
      </c>
      <c r="E17" s="21" t="n"/>
      <c r="F17" s="21" t="n"/>
      <c r="G17" s="22" t="n"/>
      <c r="H17" s="23">
        <f>IF(OR(F17="",G17=""),"",F17*G17)</f>
        <v/>
      </c>
      <c r="I17" s="26" t="n"/>
      <c r="J17" s="26" t="n"/>
      <c r="K17" s="25">
        <f>IF(B17="","",IF(J17&lt;&gt;"","Livrée",IF(I17="","À planifier",IF(Paramètres!$B$4&gt;I17+Paramètres!$B$8,"En retard","En cours"))))</f>
        <v/>
      </c>
      <c r="L17" s="25">
        <f>IF(K17="En retard",Paramètres!$B$4-I17,"")</f>
        <v/>
      </c>
      <c r="M17" s="27">
        <f>IF(OR(B17="",J17=""),"",J17+IFERROR(IF(VLOOKUP(C17,Revendeurs!$A:$G,7,FALSE)="",Paramètres!$B$9,VLOOKUP(C17,Revendeurs!$A:$G,7,FALSE)),Paramètres!$B$9))</f>
        <v/>
      </c>
      <c r="N17" s="22" t="n"/>
      <c r="O17" s="23">
        <f>IF(H17="","",H17-N17)</f>
        <v/>
      </c>
      <c r="P17" s="25">
        <f>IF(OR(M17="",O17=""),"",IF(O17&lt;=0,0,MAX(0,Paramètres!$B$4-M17)))</f>
        <v/>
      </c>
      <c r="Q17" s="25">
        <f>IF(H17="","",IF(O17&lt;=0,"Payée",IF(M17="","Pas encore livrée",IF(P17=0,"Non échue",IF(P17&gt;=Paramètres!$B$7,"Relance 3 : appel direction",IF(P17&gt;=Paramètres!$B$6,"Relance 2",IF(P17&gt;=Paramètres!$B$5,"Relance 1","Échue, relance à venir")))))))</f>
        <v/>
      </c>
      <c r="R17" s="25">
        <f>IF(B17="","",IF(U17=Paramètres!$B$4,"Relancé aujourd'hui",TRIM(IF(LEFT(Q17,7)="Relance",Q17&amp;" ","")&amp;IF(K17="En retard","· Prévenir du retard de livraison",""))))</f>
        <v/>
      </c>
      <c r="S17" s="28">
        <f>IF(B17="","",IF(LEFT(Q17,9)="Relance 3","Bonjour "&amp;D17&amp;", nous revenons vers vous au sujet de la commande "&amp;A17&amp;" du "&amp;TEXT(B17,"dd/mm/yyyy")&amp;" : "&amp;SUBSTITUTE(TEXT(O17,"#,##0"),","," ")&amp;" FCFA restent à régler depuis le "&amp;TEXT(M17,"dd/mm/yyyy")&amp;". Notre responsable souhaite vous appeler pour convenir ensemble d'une solution. Quel moment vous arrange cette semaine ? "&amp;Paramètres!$B$11&amp;", "&amp;Paramètres!$B$12,IF(LEFT(Q17,7)="Relance","Bonjour "&amp;D17&amp;", sauf erreur de notre part, la commande "&amp;A17&amp;" du "&amp;TEXT(B17,"dd/mm/yyyy")&amp;" ("&amp;E17&amp;") présente un reste à payer de "&amp;SUBSTITUTE(TEXT(O17,"#,##0"),","," ")&amp;" FCFA, échu depuis le "&amp;TEXT(M17,"dd/mm/yyyy")&amp;". Pouvez-vous nous indiquer la date de règlement prévue ? Si le paiement est déjà parti, merci de nous envoyer la preuve et ne tenez pas compte de ce message. "&amp;Paramètres!$B$11&amp;", "&amp;Paramètres!$B$12,IF(K17="En retard","Bonjour "&amp;D17&amp;", votre commande "&amp;A17&amp;" ("&amp;E17&amp;", "&amp;F17&amp;" pièces) prévue le "&amp;TEXT(I17,"dd/mm/yyyy")&amp;" a pris du retard. Nous vous confirmons la nouvelle date de livraison dans la journée. Toutes nos excuses pour ce contretemps. "&amp;Paramètres!$B$11&amp;", "&amp;Paramètres!$B$12,""))))</f>
        <v/>
      </c>
      <c r="T17" s="21" t="n"/>
      <c r="U17" s="26" t="n"/>
      <c r="V17" s="21" t="n"/>
    </row>
    <row r="18">
      <c r="A18" s="21" t="n"/>
      <c r="B18" s="26" t="n"/>
      <c r="C18" s="21" t="n"/>
      <c r="D18" s="25">
        <f>IF(C18="","",IFERROR(VLOOKUP(C18,Revendeurs!$A:$B,2,FALSE),"Code inconnu"))</f>
        <v/>
      </c>
      <c r="E18" s="21" t="n"/>
      <c r="F18" s="21" t="n"/>
      <c r="G18" s="22" t="n"/>
      <c r="H18" s="23">
        <f>IF(OR(F18="",G18=""),"",F18*G18)</f>
        <v/>
      </c>
      <c r="I18" s="26" t="n"/>
      <c r="J18" s="26" t="n"/>
      <c r="K18" s="25">
        <f>IF(B18="","",IF(J18&lt;&gt;"","Livrée",IF(I18="","À planifier",IF(Paramètres!$B$4&gt;I18+Paramètres!$B$8,"En retard","En cours"))))</f>
        <v/>
      </c>
      <c r="L18" s="25">
        <f>IF(K18="En retard",Paramètres!$B$4-I18,"")</f>
        <v/>
      </c>
      <c r="M18" s="27">
        <f>IF(OR(B18="",J18=""),"",J18+IFERROR(IF(VLOOKUP(C18,Revendeurs!$A:$G,7,FALSE)="",Paramètres!$B$9,VLOOKUP(C18,Revendeurs!$A:$G,7,FALSE)),Paramètres!$B$9))</f>
        <v/>
      </c>
      <c r="N18" s="22" t="n"/>
      <c r="O18" s="23">
        <f>IF(H18="","",H18-N18)</f>
        <v/>
      </c>
      <c r="P18" s="25">
        <f>IF(OR(M18="",O18=""),"",IF(O18&lt;=0,0,MAX(0,Paramètres!$B$4-M18)))</f>
        <v/>
      </c>
      <c r="Q18" s="25">
        <f>IF(H18="","",IF(O18&lt;=0,"Payée",IF(M18="","Pas encore livrée",IF(P18=0,"Non échue",IF(P18&gt;=Paramètres!$B$7,"Relance 3 : appel direction",IF(P18&gt;=Paramètres!$B$6,"Relance 2",IF(P18&gt;=Paramètres!$B$5,"Relance 1","Échue, relance à venir")))))))</f>
        <v/>
      </c>
      <c r="R18" s="25">
        <f>IF(B18="","",IF(U18=Paramètres!$B$4,"Relancé aujourd'hui",TRIM(IF(LEFT(Q18,7)="Relance",Q18&amp;" ","")&amp;IF(K18="En retard","· Prévenir du retard de livraison",""))))</f>
        <v/>
      </c>
      <c r="S18" s="28">
        <f>IF(B18="","",IF(LEFT(Q18,9)="Relance 3","Bonjour "&amp;D18&amp;", nous revenons vers vous au sujet de la commande "&amp;A18&amp;" du "&amp;TEXT(B18,"dd/mm/yyyy")&amp;" : "&amp;SUBSTITUTE(TEXT(O18,"#,##0"),","," ")&amp;" FCFA restent à régler depuis le "&amp;TEXT(M18,"dd/mm/yyyy")&amp;". Notre responsable souhaite vous appeler pour convenir ensemble d'une solution. Quel moment vous arrange cette semaine ? "&amp;Paramètres!$B$11&amp;", "&amp;Paramètres!$B$12,IF(LEFT(Q18,7)="Relance","Bonjour "&amp;D18&amp;", sauf erreur de notre part, la commande "&amp;A18&amp;" du "&amp;TEXT(B18,"dd/mm/yyyy")&amp;" ("&amp;E18&amp;") présente un reste à payer de "&amp;SUBSTITUTE(TEXT(O18,"#,##0"),","," ")&amp;" FCFA, échu depuis le "&amp;TEXT(M18,"dd/mm/yyyy")&amp;". Pouvez-vous nous indiquer la date de règlement prévue ? Si le paiement est déjà parti, merci de nous envoyer la preuve et ne tenez pas compte de ce message. "&amp;Paramètres!$B$11&amp;", "&amp;Paramètres!$B$12,IF(K18="En retard","Bonjour "&amp;D18&amp;", votre commande "&amp;A18&amp;" ("&amp;E18&amp;", "&amp;F18&amp;" pièces) prévue le "&amp;TEXT(I18,"dd/mm/yyyy")&amp;" a pris du retard. Nous vous confirmons la nouvelle date de livraison dans la journée. Toutes nos excuses pour ce contretemps. "&amp;Paramètres!$B$11&amp;", "&amp;Paramètres!$B$12,""))))</f>
        <v/>
      </c>
      <c r="T18" s="21" t="n"/>
      <c r="U18" s="26" t="n"/>
      <c r="V18" s="21" t="n"/>
    </row>
    <row r="19">
      <c r="A19" s="21" t="n"/>
      <c r="B19" s="26" t="n"/>
      <c r="C19" s="21" t="n"/>
      <c r="D19" s="25">
        <f>IF(C19="","",IFERROR(VLOOKUP(C19,Revendeurs!$A:$B,2,FALSE),"Code inconnu"))</f>
        <v/>
      </c>
      <c r="E19" s="21" t="n"/>
      <c r="F19" s="21" t="n"/>
      <c r="G19" s="22" t="n"/>
      <c r="H19" s="23">
        <f>IF(OR(F19="",G19=""),"",F19*G19)</f>
        <v/>
      </c>
      <c r="I19" s="26" t="n"/>
      <c r="J19" s="26" t="n"/>
      <c r="K19" s="25">
        <f>IF(B19="","",IF(J19&lt;&gt;"","Livrée",IF(I19="","À planifier",IF(Paramètres!$B$4&gt;I19+Paramètres!$B$8,"En retard","En cours"))))</f>
        <v/>
      </c>
      <c r="L19" s="25">
        <f>IF(K19="En retard",Paramètres!$B$4-I19,"")</f>
        <v/>
      </c>
      <c r="M19" s="27">
        <f>IF(OR(B19="",J19=""),"",J19+IFERROR(IF(VLOOKUP(C19,Revendeurs!$A:$G,7,FALSE)="",Paramètres!$B$9,VLOOKUP(C19,Revendeurs!$A:$G,7,FALSE)),Paramètres!$B$9))</f>
        <v/>
      </c>
      <c r="N19" s="22" t="n"/>
      <c r="O19" s="23">
        <f>IF(H19="","",H19-N19)</f>
        <v/>
      </c>
      <c r="P19" s="25">
        <f>IF(OR(M19="",O19=""),"",IF(O19&lt;=0,0,MAX(0,Paramètres!$B$4-M19)))</f>
        <v/>
      </c>
      <c r="Q19" s="25">
        <f>IF(H19="","",IF(O19&lt;=0,"Payée",IF(M19="","Pas encore livrée",IF(P19=0,"Non échue",IF(P19&gt;=Paramètres!$B$7,"Relance 3 : appel direction",IF(P19&gt;=Paramètres!$B$6,"Relance 2",IF(P19&gt;=Paramètres!$B$5,"Relance 1","Échue, relance à venir")))))))</f>
        <v/>
      </c>
      <c r="R19" s="25">
        <f>IF(B19="","",IF(U19=Paramètres!$B$4,"Relancé aujourd'hui",TRIM(IF(LEFT(Q19,7)="Relance",Q19&amp;" ","")&amp;IF(K19="En retard","· Prévenir du retard de livraison",""))))</f>
        <v/>
      </c>
      <c r="S19" s="28">
        <f>IF(B19="","",IF(LEFT(Q19,9)="Relance 3","Bonjour "&amp;D19&amp;", nous revenons vers vous au sujet de la commande "&amp;A19&amp;" du "&amp;TEXT(B19,"dd/mm/yyyy")&amp;" : "&amp;SUBSTITUTE(TEXT(O19,"#,##0"),","," ")&amp;" FCFA restent à régler depuis le "&amp;TEXT(M19,"dd/mm/yyyy")&amp;". Notre responsable souhaite vous appeler pour convenir ensemble d'une solution. Quel moment vous arrange cette semaine ? "&amp;Paramètres!$B$11&amp;", "&amp;Paramètres!$B$12,IF(LEFT(Q19,7)="Relance","Bonjour "&amp;D19&amp;", sauf erreur de notre part, la commande "&amp;A19&amp;" du "&amp;TEXT(B19,"dd/mm/yyyy")&amp;" ("&amp;E19&amp;") présente un reste à payer de "&amp;SUBSTITUTE(TEXT(O19,"#,##0"),","," ")&amp;" FCFA, échu depuis le "&amp;TEXT(M19,"dd/mm/yyyy")&amp;". Pouvez-vous nous indiquer la date de règlement prévue ? Si le paiement est déjà parti, merci de nous envoyer la preuve et ne tenez pas compte de ce message. "&amp;Paramètres!$B$11&amp;", "&amp;Paramètres!$B$12,IF(K19="En retard","Bonjour "&amp;D19&amp;", votre commande "&amp;A19&amp;" ("&amp;E19&amp;", "&amp;F19&amp;" pièces) prévue le "&amp;TEXT(I19,"dd/mm/yyyy")&amp;" a pris du retard. Nous vous confirmons la nouvelle date de livraison dans la journée. Toutes nos excuses pour ce contretemps. "&amp;Paramètres!$B$11&amp;", "&amp;Paramètres!$B$12,""))))</f>
        <v/>
      </c>
      <c r="T19" s="21" t="n"/>
      <c r="U19" s="26" t="n"/>
      <c r="V19" s="21" t="n"/>
    </row>
    <row r="20">
      <c r="A20" s="21" t="n"/>
      <c r="B20" s="26" t="n"/>
      <c r="C20" s="21" t="n"/>
      <c r="D20" s="25">
        <f>IF(C20="","",IFERROR(VLOOKUP(C20,Revendeurs!$A:$B,2,FALSE),"Code inconnu"))</f>
        <v/>
      </c>
      <c r="E20" s="21" t="n"/>
      <c r="F20" s="21" t="n"/>
      <c r="G20" s="22" t="n"/>
      <c r="H20" s="23">
        <f>IF(OR(F20="",G20=""),"",F20*G20)</f>
        <v/>
      </c>
      <c r="I20" s="26" t="n"/>
      <c r="J20" s="26" t="n"/>
      <c r="K20" s="25">
        <f>IF(B20="","",IF(J20&lt;&gt;"","Livrée",IF(I20="","À planifier",IF(Paramètres!$B$4&gt;I20+Paramètres!$B$8,"En retard","En cours"))))</f>
        <v/>
      </c>
      <c r="L20" s="25">
        <f>IF(K20="En retard",Paramètres!$B$4-I20,"")</f>
        <v/>
      </c>
      <c r="M20" s="27">
        <f>IF(OR(B20="",J20=""),"",J20+IFERROR(IF(VLOOKUP(C20,Revendeurs!$A:$G,7,FALSE)="",Paramètres!$B$9,VLOOKUP(C20,Revendeurs!$A:$G,7,FALSE)),Paramètres!$B$9))</f>
        <v/>
      </c>
      <c r="N20" s="22" t="n"/>
      <c r="O20" s="23">
        <f>IF(H20="","",H20-N20)</f>
        <v/>
      </c>
      <c r="P20" s="25">
        <f>IF(OR(M20="",O20=""),"",IF(O20&lt;=0,0,MAX(0,Paramètres!$B$4-M20)))</f>
        <v/>
      </c>
      <c r="Q20" s="25">
        <f>IF(H20="","",IF(O20&lt;=0,"Payée",IF(M20="","Pas encore livrée",IF(P20=0,"Non échue",IF(P20&gt;=Paramètres!$B$7,"Relance 3 : appel direction",IF(P20&gt;=Paramètres!$B$6,"Relance 2",IF(P20&gt;=Paramètres!$B$5,"Relance 1","Échue, relance à venir")))))))</f>
        <v/>
      </c>
      <c r="R20" s="25">
        <f>IF(B20="","",IF(U20=Paramètres!$B$4,"Relancé aujourd'hui",TRIM(IF(LEFT(Q20,7)="Relance",Q20&amp;" ","")&amp;IF(K20="En retard","· Prévenir du retard de livraison",""))))</f>
        <v/>
      </c>
      <c r="S20" s="28">
        <f>IF(B20="","",IF(LEFT(Q20,9)="Relance 3","Bonjour "&amp;D20&amp;", nous revenons vers vous au sujet de la commande "&amp;A20&amp;" du "&amp;TEXT(B20,"dd/mm/yyyy")&amp;" : "&amp;SUBSTITUTE(TEXT(O20,"#,##0"),","," ")&amp;" FCFA restent à régler depuis le "&amp;TEXT(M20,"dd/mm/yyyy")&amp;". Notre responsable souhaite vous appeler pour convenir ensemble d'une solution. Quel moment vous arrange cette semaine ? "&amp;Paramètres!$B$11&amp;", "&amp;Paramètres!$B$12,IF(LEFT(Q20,7)="Relance","Bonjour "&amp;D20&amp;", sauf erreur de notre part, la commande "&amp;A20&amp;" du "&amp;TEXT(B20,"dd/mm/yyyy")&amp;" ("&amp;E20&amp;") présente un reste à payer de "&amp;SUBSTITUTE(TEXT(O20,"#,##0"),","," ")&amp;" FCFA, échu depuis le "&amp;TEXT(M20,"dd/mm/yyyy")&amp;". Pouvez-vous nous indiquer la date de règlement prévue ? Si le paiement est déjà parti, merci de nous envoyer la preuve et ne tenez pas compte de ce message. "&amp;Paramètres!$B$11&amp;", "&amp;Paramètres!$B$12,IF(K20="En retard","Bonjour "&amp;D20&amp;", votre commande "&amp;A20&amp;" ("&amp;E20&amp;", "&amp;F20&amp;" pièces) prévue le "&amp;TEXT(I20,"dd/mm/yyyy")&amp;" a pris du retard. Nous vous confirmons la nouvelle date de livraison dans la journée. Toutes nos excuses pour ce contretemps. "&amp;Paramètres!$B$11&amp;", "&amp;Paramètres!$B$12,""))))</f>
        <v/>
      </c>
      <c r="T20" s="21" t="n"/>
      <c r="U20" s="26" t="n"/>
      <c r="V20" s="21" t="n"/>
    </row>
    <row r="21">
      <c r="A21" s="21" t="n"/>
      <c r="B21" s="26" t="n"/>
      <c r="C21" s="21" t="n"/>
      <c r="D21" s="25">
        <f>IF(C21="","",IFERROR(VLOOKUP(C21,Revendeurs!$A:$B,2,FALSE),"Code inconnu"))</f>
        <v/>
      </c>
      <c r="E21" s="21" t="n"/>
      <c r="F21" s="21" t="n"/>
      <c r="G21" s="22" t="n"/>
      <c r="H21" s="23">
        <f>IF(OR(F21="",G21=""),"",F21*G21)</f>
        <v/>
      </c>
      <c r="I21" s="26" t="n"/>
      <c r="J21" s="26" t="n"/>
      <c r="K21" s="25">
        <f>IF(B21="","",IF(J21&lt;&gt;"","Livrée",IF(I21="","À planifier",IF(Paramètres!$B$4&gt;I21+Paramètres!$B$8,"En retard","En cours"))))</f>
        <v/>
      </c>
      <c r="L21" s="25">
        <f>IF(K21="En retard",Paramètres!$B$4-I21,"")</f>
        <v/>
      </c>
      <c r="M21" s="27">
        <f>IF(OR(B21="",J21=""),"",J21+IFERROR(IF(VLOOKUP(C21,Revendeurs!$A:$G,7,FALSE)="",Paramètres!$B$9,VLOOKUP(C21,Revendeurs!$A:$G,7,FALSE)),Paramètres!$B$9))</f>
        <v/>
      </c>
      <c r="N21" s="22" t="n"/>
      <c r="O21" s="23">
        <f>IF(H21="","",H21-N21)</f>
        <v/>
      </c>
      <c r="P21" s="25">
        <f>IF(OR(M21="",O21=""),"",IF(O21&lt;=0,0,MAX(0,Paramètres!$B$4-M21)))</f>
        <v/>
      </c>
      <c r="Q21" s="25">
        <f>IF(H21="","",IF(O21&lt;=0,"Payée",IF(M21="","Pas encore livrée",IF(P21=0,"Non échue",IF(P21&gt;=Paramètres!$B$7,"Relance 3 : appel direction",IF(P21&gt;=Paramètres!$B$6,"Relance 2",IF(P21&gt;=Paramètres!$B$5,"Relance 1","Échue, relance à venir")))))))</f>
        <v/>
      </c>
      <c r="R21" s="25">
        <f>IF(B21="","",IF(U21=Paramètres!$B$4,"Relancé aujourd'hui",TRIM(IF(LEFT(Q21,7)="Relance",Q21&amp;" ","")&amp;IF(K21="En retard","· Prévenir du retard de livraison",""))))</f>
        <v/>
      </c>
      <c r="S21" s="28">
        <f>IF(B21="","",IF(LEFT(Q21,9)="Relance 3","Bonjour "&amp;D21&amp;", nous revenons vers vous au sujet de la commande "&amp;A21&amp;" du "&amp;TEXT(B21,"dd/mm/yyyy")&amp;" : "&amp;SUBSTITUTE(TEXT(O21,"#,##0"),","," ")&amp;" FCFA restent à régler depuis le "&amp;TEXT(M21,"dd/mm/yyyy")&amp;". Notre responsable souhaite vous appeler pour convenir ensemble d'une solution. Quel moment vous arrange cette semaine ? "&amp;Paramètres!$B$11&amp;", "&amp;Paramètres!$B$12,IF(LEFT(Q21,7)="Relance","Bonjour "&amp;D21&amp;", sauf erreur de notre part, la commande "&amp;A21&amp;" du "&amp;TEXT(B21,"dd/mm/yyyy")&amp;" ("&amp;E21&amp;") présente un reste à payer de "&amp;SUBSTITUTE(TEXT(O21,"#,##0"),","," ")&amp;" FCFA, échu depuis le "&amp;TEXT(M21,"dd/mm/yyyy")&amp;". Pouvez-vous nous indiquer la date de règlement prévue ? Si le paiement est déjà parti, merci de nous envoyer la preuve et ne tenez pas compte de ce message. "&amp;Paramètres!$B$11&amp;", "&amp;Paramètres!$B$12,IF(K21="En retard","Bonjour "&amp;D21&amp;", votre commande "&amp;A21&amp;" ("&amp;E21&amp;", "&amp;F21&amp;" pièces) prévue le "&amp;TEXT(I21,"dd/mm/yyyy")&amp;" a pris du retard. Nous vous confirmons la nouvelle date de livraison dans la journée. Toutes nos excuses pour ce contretemps. "&amp;Paramètres!$B$11&amp;", "&amp;Paramètres!$B$12,""))))</f>
        <v/>
      </c>
      <c r="T21" s="21" t="n"/>
      <c r="U21" s="26" t="n"/>
      <c r="V21" s="21" t="n"/>
    </row>
    <row r="22">
      <c r="A22" s="21" t="n"/>
      <c r="B22" s="26" t="n"/>
      <c r="C22" s="21" t="n"/>
      <c r="D22" s="25">
        <f>IF(C22="","",IFERROR(VLOOKUP(C22,Revendeurs!$A:$B,2,FALSE),"Code inconnu"))</f>
        <v/>
      </c>
      <c r="E22" s="21" t="n"/>
      <c r="F22" s="21" t="n"/>
      <c r="G22" s="22" t="n"/>
      <c r="H22" s="23">
        <f>IF(OR(F22="",G22=""),"",F22*G22)</f>
        <v/>
      </c>
      <c r="I22" s="26" t="n"/>
      <c r="J22" s="26" t="n"/>
      <c r="K22" s="25">
        <f>IF(B22="","",IF(J22&lt;&gt;"","Livrée",IF(I22="","À planifier",IF(Paramètres!$B$4&gt;I22+Paramètres!$B$8,"En retard","En cours"))))</f>
        <v/>
      </c>
      <c r="L22" s="25">
        <f>IF(K22="En retard",Paramètres!$B$4-I22,"")</f>
        <v/>
      </c>
      <c r="M22" s="27">
        <f>IF(OR(B22="",J22=""),"",J22+IFERROR(IF(VLOOKUP(C22,Revendeurs!$A:$G,7,FALSE)="",Paramètres!$B$9,VLOOKUP(C22,Revendeurs!$A:$G,7,FALSE)),Paramètres!$B$9))</f>
        <v/>
      </c>
      <c r="N22" s="22" t="n"/>
      <c r="O22" s="23">
        <f>IF(H22="","",H22-N22)</f>
        <v/>
      </c>
      <c r="P22" s="25">
        <f>IF(OR(M22="",O22=""),"",IF(O22&lt;=0,0,MAX(0,Paramètres!$B$4-M22)))</f>
        <v/>
      </c>
      <c r="Q22" s="25">
        <f>IF(H22="","",IF(O22&lt;=0,"Payée",IF(M22="","Pas encore livrée",IF(P22=0,"Non échue",IF(P22&gt;=Paramètres!$B$7,"Relance 3 : appel direction",IF(P22&gt;=Paramètres!$B$6,"Relance 2",IF(P22&gt;=Paramètres!$B$5,"Relance 1","Échue, relance à venir")))))))</f>
        <v/>
      </c>
      <c r="R22" s="25">
        <f>IF(B22="","",IF(U22=Paramètres!$B$4,"Relancé aujourd'hui",TRIM(IF(LEFT(Q22,7)="Relance",Q22&amp;" ","")&amp;IF(K22="En retard","· Prévenir du retard de livraison",""))))</f>
        <v/>
      </c>
      <c r="S22" s="28">
        <f>IF(B22="","",IF(LEFT(Q22,9)="Relance 3","Bonjour "&amp;D22&amp;", nous revenons vers vous au sujet de la commande "&amp;A22&amp;" du "&amp;TEXT(B22,"dd/mm/yyyy")&amp;" : "&amp;SUBSTITUTE(TEXT(O22,"#,##0"),","," ")&amp;" FCFA restent à régler depuis le "&amp;TEXT(M22,"dd/mm/yyyy")&amp;". Notre responsable souhaite vous appeler pour convenir ensemble d'une solution. Quel moment vous arrange cette semaine ? "&amp;Paramètres!$B$11&amp;", "&amp;Paramètres!$B$12,IF(LEFT(Q22,7)="Relance","Bonjour "&amp;D22&amp;", sauf erreur de notre part, la commande "&amp;A22&amp;" du "&amp;TEXT(B22,"dd/mm/yyyy")&amp;" ("&amp;E22&amp;") présente un reste à payer de "&amp;SUBSTITUTE(TEXT(O22,"#,##0"),","," ")&amp;" FCFA, échu depuis le "&amp;TEXT(M22,"dd/mm/yyyy")&amp;". Pouvez-vous nous indiquer la date de règlement prévue ? Si le paiement est déjà parti, merci de nous envoyer la preuve et ne tenez pas compte de ce message. "&amp;Paramètres!$B$11&amp;", "&amp;Paramètres!$B$12,IF(K22="En retard","Bonjour "&amp;D22&amp;", votre commande "&amp;A22&amp;" ("&amp;E22&amp;", "&amp;F22&amp;" pièces) prévue le "&amp;TEXT(I22,"dd/mm/yyyy")&amp;" a pris du retard. Nous vous confirmons la nouvelle date de livraison dans la journée. Toutes nos excuses pour ce contretemps. "&amp;Paramètres!$B$11&amp;", "&amp;Paramètres!$B$12,""))))</f>
        <v/>
      </c>
      <c r="T22" s="21" t="n"/>
      <c r="U22" s="26" t="n"/>
      <c r="V22" s="21" t="n"/>
    </row>
    <row r="23">
      <c r="A23" s="21" t="n"/>
      <c r="B23" s="26" t="n"/>
      <c r="C23" s="21" t="n"/>
      <c r="D23" s="25">
        <f>IF(C23="","",IFERROR(VLOOKUP(C23,Revendeurs!$A:$B,2,FALSE),"Code inconnu"))</f>
        <v/>
      </c>
      <c r="E23" s="21" t="n"/>
      <c r="F23" s="21" t="n"/>
      <c r="G23" s="22" t="n"/>
      <c r="H23" s="23">
        <f>IF(OR(F23="",G23=""),"",F23*G23)</f>
        <v/>
      </c>
      <c r="I23" s="26" t="n"/>
      <c r="J23" s="26" t="n"/>
      <c r="K23" s="25">
        <f>IF(B23="","",IF(J23&lt;&gt;"","Livrée",IF(I23="","À planifier",IF(Paramètres!$B$4&gt;I23+Paramètres!$B$8,"En retard","En cours"))))</f>
        <v/>
      </c>
      <c r="L23" s="25">
        <f>IF(K23="En retard",Paramètres!$B$4-I23,"")</f>
        <v/>
      </c>
      <c r="M23" s="27">
        <f>IF(OR(B23="",J23=""),"",J23+IFERROR(IF(VLOOKUP(C23,Revendeurs!$A:$G,7,FALSE)="",Paramètres!$B$9,VLOOKUP(C23,Revendeurs!$A:$G,7,FALSE)),Paramètres!$B$9))</f>
        <v/>
      </c>
      <c r="N23" s="22" t="n"/>
      <c r="O23" s="23">
        <f>IF(H23="","",H23-N23)</f>
        <v/>
      </c>
      <c r="P23" s="25">
        <f>IF(OR(M23="",O23=""),"",IF(O23&lt;=0,0,MAX(0,Paramètres!$B$4-M23)))</f>
        <v/>
      </c>
      <c r="Q23" s="25">
        <f>IF(H23="","",IF(O23&lt;=0,"Payée",IF(M23="","Pas encore livrée",IF(P23=0,"Non échue",IF(P23&gt;=Paramètres!$B$7,"Relance 3 : appel direction",IF(P23&gt;=Paramètres!$B$6,"Relance 2",IF(P23&gt;=Paramètres!$B$5,"Relance 1","Échue, relance à venir")))))))</f>
        <v/>
      </c>
      <c r="R23" s="25">
        <f>IF(B23="","",IF(U23=Paramètres!$B$4,"Relancé aujourd'hui",TRIM(IF(LEFT(Q23,7)="Relance",Q23&amp;" ","")&amp;IF(K23="En retard","· Prévenir du retard de livraison",""))))</f>
        <v/>
      </c>
      <c r="S23" s="28">
        <f>IF(B23="","",IF(LEFT(Q23,9)="Relance 3","Bonjour "&amp;D23&amp;", nous revenons vers vous au sujet de la commande "&amp;A23&amp;" du "&amp;TEXT(B23,"dd/mm/yyyy")&amp;" : "&amp;SUBSTITUTE(TEXT(O23,"#,##0"),","," ")&amp;" FCFA restent à régler depuis le "&amp;TEXT(M23,"dd/mm/yyyy")&amp;". Notre responsable souhaite vous appeler pour convenir ensemble d'une solution. Quel moment vous arrange cette semaine ? "&amp;Paramètres!$B$11&amp;", "&amp;Paramètres!$B$12,IF(LEFT(Q23,7)="Relance","Bonjour "&amp;D23&amp;", sauf erreur de notre part, la commande "&amp;A23&amp;" du "&amp;TEXT(B23,"dd/mm/yyyy")&amp;" ("&amp;E23&amp;") présente un reste à payer de "&amp;SUBSTITUTE(TEXT(O23,"#,##0"),","," ")&amp;" FCFA, échu depuis le "&amp;TEXT(M23,"dd/mm/yyyy")&amp;". Pouvez-vous nous indiquer la date de règlement prévue ? Si le paiement est déjà parti, merci de nous envoyer la preuve et ne tenez pas compte de ce message. "&amp;Paramètres!$B$11&amp;", "&amp;Paramètres!$B$12,IF(K23="En retard","Bonjour "&amp;D23&amp;", votre commande "&amp;A23&amp;" ("&amp;E23&amp;", "&amp;F23&amp;" pièces) prévue le "&amp;TEXT(I23,"dd/mm/yyyy")&amp;" a pris du retard. Nous vous confirmons la nouvelle date de livraison dans la journée. Toutes nos excuses pour ce contretemps. "&amp;Paramètres!$B$11&amp;", "&amp;Paramètres!$B$12,""))))</f>
        <v/>
      </c>
      <c r="T23" s="21" t="n"/>
      <c r="U23" s="26" t="n"/>
      <c r="V23" s="21" t="n"/>
    </row>
    <row r="24">
      <c r="A24" s="21" t="n"/>
      <c r="B24" s="26" t="n"/>
      <c r="C24" s="21" t="n"/>
      <c r="D24" s="25">
        <f>IF(C24="","",IFERROR(VLOOKUP(C24,Revendeurs!$A:$B,2,FALSE),"Code inconnu"))</f>
        <v/>
      </c>
      <c r="E24" s="21" t="n"/>
      <c r="F24" s="21" t="n"/>
      <c r="G24" s="22" t="n"/>
      <c r="H24" s="23">
        <f>IF(OR(F24="",G24=""),"",F24*G24)</f>
        <v/>
      </c>
      <c r="I24" s="26" t="n"/>
      <c r="J24" s="26" t="n"/>
      <c r="K24" s="25">
        <f>IF(B24="","",IF(J24&lt;&gt;"","Livrée",IF(I24="","À planifier",IF(Paramètres!$B$4&gt;I24+Paramètres!$B$8,"En retard","En cours"))))</f>
        <v/>
      </c>
      <c r="L24" s="25">
        <f>IF(K24="En retard",Paramètres!$B$4-I24,"")</f>
        <v/>
      </c>
      <c r="M24" s="27">
        <f>IF(OR(B24="",J24=""),"",J24+IFERROR(IF(VLOOKUP(C24,Revendeurs!$A:$G,7,FALSE)="",Paramètres!$B$9,VLOOKUP(C24,Revendeurs!$A:$G,7,FALSE)),Paramètres!$B$9))</f>
        <v/>
      </c>
      <c r="N24" s="22" t="n"/>
      <c r="O24" s="23">
        <f>IF(H24="","",H24-N24)</f>
        <v/>
      </c>
      <c r="P24" s="25">
        <f>IF(OR(M24="",O24=""),"",IF(O24&lt;=0,0,MAX(0,Paramètres!$B$4-M24)))</f>
        <v/>
      </c>
      <c r="Q24" s="25">
        <f>IF(H24="","",IF(O24&lt;=0,"Payée",IF(M24="","Pas encore livrée",IF(P24=0,"Non échue",IF(P24&gt;=Paramètres!$B$7,"Relance 3 : appel direction",IF(P24&gt;=Paramètres!$B$6,"Relance 2",IF(P24&gt;=Paramètres!$B$5,"Relance 1","Échue, relance à venir")))))))</f>
        <v/>
      </c>
      <c r="R24" s="25">
        <f>IF(B24="","",IF(U24=Paramètres!$B$4,"Relancé aujourd'hui",TRIM(IF(LEFT(Q24,7)="Relance",Q24&amp;" ","")&amp;IF(K24="En retard","· Prévenir du retard de livraison",""))))</f>
        <v/>
      </c>
      <c r="S24" s="28">
        <f>IF(B24="","",IF(LEFT(Q24,9)="Relance 3","Bonjour "&amp;D24&amp;", nous revenons vers vous au sujet de la commande "&amp;A24&amp;" du "&amp;TEXT(B24,"dd/mm/yyyy")&amp;" : "&amp;SUBSTITUTE(TEXT(O24,"#,##0"),","," ")&amp;" FCFA restent à régler depuis le "&amp;TEXT(M24,"dd/mm/yyyy")&amp;". Notre responsable souhaite vous appeler pour convenir ensemble d'une solution. Quel moment vous arrange cette semaine ? "&amp;Paramètres!$B$11&amp;", "&amp;Paramètres!$B$12,IF(LEFT(Q24,7)="Relance","Bonjour "&amp;D24&amp;", sauf erreur de notre part, la commande "&amp;A24&amp;" du "&amp;TEXT(B24,"dd/mm/yyyy")&amp;" ("&amp;E24&amp;") présente un reste à payer de "&amp;SUBSTITUTE(TEXT(O24,"#,##0"),","," ")&amp;" FCFA, échu depuis le "&amp;TEXT(M24,"dd/mm/yyyy")&amp;". Pouvez-vous nous indiquer la date de règlement prévue ? Si le paiement est déjà parti, merci de nous envoyer la preuve et ne tenez pas compte de ce message. "&amp;Paramètres!$B$11&amp;", "&amp;Paramètres!$B$12,IF(K24="En retard","Bonjour "&amp;D24&amp;", votre commande "&amp;A24&amp;" ("&amp;E24&amp;", "&amp;F24&amp;" pièces) prévue le "&amp;TEXT(I24,"dd/mm/yyyy")&amp;" a pris du retard. Nous vous confirmons la nouvelle date de livraison dans la journée. Toutes nos excuses pour ce contretemps. "&amp;Paramètres!$B$11&amp;", "&amp;Paramètres!$B$12,""))))</f>
        <v/>
      </c>
      <c r="T24" s="21" t="n"/>
      <c r="U24" s="26" t="n"/>
      <c r="V24" s="21" t="n"/>
    </row>
    <row r="25">
      <c r="A25" s="21" t="n"/>
      <c r="B25" s="26" t="n"/>
      <c r="C25" s="21" t="n"/>
      <c r="D25" s="25">
        <f>IF(C25="","",IFERROR(VLOOKUP(C25,Revendeurs!$A:$B,2,FALSE),"Code inconnu"))</f>
        <v/>
      </c>
      <c r="E25" s="21" t="n"/>
      <c r="F25" s="21" t="n"/>
      <c r="G25" s="22" t="n"/>
      <c r="H25" s="23">
        <f>IF(OR(F25="",G25=""),"",F25*G25)</f>
        <v/>
      </c>
      <c r="I25" s="26" t="n"/>
      <c r="J25" s="26" t="n"/>
      <c r="K25" s="25">
        <f>IF(B25="","",IF(J25&lt;&gt;"","Livrée",IF(I25="","À planifier",IF(Paramètres!$B$4&gt;I25+Paramètres!$B$8,"En retard","En cours"))))</f>
        <v/>
      </c>
      <c r="L25" s="25">
        <f>IF(K25="En retard",Paramètres!$B$4-I25,"")</f>
        <v/>
      </c>
      <c r="M25" s="27">
        <f>IF(OR(B25="",J25=""),"",J25+IFERROR(IF(VLOOKUP(C25,Revendeurs!$A:$G,7,FALSE)="",Paramètres!$B$9,VLOOKUP(C25,Revendeurs!$A:$G,7,FALSE)),Paramètres!$B$9))</f>
        <v/>
      </c>
      <c r="N25" s="22" t="n"/>
      <c r="O25" s="23">
        <f>IF(H25="","",H25-N25)</f>
        <v/>
      </c>
      <c r="P25" s="25">
        <f>IF(OR(M25="",O25=""),"",IF(O25&lt;=0,0,MAX(0,Paramètres!$B$4-M25)))</f>
        <v/>
      </c>
      <c r="Q25" s="25">
        <f>IF(H25="","",IF(O25&lt;=0,"Payée",IF(M25="","Pas encore livrée",IF(P25=0,"Non échue",IF(P25&gt;=Paramètres!$B$7,"Relance 3 : appel direction",IF(P25&gt;=Paramètres!$B$6,"Relance 2",IF(P25&gt;=Paramètres!$B$5,"Relance 1","Échue, relance à venir")))))))</f>
        <v/>
      </c>
      <c r="R25" s="25">
        <f>IF(B25="","",IF(U25=Paramètres!$B$4,"Relancé aujourd'hui",TRIM(IF(LEFT(Q25,7)="Relance",Q25&amp;" ","")&amp;IF(K25="En retard","· Prévenir du retard de livraison",""))))</f>
        <v/>
      </c>
      <c r="S25" s="28">
        <f>IF(B25="","",IF(LEFT(Q25,9)="Relance 3","Bonjour "&amp;D25&amp;", nous revenons vers vous au sujet de la commande "&amp;A25&amp;" du "&amp;TEXT(B25,"dd/mm/yyyy")&amp;" : "&amp;SUBSTITUTE(TEXT(O25,"#,##0"),","," ")&amp;" FCFA restent à régler depuis le "&amp;TEXT(M25,"dd/mm/yyyy")&amp;". Notre responsable souhaite vous appeler pour convenir ensemble d'une solution. Quel moment vous arrange cette semaine ? "&amp;Paramètres!$B$11&amp;", "&amp;Paramètres!$B$12,IF(LEFT(Q25,7)="Relance","Bonjour "&amp;D25&amp;", sauf erreur de notre part, la commande "&amp;A25&amp;" du "&amp;TEXT(B25,"dd/mm/yyyy")&amp;" ("&amp;E25&amp;") présente un reste à payer de "&amp;SUBSTITUTE(TEXT(O25,"#,##0"),","," ")&amp;" FCFA, échu depuis le "&amp;TEXT(M25,"dd/mm/yyyy")&amp;". Pouvez-vous nous indiquer la date de règlement prévue ? Si le paiement est déjà parti, merci de nous envoyer la preuve et ne tenez pas compte de ce message. "&amp;Paramètres!$B$11&amp;", "&amp;Paramètres!$B$12,IF(K25="En retard","Bonjour "&amp;D25&amp;", votre commande "&amp;A25&amp;" ("&amp;E25&amp;", "&amp;F25&amp;" pièces) prévue le "&amp;TEXT(I25,"dd/mm/yyyy")&amp;" a pris du retard. Nous vous confirmons la nouvelle date de livraison dans la journée. Toutes nos excuses pour ce contretemps. "&amp;Paramètres!$B$11&amp;", "&amp;Paramètres!$B$12,""))))</f>
        <v/>
      </c>
      <c r="T25" s="21" t="n"/>
      <c r="U25" s="26" t="n"/>
      <c r="V25" s="21" t="n"/>
    </row>
    <row r="26">
      <c r="A26" s="21" t="n"/>
      <c r="B26" s="26" t="n"/>
      <c r="C26" s="21" t="n"/>
      <c r="D26" s="25">
        <f>IF(C26="","",IFERROR(VLOOKUP(C26,Revendeurs!$A:$B,2,FALSE),"Code inconnu"))</f>
        <v/>
      </c>
      <c r="E26" s="21" t="n"/>
      <c r="F26" s="21" t="n"/>
      <c r="G26" s="22" t="n"/>
      <c r="H26" s="23">
        <f>IF(OR(F26="",G26=""),"",F26*G26)</f>
        <v/>
      </c>
      <c r="I26" s="26" t="n"/>
      <c r="J26" s="26" t="n"/>
      <c r="K26" s="25">
        <f>IF(B26="","",IF(J26&lt;&gt;"","Livrée",IF(I26="","À planifier",IF(Paramètres!$B$4&gt;I26+Paramètres!$B$8,"En retard","En cours"))))</f>
        <v/>
      </c>
      <c r="L26" s="25">
        <f>IF(K26="En retard",Paramètres!$B$4-I26,"")</f>
        <v/>
      </c>
      <c r="M26" s="27">
        <f>IF(OR(B26="",J26=""),"",J26+IFERROR(IF(VLOOKUP(C26,Revendeurs!$A:$G,7,FALSE)="",Paramètres!$B$9,VLOOKUP(C26,Revendeurs!$A:$G,7,FALSE)),Paramètres!$B$9))</f>
        <v/>
      </c>
      <c r="N26" s="22" t="n"/>
      <c r="O26" s="23">
        <f>IF(H26="","",H26-N26)</f>
        <v/>
      </c>
      <c r="P26" s="25">
        <f>IF(OR(M26="",O26=""),"",IF(O26&lt;=0,0,MAX(0,Paramètres!$B$4-M26)))</f>
        <v/>
      </c>
      <c r="Q26" s="25">
        <f>IF(H26="","",IF(O26&lt;=0,"Payée",IF(M26="","Pas encore livrée",IF(P26=0,"Non échue",IF(P26&gt;=Paramètres!$B$7,"Relance 3 : appel direction",IF(P26&gt;=Paramètres!$B$6,"Relance 2",IF(P26&gt;=Paramètres!$B$5,"Relance 1","Échue, relance à venir")))))))</f>
        <v/>
      </c>
      <c r="R26" s="25">
        <f>IF(B26="","",IF(U26=Paramètres!$B$4,"Relancé aujourd'hui",TRIM(IF(LEFT(Q26,7)="Relance",Q26&amp;" ","")&amp;IF(K26="En retard","· Prévenir du retard de livraison",""))))</f>
        <v/>
      </c>
      <c r="S26" s="28">
        <f>IF(B26="","",IF(LEFT(Q26,9)="Relance 3","Bonjour "&amp;D26&amp;", nous revenons vers vous au sujet de la commande "&amp;A26&amp;" du "&amp;TEXT(B26,"dd/mm/yyyy")&amp;" : "&amp;SUBSTITUTE(TEXT(O26,"#,##0"),","," ")&amp;" FCFA restent à régler depuis le "&amp;TEXT(M26,"dd/mm/yyyy")&amp;". Notre responsable souhaite vous appeler pour convenir ensemble d'une solution. Quel moment vous arrange cette semaine ? "&amp;Paramètres!$B$11&amp;", "&amp;Paramètres!$B$12,IF(LEFT(Q26,7)="Relance","Bonjour "&amp;D26&amp;", sauf erreur de notre part, la commande "&amp;A26&amp;" du "&amp;TEXT(B26,"dd/mm/yyyy")&amp;" ("&amp;E26&amp;") présente un reste à payer de "&amp;SUBSTITUTE(TEXT(O26,"#,##0"),","," ")&amp;" FCFA, échu depuis le "&amp;TEXT(M26,"dd/mm/yyyy")&amp;". Pouvez-vous nous indiquer la date de règlement prévue ? Si le paiement est déjà parti, merci de nous envoyer la preuve et ne tenez pas compte de ce message. "&amp;Paramètres!$B$11&amp;", "&amp;Paramètres!$B$12,IF(K26="En retard","Bonjour "&amp;D26&amp;", votre commande "&amp;A26&amp;" ("&amp;E26&amp;", "&amp;F26&amp;" pièces) prévue le "&amp;TEXT(I26,"dd/mm/yyyy")&amp;" a pris du retard. Nous vous confirmons la nouvelle date de livraison dans la journée. Toutes nos excuses pour ce contretemps. "&amp;Paramètres!$B$11&amp;", "&amp;Paramètres!$B$12,""))))</f>
        <v/>
      </c>
      <c r="T26" s="21" t="n"/>
      <c r="U26" s="26" t="n"/>
      <c r="V26" s="21" t="n"/>
    </row>
    <row r="27">
      <c r="A27" s="21" t="n"/>
      <c r="B27" s="26" t="n"/>
      <c r="C27" s="21" t="n"/>
      <c r="D27" s="25">
        <f>IF(C27="","",IFERROR(VLOOKUP(C27,Revendeurs!$A:$B,2,FALSE),"Code inconnu"))</f>
        <v/>
      </c>
      <c r="E27" s="21" t="n"/>
      <c r="F27" s="21" t="n"/>
      <c r="G27" s="22" t="n"/>
      <c r="H27" s="23">
        <f>IF(OR(F27="",G27=""),"",F27*G27)</f>
        <v/>
      </c>
      <c r="I27" s="26" t="n"/>
      <c r="J27" s="26" t="n"/>
      <c r="K27" s="25">
        <f>IF(B27="","",IF(J27&lt;&gt;"","Livrée",IF(I27="","À planifier",IF(Paramètres!$B$4&gt;I27+Paramètres!$B$8,"En retard","En cours"))))</f>
        <v/>
      </c>
      <c r="L27" s="25">
        <f>IF(K27="En retard",Paramètres!$B$4-I27,"")</f>
        <v/>
      </c>
      <c r="M27" s="27">
        <f>IF(OR(B27="",J27=""),"",J27+IFERROR(IF(VLOOKUP(C27,Revendeurs!$A:$G,7,FALSE)="",Paramètres!$B$9,VLOOKUP(C27,Revendeurs!$A:$G,7,FALSE)),Paramètres!$B$9))</f>
        <v/>
      </c>
      <c r="N27" s="22" t="n"/>
      <c r="O27" s="23">
        <f>IF(H27="","",H27-N27)</f>
        <v/>
      </c>
      <c r="P27" s="25">
        <f>IF(OR(M27="",O27=""),"",IF(O27&lt;=0,0,MAX(0,Paramètres!$B$4-M27)))</f>
        <v/>
      </c>
      <c r="Q27" s="25">
        <f>IF(H27="","",IF(O27&lt;=0,"Payée",IF(M27="","Pas encore livrée",IF(P27=0,"Non échue",IF(P27&gt;=Paramètres!$B$7,"Relance 3 : appel direction",IF(P27&gt;=Paramètres!$B$6,"Relance 2",IF(P27&gt;=Paramètres!$B$5,"Relance 1","Échue, relance à venir")))))))</f>
        <v/>
      </c>
      <c r="R27" s="25">
        <f>IF(B27="","",IF(U27=Paramètres!$B$4,"Relancé aujourd'hui",TRIM(IF(LEFT(Q27,7)="Relance",Q27&amp;" ","")&amp;IF(K27="En retard","· Prévenir du retard de livraison",""))))</f>
        <v/>
      </c>
      <c r="S27" s="28">
        <f>IF(B27="","",IF(LEFT(Q27,9)="Relance 3","Bonjour "&amp;D27&amp;", nous revenons vers vous au sujet de la commande "&amp;A27&amp;" du "&amp;TEXT(B27,"dd/mm/yyyy")&amp;" : "&amp;SUBSTITUTE(TEXT(O27,"#,##0"),","," ")&amp;" FCFA restent à régler depuis le "&amp;TEXT(M27,"dd/mm/yyyy")&amp;". Notre responsable souhaite vous appeler pour convenir ensemble d'une solution. Quel moment vous arrange cette semaine ? "&amp;Paramètres!$B$11&amp;", "&amp;Paramètres!$B$12,IF(LEFT(Q27,7)="Relance","Bonjour "&amp;D27&amp;", sauf erreur de notre part, la commande "&amp;A27&amp;" du "&amp;TEXT(B27,"dd/mm/yyyy")&amp;" ("&amp;E27&amp;") présente un reste à payer de "&amp;SUBSTITUTE(TEXT(O27,"#,##0"),","," ")&amp;" FCFA, échu depuis le "&amp;TEXT(M27,"dd/mm/yyyy")&amp;". Pouvez-vous nous indiquer la date de règlement prévue ? Si le paiement est déjà parti, merci de nous envoyer la preuve et ne tenez pas compte de ce message. "&amp;Paramètres!$B$11&amp;", "&amp;Paramètres!$B$12,IF(K27="En retard","Bonjour "&amp;D27&amp;", votre commande "&amp;A27&amp;" ("&amp;E27&amp;", "&amp;F27&amp;" pièces) prévue le "&amp;TEXT(I27,"dd/mm/yyyy")&amp;" a pris du retard. Nous vous confirmons la nouvelle date de livraison dans la journée. Toutes nos excuses pour ce contretemps. "&amp;Paramètres!$B$11&amp;", "&amp;Paramètres!$B$12,""))))</f>
        <v/>
      </c>
      <c r="T27" s="21" t="n"/>
      <c r="U27" s="26" t="n"/>
      <c r="V27" s="21" t="n"/>
    </row>
    <row r="28">
      <c r="A28" s="21" t="n"/>
      <c r="B28" s="26" t="n"/>
      <c r="C28" s="21" t="n"/>
      <c r="D28" s="25">
        <f>IF(C28="","",IFERROR(VLOOKUP(C28,Revendeurs!$A:$B,2,FALSE),"Code inconnu"))</f>
        <v/>
      </c>
      <c r="E28" s="21" t="n"/>
      <c r="F28" s="21" t="n"/>
      <c r="G28" s="22" t="n"/>
      <c r="H28" s="23">
        <f>IF(OR(F28="",G28=""),"",F28*G28)</f>
        <v/>
      </c>
      <c r="I28" s="26" t="n"/>
      <c r="J28" s="26" t="n"/>
      <c r="K28" s="25">
        <f>IF(B28="","",IF(J28&lt;&gt;"","Livrée",IF(I28="","À planifier",IF(Paramètres!$B$4&gt;I28+Paramètres!$B$8,"En retard","En cours"))))</f>
        <v/>
      </c>
      <c r="L28" s="25">
        <f>IF(K28="En retard",Paramètres!$B$4-I28,"")</f>
        <v/>
      </c>
      <c r="M28" s="27">
        <f>IF(OR(B28="",J28=""),"",J28+IFERROR(IF(VLOOKUP(C28,Revendeurs!$A:$G,7,FALSE)="",Paramètres!$B$9,VLOOKUP(C28,Revendeurs!$A:$G,7,FALSE)),Paramètres!$B$9))</f>
        <v/>
      </c>
      <c r="N28" s="22" t="n"/>
      <c r="O28" s="23">
        <f>IF(H28="","",H28-N28)</f>
        <v/>
      </c>
      <c r="P28" s="25">
        <f>IF(OR(M28="",O28=""),"",IF(O28&lt;=0,0,MAX(0,Paramètres!$B$4-M28)))</f>
        <v/>
      </c>
      <c r="Q28" s="25">
        <f>IF(H28="","",IF(O28&lt;=0,"Payée",IF(M28="","Pas encore livrée",IF(P28=0,"Non échue",IF(P28&gt;=Paramètres!$B$7,"Relance 3 : appel direction",IF(P28&gt;=Paramètres!$B$6,"Relance 2",IF(P28&gt;=Paramètres!$B$5,"Relance 1","Échue, relance à venir")))))))</f>
        <v/>
      </c>
      <c r="R28" s="25">
        <f>IF(B28="","",IF(U28=Paramètres!$B$4,"Relancé aujourd'hui",TRIM(IF(LEFT(Q28,7)="Relance",Q28&amp;" ","")&amp;IF(K28="En retard","· Prévenir du retard de livraison",""))))</f>
        <v/>
      </c>
      <c r="S28" s="28">
        <f>IF(B28="","",IF(LEFT(Q28,9)="Relance 3","Bonjour "&amp;D28&amp;", nous revenons vers vous au sujet de la commande "&amp;A28&amp;" du "&amp;TEXT(B28,"dd/mm/yyyy")&amp;" : "&amp;SUBSTITUTE(TEXT(O28,"#,##0"),","," ")&amp;" FCFA restent à régler depuis le "&amp;TEXT(M28,"dd/mm/yyyy")&amp;". Notre responsable souhaite vous appeler pour convenir ensemble d'une solution. Quel moment vous arrange cette semaine ? "&amp;Paramètres!$B$11&amp;", "&amp;Paramètres!$B$12,IF(LEFT(Q28,7)="Relance","Bonjour "&amp;D28&amp;", sauf erreur de notre part, la commande "&amp;A28&amp;" du "&amp;TEXT(B28,"dd/mm/yyyy")&amp;" ("&amp;E28&amp;") présente un reste à payer de "&amp;SUBSTITUTE(TEXT(O28,"#,##0"),","," ")&amp;" FCFA, échu depuis le "&amp;TEXT(M28,"dd/mm/yyyy")&amp;". Pouvez-vous nous indiquer la date de règlement prévue ? Si le paiement est déjà parti, merci de nous envoyer la preuve et ne tenez pas compte de ce message. "&amp;Paramètres!$B$11&amp;", "&amp;Paramètres!$B$12,IF(K28="En retard","Bonjour "&amp;D28&amp;", votre commande "&amp;A28&amp;" ("&amp;E28&amp;", "&amp;F28&amp;" pièces) prévue le "&amp;TEXT(I28,"dd/mm/yyyy")&amp;" a pris du retard. Nous vous confirmons la nouvelle date de livraison dans la journée. Toutes nos excuses pour ce contretemps. "&amp;Paramètres!$B$11&amp;", "&amp;Paramètres!$B$12,""))))</f>
        <v/>
      </c>
      <c r="T28" s="21" t="n"/>
      <c r="U28" s="26" t="n"/>
      <c r="V28" s="21" t="n"/>
    </row>
    <row r="29">
      <c r="A29" s="21" t="n"/>
      <c r="B29" s="26" t="n"/>
      <c r="C29" s="21" t="n"/>
      <c r="D29" s="25">
        <f>IF(C29="","",IFERROR(VLOOKUP(C29,Revendeurs!$A:$B,2,FALSE),"Code inconnu"))</f>
        <v/>
      </c>
      <c r="E29" s="21" t="n"/>
      <c r="F29" s="21" t="n"/>
      <c r="G29" s="22" t="n"/>
      <c r="H29" s="23">
        <f>IF(OR(F29="",G29=""),"",F29*G29)</f>
        <v/>
      </c>
      <c r="I29" s="26" t="n"/>
      <c r="J29" s="26" t="n"/>
      <c r="K29" s="25">
        <f>IF(B29="","",IF(J29&lt;&gt;"","Livrée",IF(I29="","À planifier",IF(Paramètres!$B$4&gt;I29+Paramètres!$B$8,"En retard","En cours"))))</f>
        <v/>
      </c>
      <c r="L29" s="25">
        <f>IF(K29="En retard",Paramètres!$B$4-I29,"")</f>
        <v/>
      </c>
      <c r="M29" s="27">
        <f>IF(OR(B29="",J29=""),"",J29+IFERROR(IF(VLOOKUP(C29,Revendeurs!$A:$G,7,FALSE)="",Paramètres!$B$9,VLOOKUP(C29,Revendeurs!$A:$G,7,FALSE)),Paramètres!$B$9))</f>
        <v/>
      </c>
      <c r="N29" s="22" t="n"/>
      <c r="O29" s="23">
        <f>IF(H29="","",H29-N29)</f>
        <v/>
      </c>
      <c r="P29" s="25">
        <f>IF(OR(M29="",O29=""),"",IF(O29&lt;=0,0,MAX(0,Paramètres!$B$4-M29)))</f>
        <v/>
      </c>
      <c r="Q29" s="25">
        <f>IF(H29="","",IF(O29&lt;=0,"Payée",IF(M29="","Pas encore livrée",IF(P29=0,"Non échue",IF(P29&gt;=Paramètres!$B$7,"Relance 3 : appel direction",IF(P29&gt;=Paramètres!$B$6,"Relance 2",IF(P29&gt;=Paramètres!$B$5,"Relance 1","Échue, relance à venir")))))))</f>
        <v/>
      </c>
      <c r="R29" s="25">
        <f>IF(B29="","",IF(U29=Paramètres!$B$4,"Relancé aujourd'hui",TRIM(IF(LEFT(Q29,7)="Relance",Q29&amp;" ","")&amp;IF(K29="En retard","· Prévenir du retard de livraison",""))))</f>
        <v/>
      </c>
      <c r="S29" s="28">
        <f>IF(B29="","",IF(LEFT(Q29,9)="Relance 3","Bonjour "&amp;D29&amp;", nous revenons vers vous au sujet de la commande "&amp;A29&amp;" du "&amp;TEXT(B29,"dd/mm/yyyy")&amp;" : "&amp;SUBSTITUTE(TEXT(O29,"#,##0"),","," ")&amp;" FCFA restent à régler depuis le "&amp;TEXT(M29,"dd/mm/yyyy")&amp;". Notre responsable souhaite vous appeler pour convenir ensemble d'une solution. Quel moment vous arrange cette semaine ? "&amp;Paramètres!$B$11&amp;", "&amp;Paramètres!$B$12,IF(LEFT(Q29,7)="Relance","Bonjour "&amp;D29&amp;", sauf erreur de notre part, la commande "&amp;A29&amp;" du "&amp;TEXT(B29,"dd/mm/yyyy")&amp;" ("&amp;E29&amp;") présente un reste à payer de "&amp;SUBSTITUTE(TEXT(O29,"#,##0"),","," ")&amp;" FCFA, échu depuis le "&amp;TEXT(M29,"dd/mm/yyyy")&amp;". Pouvez-vous nous indiquer la date de règlement prévue ? Si le paiement est déjà parti, merci de nous envoyer la preuve et ne tenez pas compte de ce message. "&amp;Paramètres!$B$11&amp;", "&amp;Paramètres!$B$12,IF(K29="En retard","Bonjour "&amp;D29&amp;", votre commande "&amp;A29&amp;" ("&amp;E29&amp;", "&amp;F29&amp;" pièces) prévue le "&amp;TEXT(I29,"dd/mm/yyyy")&amp;" a pris du retard. Nous vous confirmons la nouvelle date de livraison dans la journée. Toutes nos excuses pour ce contretemps. "&amp;Paramètres!$B$11&amp;", "&amp;Paramètres!$B$12,""))))</f>
        <v/>
      </c>
      <c r="T29" s="21" t="n"/>
      <c r="U29" s="26" t="n"/>
      <c r="V29" s="21" t="n"/>
    </row>
    <row r="30">
      <c r="A30" s="21" t="n"/>
      <c r="B30" s="26" t="n"/>
      <c r="C30" s="21" t="n"/>
      <c r="D30" s="25">
        <f>IF(C30="","",IFERROR(VLOOKUP(C30,Revendeurs!$A:$B,2,FALSE),"Code inconnu"))</f>
        <v/>
      </c>
      <c r="E30" s="21" t="n"/>
      <c r="F30" s="21" t="n"/>
      <c r="G30" s="22" t="n"/>
      <c r="H30" s="23">
        <f>IF(OR(F30="",G30=""),"",F30*G30)</f>
        <v/>
      </c>
      <c r="I30" s="26" t="n"/>
      <c r="J30" s="26" t="n"/>
      <c r="K30" s="25">
        <f>IF(B30="","",IF(J30&lt;&gt;"","Livrée",IF(I30="","À planifier",IF(Paramètres!$B$4&gt;I30+Paramètres!$B$8,"En retard","En cours"))))</f>
        <v/>
      </c>
      <c r="L30" s="25">
        <f>IF(K30="En retard",Paramètres!$B$4-I30,"")</f>
        <v/>
      </c>
      <c r="M30" s="27">
        <f>IF(OR(B30="",J30=""),"",J30+IFERROR(IF(VLOOKUP(C30,Revendeurs!$A:$G,7,FALSE)="",Paramètres!$B$9,VLOOKUP(C30,Revendeurs!$A:$G,7,FALSE)),Paramètres!$B$9))</f>
        <v/>
      </c>
      <c r="N30" s="22" t="n"/>
      <c r="O30" s="23">
        <f>IF(H30="","",H30-N30)</f>
        <v/>
      </c>
      <c r="P30" s="25">
        <f>IF(OR(M30="",O30=""),"",IF(O30&lt;=0,0,MAX(0,Paramètres!$B$4-M30)))</f>
        <v/>
      </c>
      <c r="Q30" s="25">
        <f>IF(H30="","",IF(O30&lt;=0,"Payée",IF(M30="","Pas encore livrée",IF(P30=0,"Non échue",IF(P30&gt;=Paramètres!$B$7,"Relance 3 : appel direction",IF(P30&gt;=Paramètres!$B$6,"Relance 2",IF(P30&gt;=Paramètres!$B$5,"Relance 1","Échue, relance à venir")))))))</f>
        <v/>
      </c>
      <c r="R30" s="25">
        <f>IF(B30="","",IF(U30=Paramètres!$B$4,"Relancé aujourd'hui",TRIM(IF(LEFT(Q30,7)="Relance",Q30&amp;" ","")&amp;IF(K30="En retard","· Prévenir du retard de livraison",""))))</f>
        <v/>
      </c>
      <c r="S30" s="28">
        <f>IF(B30="","",IF(LEFT(Q30,9)="Relance 3","Bonjour "&amp;D30&amp;", nous revenons vers vous au sujet de la commande "&amp;A30&amp;" du "&amp;TEXT(B30,"dd/mm/yyyy")&amp;" : "&amp;SUBSTITUTE(TEXT(O30,"#,##0"),","," ")&amp;" FCFA restent à régler depuis le "&amp;TEXT(M30,"dd/mm/yyyy")&amp;". Notre responsable souhaite vous appeler pour convenir ensemble d'une solution. Quel moment vous arrange cette semaine ? "&amp;Paramètres!$B$11&amp;", "&amp;Paramètres!$B$12,IF(LEFT(Q30,7)="Relance","Bonjour "&amp;D30&amp;", sauf erreur de notre part, la commande "&amp;A30&amp;" du "&amp;TEXT(B30,"dd/mm/yyyy")&amp;" ("&amp;E30&amp;") présente un reste à payer de "&amp;SUBSTITUTE(TEXT(O30,"#,##0"),","," ")&amp;" FCFA, échu depuis le "&amp;TEXT(M30,"dd/mm/yyyy")&amp;". Pouvez-vous nous indiquer la date de règlement prévue ? Si le paiement est déjà parti, merci de nous envoyer la preuve et ne tenez pas compte de ce message. "&amp;Paramètres!$B$11&amp;", "&amp;Paramètres!$B$12,IF(K30="En retard","Bonjour "&amp;D30&amp;", votre commande "&amp;A30&amp;" ("&amp;E30&amp;", "&amp;F30&amp;" pièces) prévue le "&amp;TEXT(I30,"dd/mm/yyyy")&amp;" a pris du retard. Nous vous confirmons la nouvelle date de livraison dans la journée. Toutes nos excuses pour ce contretemps. "&amp;Paramètres!$B$11&amp;", "&amp;Paramètres!$B$12,""))))</f>
        <v/>
      </c>
      <c r="T30" s="21" t="n"/>
      <c r="U30" s="26" t="n"/>
      <c r="V30" s="21" t="n"/>
    </row>
    <row r="31">
      <c r="A31" s="21" t="n"/>
      <c r="B31" s="26" t="n"/>
      <c r="C31" s="21" t="n"/>
      <c r="D31" s="25">
        <f>IF(C31="","",IFERROR(VLOOKUP(C31,Revendeurs!$A:$B,2,FALSE),"Code inconnu"))</f>
        <v/>
      </c>
      <c r="E31" s="21" t="n"/>
      <c r="F31" s="21" t="n"/>
      <c r="G31" s="22" t="n"/>
      <c r="H31" s="23">
        <f>IF(OR(F31="",G31=""),"",F31*G31)</f>
        <v/>
      </c>
      <c r="I31" s="26" t="n"/>
      <c r="J31" s="26" t="n"/>
      <c r="K31" s="25">
        <f>IF(B31="","",IF(J31&lt;&gt;"","Livrée",IF(I31="","À planifier",IF(Paramètres!$B$4&gt;I31+Paramètres!$B$8,"En retard","En cours"))))</f>
        <v/>
      </c>
      <c r="L31" s="25">
        <f>IF(K31="En retard",Paramètres!$B$4-I31,"")</f>
        <v/>
      </c>
      <c r="M31" s="27">
        <f>IF(OR(B31="",J31=""),"",J31+IFERROR(IF(VLOOKUP(C31,Revendeurs!$A:$G,7,FALSE)="",Paramètres!$B$9,VLOOKUP(C31,Revendeurs!$A:$G,7,FALSE)),Paramètres!$B$9))</f>
        <v/>
      </c>
      <c r="N31" s="22" t="n"/>
      <c r="O31" s="23">
        <f>IF(H31="","",H31-N31)</f>
        <v/>
      </c>
      <c r="P31" s="25">
        <f>IF(OR(M31="",O31=""),"",IF(O31&lt;=0,0,MAX(0,Paramètres!$B$4-M31)))</f>
        <v/>
      </c>
      <c r="Q31" s="25">
        <f>IF(H31="","",IF(O31&lt;=0,"Payée",IF(M31="","Pas encore livrée",IF(P31=0,"Non échue",IF(P31&gt;=Paramètres!$B$7,"Relance 3 : appel direction",IF(P31&gt;=Paramètres!$B$6,"Relance 2",IF(P31&gt;=Paramètres!$B$5,"Relance 1","Échue, relance à venir")))))))</f>
        <v/>
      </c>
      <c r="R31" s="25">
        <f>IF(B31="","",IF(U31=Paramètres!$B$4,"Relancé aujourd'hui",TRIM(IF(LEFT(Q31,7)="Relance",Q31&amp;" ","")&amp;IF(K31="En retard","· Prévenir du retard de livraison",""))))</f>
        <v/>
      </c>
      <c r="S31" s="28">
        <f>IF(B31="","",IF(LEFT(Q31,9)="Relance 3","Bonjour "&amp;D31&amp;", nous revenons vers vous au sujet de la commande "&amp;A31&amp;" du "&amp;TEXT(B31,"dd/mm/yyyy")&amp;" : "&amp;SUBSTITUTE(TEXT(O31,"#,##0"),","," ")&amp;" FCFA restent à régler depuis le "&amp;TEXT(M31,"dd/mm/yyyy")&amp;". Notre responsable souhaite vous appeler pour convenir ensemble d'une solution. Quel moment vous arrange cette semaine ? "&amp;Paramètres!$B$11&amp;", "&amp;Paramètres!$B$12,IF(LEFT(Q31,7)="Relance","Bonjour "&amp;D31&amp;", sauf erreur de notre part, la commande "&amp;A31&amp;" du "&amp;TEXT(B31,"dd/mm/yyyy")&amp;" ("&amp;E31&amp;") présente un reste à payer de "&amp;SUBSTITUTE(TEXT(O31,"#,##0"),","," ")&amp;" FCFA, échu depuis le "&amp;TEXT(M31,"dd/mm/yyyy")&amp;". Pouvez-vous nous indiquer la date de règlement prévue ? Si le paiement est déjà parti, merci de nous envoyer la preuve et ne tenez pas compte de ce message. "&amp;Paramètres!$B$11&amp;", "&amp;Paramètres!$B$12,IF(K31="En retard","Bonjour "&amp;D31&amp;", votre commande "&amp;A31&amp;" ("&amp;E31&amp;", "&amp;F31&amp;" pièces) prévue le "&amp;TEXT(I31,"dd/mm/yyyy")&amp;" a pris du retard. Nous vous confirmons la nouvelle date de livraison dans la journée. Toutes nos excuses pour ce contretemps. "&amp;Paramètres!$B$11&amp;", "&amp;Paramètres!$B$12,""))))</f>
        <v/>
      </c>
      <c r="T31" s="21" t="n"/>
      <c r="U31" s="26" t="n"/>
      <c r="V31" s="21" t="n"/>
    </row>
    <row r="32">
      <c r="A32" s="21" t="n"/>
      <c r="B32" s="26" t="n"/>
      <c r="C32" s="21" t="n"/>
      <c r="D32" s="25">
        <f>IF(C32="","",IFERROR(VLOOKUP(C32,Revendeurs!$A:$B,2,FALSE),"Code inconnu"))</f>
        <v/>
      </c>
      <c r="E32" s="21" t="n"/>
      <c r="F32" s="21" t="n"/>
      <c r="G32" s="22" t="n"/>
      <c r="H32" s="23">
        <f>IF(OR(F32="",G32=""),"",F32*G32)</f>
        <v/>
      </c>
      <c r="I32" s="26" t="n"/>
      <c r="J32" s="26" t="n"/>
      <c r="K32" s="25">
        <f>IF(B32="","",IF(J32&lt;&gt;"","Livrée",IF(I32="","À planifier",IF(Paramètres!$B$4&gt;I32+Paramètres!$B$8,"En retard","En cours"))))</f>
        <v/>
      </c>
      <c r="L32" s="25">
        <f>IF(K32="En retard",Paramètres!$B$4-I32,"")</f>
        <v/>
      </c>
      <c r="M32" s="27">
        <f>IF(OR(B32="",J32=""),"",J32+IFERROR(IF(VLOOKUP(C32,Revendeurs!$A:$G,7,FALSE)="",Paramètres!$B$9,VLOOKUP(C32,Revendeurs!$A:$G,7,FALSE)),Paramètres!$B$9))</f>
        <v/>
      </c>
      <c r="N32" s="22" t="n"/>
      <c r="O32" s="23">
        <f>IF(H32="","",H32-N32)</f>
        <v/>
      </c>
      <c r="P32" s="25">
        <f>IF(OR(M32="",O32=""),"",IF(O32&lt;=0,0,MAX(0,Paramètres!$B$4-M32)))</f>
        <v/>
      </c>
      <c r="Q32" s="25">
        <f>IF(H32="","",IF(O32&lt;=0,"Payée",IF(M32="","Pas encore livrée",IF(P32=0,"Non échue",IF(P32&gt;=Paramètres!$B$7,"Relance 3 : appel direction",IF(P32&gt;=Paramètres!$B$6,"Relance 2",IF(P32&gt;=Paramètres!$B$5,"Relance 1","Échue, relance à venir")))))))</f>
        <v/>
      </c>
      <c r="R32" s="25">
        <f>IF(B32="","",IF(U32=Paramètres!$B$4,"Relancé aujourd'hui",TRIM(IF(LEFT(Q32,7)="Relance",Q32&amp;" ","")&amp;IF(K32="En retard","· Prévenir du retard de livraison",""))))</f>
        <v/>
      </c>
      <c r="S32" s="28">
        <f>IF(B32="","",IF(LEFT(Q32,9)="Relance 3","Bonjour "&amp;D32&amp;", nous revenons vers vous au sujet de la commande "&amp;A32&amp;" du "&amp;TEXT(B32,"dd/mm/yyyy")&amp;" : "&amp;SUBSTITUTE(TEXT(O32,"#,##0"),","," ")&amp;" FCFA restent à régler depuis le "&amp;TEXT(M32,"dd/mm/yyyy")&amp;". Notre responsable souhaite vous appeler pour convenir ensemble d'une solution. Quel moment vous arrange cette semaine ? "&amp;Paramètres!$B$11&amp;", "&amp;Paramètres!$B$12,IF(LEFT(Q32,7)="Relance","Bonjour "&amp;D32&amp;", sauf erreur de notre part, la commande "&amp;A32&amp;" du "&amp;TEXT(B32,"dd/mm/yyyy")&amp;" ("&amp;E32&amp;") présente un reste à payer de "&amp;SUBSTITUTE(TEXT(O32,"#,##0"),","," ")&amp;" FCFA, échu depuis le "&amp;TEXT(M32,"dd/mm/yyyy")&amp;". Pouvez-vous nous indiquer la date de règlement prévue ? Si le paiement est déjà parti, merci de nous envoyer la preuve et ne tenez pas compte de ce message. "&amp;Paramètres!$B$11&amp;", "&amp;Paramètres!$B$12,IF(K32="En retard","Bonjour "&amp;D32&amp;", votre commande "&amp;A32&amp;" ("&amp;E32&amp;", "&amp;F32&amp;" pièces) prévue le "&amp;TEXT(I32,"dd/mm/yyyy")&amp;" a pris du retard. Nous vous confirmons la nouvelle date de livraison dans la journée. Toutes nos excuses pour ce contretemps. "&amp;Paramètres!$B$11&amp;", "&amp;Paramètres!$B$12,""))))</f>
        <v/>
      </c>
      <c r="T32" s="21" t="n"/>
      <c r="U32" s="26" t="n"/>
      <c r="V32" s="21" t="n"/>
    </row>
    <row r="33">
      <c r="A33" s="21" t="n"/>
      <c r="B33" s="26" t="n"/>
      <c r="C33" s="21" t="n"/>
      <c r="D33" s="25">
        <f>IF(C33="","",IFERROR(VLOOKUP(C33,Revendeurs!$A:$B,2,FALSE),"Code inconnu"))</f>
        <v/>
      </c>
      <c r="E33" s="21" t="n"/>
      <c r="F33" s="21" t="n"/>
      <c r="G33" s="22" t="n"/>
      <c r="H33" s="23">
        <f>IF(OR(F33="",G33=""),"",F33*G33)</f>
        <v/>
      </c>
      <c r="I33" s="26" t="n"/>
      <c r="J33" s="26" t="n"/>
      <c r="K33" s="25">
        <f>IF(B33="","",IF(J33&lt;&gt;"","Livrée",IF(I33="","À planifier",IF(Paramètres!$B$4&gt;I33+Paramètres!$B$8,"En retard","En cours"))))</f>
        <v/>
      </c>
      <c r="L33" s="25">
        <f>IF(K33="En retard",Paramètres!$B$4-I33,"")</f>
        <v/>
      </c>
      <c r="M33" s="27">
        <f>IF(OR(B33="",J33=""),"",J33+IFERROR(IF(VLOOKUP(C33,Revendeurs!$A:$G,7,FALSE)="",Paramètres!$B$9,VLOOKUP(C33,Revendeurs!$A:$G,7,FALSE)),Paramètres!$B$9))</f>
        <v/>
      </c>
      <c r="N33" s="22" t="n"/>
      <c r="O33" s="23">
        <f>IF(H33="","",H33-N33)</f>
        <v/>
      </c>
      <c r="P33" s="25">
        <f>IF(OR(M33="",O33=""),"",IF(O33&lt;=0,0,MAX(0,Paramètres!$B$4-M33)))</f>
        <v/>
      </c>
      <c r="Q33" s="25">
        <f>IF(H33="","",IF(O33&lt;=0,"Payée",IF(M33="","Pas encore livrée",IF(P33=0,"Non échue",IF(P33&gt;=Paramètres!$B$7,"Relance 3 : appel direction",IF(P33&gt;=Paramètres!$B$6,"Relance 2",IF(P33&gt;=Paramètres!$B$5,"Relance 1","Échue, relance à venir")))))))</f>
        <v/>
      </c>
      <c r="R33" s="25">
        <f>IF(B33="","",IF(U33=Paramètres!$B$4,"Relancé aujourd'hui",TRIM(IF(LEFT(Q33,7)="Relance",Q33&amp;" ","")&amp;IF(K33="En retard","· Prévenir du retard de livraison",""))))</f>
        <v/>
      </c>
      <c r="S33" s="28">
        <f>IF(B33="","",IF(LEFT(Q33,9)="Relance 3","Bonjour "&amp;D33&amp;", nous revenons vers vous au sujet de la commande "&amp;A33&amp;" du "&amp;TEXT(B33,"dd/mm/yyyy")&amp;" : "&amp;SUBSTITUTE(TEXT(O33,"#,##0"),","," ")&amp;" FCFA restent à régler depuis le "&amp;TEXT(M33,"dd/mm/yyyy")&amp;". Notre responsable souhaite vous appeler pour convenir ensemble d'une solution. Quel moment vous arrange cette semaine ? "&amp;Paramètres!$B$11&amp;", "&amp;Paramètres!$B$12,IF(LEFT(Q33,7)="Relance","Bonjour "&amp;D33&amp;", sauf erreur de notre part, la commande "&amp;A33&amp;" du "&amp;TEXT(B33,"dd/mm/yyyy")&amp;" ("&amp;E33&amp;") présente un reste à payer de "&amp;SUBSTITUTE(TEXT(O33,"#,##0"),","," ")&amp;" FCFA, échu depuis le "&amp;TEXT(M33,"dd/mm/yyyy")&amp;". Pouvez-vous nous indiquer la date de règlement prévue ? Si le paiement est déjà parti, merci de nous envoyer la preuve et ne tenez pas compte de ce message. "&amp;Paramètres!$B$11&amp;", "&amp;Paramètres!$B$12,IF(K33="En retard","Bonjour "&amp;D33&amp;", votre commande "&amp;A33&amp;" ("&amp;E33&amp;", "&amp;F33&amp;" pièces) prévue le "&amp;TEXT(I33,"dd/mm/yyyy")&amp;" a pris du retard. Nous vous confirmons la nouvelle date de livraison dans la journée. Toutes nos excuses pour ce contretemps. "&amp;Paramètres!$B$11&amp;", "&amp;Paramètres!$B$12,""))))</f>
        <v/>
      </c>
      <c r="T33" s="21" t="n"/>
      <c r="U33" s="26" t="n"/>
      <c r="V33" s="21" t="n"/>
    </row>
    <row r="34">
      <c r="A34" s="21" t="n"/>
      <c r="B34" s="26" t="n"/>
      <c r="C34" s="21" t="n"/>
      <c r="D34" s="25">
        <f>IF(C34="","",IFERROR(VLOOKUP(C34,Revendeurs!$A:$B,2,FALSE),"Code inconnu"))</f>
        <v/>
      </c>
      <c r="E34" s="21" t="n"/>
      <c r="F34" s="21" t="n"/>
      <c r="G34" s="22" t="n"/>
      <c r="H34" s="23">
        <f>IF(OR(F34="",G34=""),"",F34*G34)</f>
        <v/>
      </c>
      <c r="I34" s="26" t="n"/>
      <c r="J34" s="26" t="n"/>
      <c r="K34" s="25">
        <f>IF(B34="","",IF(J34&lt;&gt;"","Livrée",IF(I34="","À planifier",IF(Paramètres!$B$4&gt;I34+Paramètres!$B$8,"En retard","En cours"))))</f>
        <v/>
      </c>
      <c r="L34" s="25">
        <f>IF(K34="En retard",Paramètres!$B$4-I34,"")</f>
        <v/>
      </c>
      <c r="M34" s="27">
        <f>IF(OR(B34="",J34=""),"",J34+IFERROR(IF(VLOOKUP(C34,Revendeurs!$A:$G,7,FALSE)="",Paramètres!$B$9,VLOOKUP(C34,Revendeurs!$A:$G,7,FALSE)),Paramètres!$B$9))</f>
        <v/>
      </c>
      <c r="N34" s="22" t="n"/>
      <c r="O34" s="23">
        <f>IF(H34="","",H34-N34)</f>
        <v/>
      </c>
      <c r="P34" s="25">
        <f>IF(OR(M34="",O34=""),"",IF(O34&lt;=0,0,MAX(0,Paramètres!$B$4-M34)))</f>
        <v/>
      </c>
      <c r="Q34" s="25">
        <f>IF(H34="","",IF(O34&lt;=0,"Payée",IF(M34="","Pas encore livrée",IF(P34=0,"Non échue",IF(P34&gt;=Paramètres!$B$7,"Relance 3 : appel direction",IF(P34&gt;=Paramètres!$B$6,"Relance 2",IF(P34&gt;=Paramètres!$B$5,"Relance 1","Échue, relance à venir")))))))</f>
        <v/>
      </c>
      <c r="R34" s="25">
        <f>IF(B34="","",IF(U34=Paramètres!$B$4,"Relancé aujourd'hui",TRIM(IF(LEFT(Q34,7)="Relance",Q34&amp;" ","")&amp;IF(K34="En retard","· Prévenir du retard de livraison",""))))</f>
        <v/>
      </c>
      <c r="S34" s="28">
        <f>IF(B34="","",IF(LEFT(Q34,9)="Relance 3","Bonjour "&amp;D34&amp;", nous revenons vers vous au sujet de la commande "&amp;A34&amp;" du "&amp;TEXT(B34,"dd/mm/yyyy")&amp;" : "&amp;SUBSTITUTE(TEXT(O34,"#,##0"),","," ")&amp;" FCFA restent à régler depuis le "&amp;TEXT(M34,"dd/mm/yyyy")&amp;". Notre responsable souhaite vous appeler pour convenir ensemble d'une solution. Quel moment vous arrange cette semaine ? "&amp;Paramètres!$B$11&amp;", "&amp;Paramètres!$B$12,IF(LEFT(Q34,7)="Relance","Bonjour "&amp;D34&amp;", sauf erreur de notre part, la commande "&amp;A34&amp;" du "&amp;TEXT(B34,"dd/mm/yyyy")&amp;" ("&amp;E34&amp;") présente un reste à payer de "&amp;SUBSTITUTE(TEXT(O34,"#,##0"),","," ")&amp;" FCFA, échu depuis le "&amp;TEXT(M34,"dd/mm/yyyy")&amp;". Pouvez-vous nous indiquer la date de règlement prévue ? Si le paiement est déjà parti, merci de nous envoyer la preuve et ne tenez pas compte de ce message. "&amp;Paramètres!$B$11&amp;", "&amp;Paramètres!$B$12,IF(K34="En retard","Bonjour "&amp;D34&amp;", votre commande "&amp;A34&amp;" ("&amp;E34&amp;", "&amp;F34&amp;" pièces) prévue le "&amp;TEXT(I34,"dd/mm/yyyy")&amp;" a pris du retard. Nous vous confirmons la nouvelle date de livraison dans la journée. Toutes nos excuses pour ce contretemps. "&amp;Paramètres!$B$11&amp;", "&amp;Paramètres!$B$12,""))))</f>
        <v/>
      </c>
      <c r="T34" s="21" t="n"/>
      <c r="U34" s="26" t="n"/>
      <c r="V34" s="21" t="n"/>
    </row>
    <row r="35">
      <c r="A35" s="21" t="n"/>
      <c r="B35" s="26" t="n"/>
      <c r="C35" s="21" t="n"/>
      <c r="D35" s="25">
        <f>IF(C35="","",IFERROR(VLOOKUP(C35,Revendeurs!$A:$B,2,FALSE),"Code inconnu"))</f>
        <v/>
      </c>
      <c r="E35" s="21" t="n"/>
      <c r="F35" s="21" t="n"/>
      <c r="G35" s="22" t="n"/>
      <c r="H35" s="23">
        <f>IF(OR(F35="",G35=""),"",F35*G35)</f>
        <v/>
      </c>
      <c r="I35" s="26" t="n"/>
      <c r="J35" s="26" t="n"/>
      <c r="K35" s="25">
        <f>IF(B35="","",IF(J35&lt;&gt;"","Livrée",IF(I35="","À planifier",IF(Paramètres!$B$4&gt;I35+Paramètres!$B$8,"En retard","En cours"))))</f>
        <v/>
      </c>
      <c r="L35" s="25">
        <f>IF(K35="En retard",Paramètres!$B$4-I35,"")</f>
        <v/>
      </c>
      <c r="M35" s="27">
        <f>IF(OR(B35="",J35=""),"",J35+IFERROR(IF(VLOOKUP(C35,Revendeurs!$A:$G,7,FALSE)="",Paramètres!$B$9,VLOOKUP(C35,Revendeurs!$A:$G,7,FALSE)),Paramètres!$B$9))</f>
        <v/>
      </c>
      <c r="N35" s="22" t="n"/>
      <c r="O35" s="23">
        <f>IF(H35="","",H35-N35)</f>
        <v/>
      </c>
      <c r="P35" s="25">
        <f>IF(OR(M35="",O35=""),"",IF(O35&lt;=0,0,MAX(0,Paramètres!$B$4-M35)))</f>
        <v/>
      </c>
      <c r="Q35" s="25">
        <f>IF(H35="","",IF(O35&lt;=0,"Payée",IF(M35="","Pas encore livrée",IF(P35=0,"Non échue",IF(P35&gt;=Paramètres!$B$7,"Relance 3 : appel direction",IF(P35&gt;=Paramètres!$B$6,"Relance 2",IF(P35&gt;=Paramètres!$B$5,"Relance 1","Échue, relance à venir")))))))</f>
        <v/>
      </c>
      <c r="R35" s="25">
        <f>IF(B35="","",IF(U35=Paramètres!$B$4,"Relancé aujourd'hui",TRIM(IF(LEFT(Q35,7)="Relance",Q35&amp;" ","")&amp;IF(K35="En retard","· Prévenir du retard de livraison",""))))</f>
        <v/>
      </c>
      <c r="S35" s="28">
        <f>IF(B35="","",IF(LEFT(Q35,9)="Relance 3","Bonjour "&amp;D35&amp;", nous revenons vers vous au sujet de la commande "&amp;A35&amp;" du "&amp;TEXT(B35,"dd/mm/yyyy")&amp;" : "&amp;SUBSTITUTE(TEXT(O35,"#,##0"),","," ")&amp;" FCFA restent à régler depuis le "&amp;TEXT(M35,"dd/mm/yyyy")&amp;". Notre responsable souhaite vous appeler pour convenir ensemble d'une solution. Quel moment vous arrange cette semaine ? "&amp;Paramètres!$B$11&amp;", "&amp;Paramètres!$B$12,IF(LEFT(Q35,7)="Relance","Bonjour "&amp;D35&amp;", sauf erreur de notre part, la commande "&amp;A35&amp;" du "&amp;TEXT(B35,"dd/mm/yyyy")&amp;" ("&amp;E35&amp;") présente un reste à payer de "&amp;SUBSTITUTE(TEXT(O35,"#,##0"),","," ")&amp;" FCFA, échu depuis le "&amp;TEXT(M35,"dd/mm/yyyy")&amp;". Pouvez-vous nous indiquer la date de règlement prévue ? Si le paiement est déjà parti, merci de nous envoyer la preuve et ne tenez pas compte de ce message. "&amp;Paramètres!$B$11&amp;", "&amp;Paramètres!$B$12,IF(K35="En retard","Bonjour "&amp;D35&amp;", votre commande "&amp;A35&amp;" ("&amp;E35&amp;", "&amp;F35&amp;" pièces) prévue le "&amp;TEXT(I35,"dd/mm/yyyy")&amp;" a pris du retard. Nous vous confirmons la nouvelle date de livraison dans la journée. Toutes nos excuses pour ce contretemps. "&amp;Paramètres!$B$11&amp;", "&amp;Paramètres!$B$12,""))))</f>
        <v/>
      </c>
      <c r="T35" s="21" t="n"/>
      <c r="U35" s="26" t="n"/>
      <c r="V35" s="21" t="n"/>
    </row>
    <row r="36">
      <c r="A36" s="21" t="n"/>
      <c r="B36" s="26" t="n"/>
      <c r="C36" s="21" t="n"/>
      <c r="D36" s="25">
        <f>IF(C36="","",IFERROR(VLOOKUP(C36,Revendeurs!$A:$B,2,FALSE),"Code inconnu"))</f>
        <v/>
      </c>
      <c r="E36" s="21" t="n"/>
      <c r="F36" s="21" t="n"/>
      <c r="G36" s="22" t="n"/>
      <c r="H36" s="23">
        <f>IF(OR(F36="",G36=""),"",F36*G36)</f>
        <v/>
      </c>
      <c r="I36" s="26" t="n"/>
      <c r="J36" s="26" t="n"/>
      <c r="K36" s="25">
        <f>IF(B36="","",IF(J36&lt;&gt;"","Livrée",IF(I36="","À planifier",IF(Paramètres!$B$4&gt;I36+Paramètres!$B$8,"En retard","En cours"))))</f>
        <v/>
      </c>
      <c r="L36" s="25">
        <f>IF(K36="En retard",Paramètres!$B$4-I36,"")</f>
        <v/>
      </c>
      <c r="M36" s="27">
        <f>IF(OR(B36="",J36=""),"",J36+IFERROR(IF(VLOOKUP(C36,Revendeurs!$A:$G,7,FALSE)="",Paramètres!$B$9,VLOOKUP(C36,Revendeurs!$A:$G,7,FALSE)),Paramètres!$B$9))</f>
        <v/>
      </c>
      <c r="N36" s="22" t="n"/>
      <c r="O36" s="23">
        <f>IF(H36="","",H36-N36)</f>
        <v/>
      </c>
      <c r="P36" s="25">
        <f>IF(OR(M36="",O36=""),"",IF(O36&lt;=0,0,MAX(0,Paramètres!$B$4-M36)))</f>
        <v/>
      </c>
      <c r="Q36" s="25">
        <f>IF(H36="","",IF(O36&lt;=0,"Payée",IF(M36="","Pas encore livrée",IF(P36=0,"Non échue",IF(P36&gt;=Paramètres!$B$7,"Relance 3 : appel direction",IF(P36&gt;=Paramètres!$B$6,"Relance 2",IF(P36&gt;=Paramètres!$B$5,"Relance 1","Échue, relance à venir")))))))</f>
        <v/>
      </c>
      <c r="R36" s="25">
        <f>IF(B36="","",IF(U36=Paramètres!$B$4,"Relancé aujourd'hui",TRIM(IF(LEFT(Q36,7)="Relance",Q36&amp;" ","")&amp;IF(K36="En retard","· Prévenir du retard de livraison",""))))</f>
        <v/>
      </c>
      <c r="S36" s="28">
        <f>IF(B36="","",IF(LEFT(Q36,9)="Relance 3","Bonjour "&amp;D36&amp;", nous revenons vers vous au sujet de la commande "&amp;A36&amp;" du "&amp;TEXT(B36,"dd/mm/yyyy")&amp;" : "&amp;SUBSTITUTE(TEXT(O36,"#,##0"),","," ")&amp;" FCFA restent à régler depuis le "&amp;TEXT(M36,"dd/mm/yyyy")&amp;". Notre responsable souhaite vous appeler pour convenir ensemble d'une solution. Quel moment vous arrange cette semaine ? "&amp;Paramètres!$B$11&amp;", "&amp;Paramètres!$B$12,IF(LEFT(Q36,7)="Relance","Bonjour "&amp;D36&amp;", sauf erreur de notre part, la commande "&amp;A36&amp;" du "&amp;TEXT(B36,"dd/mm/yyyy")&amp;" ("&amp;E36&amp;") présente un reste à payer de "&amp;SUBSTITUTE(TEXT(O36,"#,##0"),","," ")&amp;" FCFA, échu depuis le "&amp;TEXT(M36,"dd/mm/yyyy")&amp;". Pouvez-vous nous indiquer la date de règlement prévue ? Si le paiement est déjà parti, merci de nous envoyer la preuve et ne tenez pas compte de ce message. "&amp;Paramètres!$B$11&amp;", "&amp;Paramètres!$B$12,IF(K36="En retard","Bonjour "&amp;D36&amp;", votre commande "&amp;A36&amp;" ("&amp;E36&amp;", "&amp;F36&amp;" pièces) prévue le "&amp;TEXT(I36,"dd/mm/yyyy")&amp;" a pris du retard. Nous vous confirmons la nouvelle date de livraison dans la journée. Toutes nos excuses pour ce contretemps. "&amp;Paramètres!$B$11&amp;", "&amp;Paramètres!$B$12,""))))</f>
        <v/>
      </c>
      <c r="T36" s="21" t="n"/>
      <c r="U36" s="26" t="n"/>
      <c r="V36" s="21" t="n"/>
    </row>
    <row r="37">
      <c r="A37" s="21" t="n"/>
      <c r="B37" s="26" t="n"/>
      <c r="C37" s="21" t="n"/>
      <c r="D37" s="25">
        <f>IF(C37="","",IFERROR(VLOOKUP(C37,Revendeurs!$A:$B,2,FALSE),"Code inconnu"))</f>
        <v/>
      </c>
      <c r="E37" s="21" t="n"/>
      <c r="F37" s="21" t="n"/>
      <c r="G37" s="22" t="n"/>
      <c r="H37" s="23">
        <f>IF(OR(F37="",G37=""),"",F37*G37)</f>
        <v/>
      </c>
      <c r="I37" s="26" t="n"/>
      <c r="J37" s="26" t="n"/>
      <c r="K37" s="25">
        <f>IF(B37="","",IF(J37&lt;&gt;"","Livrée",IF(I37="","À planifier",IF(Paramètres!$B$4&gt;I37+Paramètres!$B$8,"En retard","En cours"))))</f>
        <v/>
      </c>
      <c r="L37" s="25">
        <f>IF(K37="En retard",Paramètres!$B$4-I37,"")</f>
        <v/>
      </c>
      <c r="M37" s="27">
        <f>IF(OR(B37="",J37=""),"",J37+IFERROR(IF(VLOOKUP(C37,Revendeurs!$A:$G,7,FALSE)="",Paramètres!$B$9,VLOOKUP(C37,Revendeurs!$A:$G,7,FALSE)),Paramètres!$B$9))</f>
        <v/>
      </c>
      <c r="N37" s="22" t="n"/>
      <c r="O37" s="23">
        <f>IF(H37="","",H37-N37)</f>
        <v/>
      </c>
      <c r="P37" s="25">
        <f>IF(OR(M37="",O37=""),"",IF(O37&lt;=0,0,MAX(0,Paramètres!$B$4-M37)))</f>
        <v/>
      </c>
      <c r="Q37" s="25">
        <f>IF(H37="","",IF(O37&lt;=0,"Payée",IF(M37="","Pas encore livrée",IF(P37=0,"Non échue",IF(P37&gt;=Paramètres!$B$7,"Relance 3 : appel direction",IF(P37&gt;=Paramètres!$B$6,"Relance 2",IF(P37&gt;=Paramètres!$B$5,"Relance 1","Échue, relance à venir")))))))</f>
        <v/>
      </c>
      <c r="R37" s="25">
        <f>IF(B37="","",IF(U37=Paramètres!$B$4,"Relancé aujourd'hui",TRIM(IF(LEFT(Q37,7)="Relance",Q37&amp;" ","")&amp;IF(K37="En retard","· Prévenir du retard de livraison",""))))</f>
        <v/>
      </c>
      <c r="S37" s="28">
        <f>IF(B37="","",IF(LEFT(Q37,9)="Relance 3","Bonjour "&amp;D37&amp;", nous revenons vers vous au sujet de la commande "&amp;A37&amp;" du "&amp;TEXT(B37,"dd/mm/yyyy")&amp;" : "&amp;SUBSTITUTE(TEXT(O37,"#,##0"),","," ")&amp;" FCFA restent à régler depuis le "&amp;TEXT(M37,"dd/mm/yyyy")&amp;". Notre responsable souhaite vous appeler pour convenir ensemble d'une solution. Quel moment vous arrange cette semaine ? "&amp;Paramètres!$B$11&amp;", "&amp;Paramètres!$B$12,IF(LEFT(Q37,7)="Relance","Bonjour "&amp;D37&amp;", sauf erreur de notre part, la commande "&amp;A37&amp;" du "&amp;TEXT(B37,"dd/mm/yyyy")&amp;" ("&amp;E37&amp;") présente un reste à payer de "&amp;SUBSTITUTE(TEXT(O37,"#,##0"),","," ")&amp;" FCFA, échu depuis le "&amp;TEXT(M37,"dd/mm/yyyy")&amp;". Pouvez-vous nous indiquer la date de règlement prévue ? Si le paiement est déjà parti, merci de nous envoyer la preuve et ne tenez pas compte de ce message. "&amp;Paramètres!$B$11&amp;", "&amp;Paramètres!$B$12,IF(K37="En retard","Bonjour "&amp;D37&amp;", votre commande "&amp;A37&amp;" ("&amp;E37&amp;", "&amp;F37&amp;" pièces) prévue le "&amp;TEXT(I37,"dd/mm/yyyy")&amp;" a pris du retard. Nous vous confirmons la nouvelle date de livraison dans la journée. Toutes nos excuses pour ce contretemps. "&amp;Paramètres!$B$11&amp;", "&amp;Paramètres!$B$12,""))))</f>
        <v/>
      </c>
      <c r="T37" s="21" t="n"/>
      <c r="U37" s="26" t="n"/>
      <c r="V37" s="21" t="n"/>
    </row>
    <row r="38">
      <c r="A38" s="21" t="n"/>
      <c r="B38" s="26" t="n"/>
      <c r="C38" s="21" t="n"/>
      <c r="D38" s="25">
        <f>IF(C38="","",IFERROR(VLOOKUP(C38,Revendeurs!$A:$B,2,FALSE),"Code inconnu"))</f>
        <v/>
      </c>
      <c r="E38" s="21" t="n"/>
      <c r="F38" s="21" t="n"/>
      <c r="G38" s="22" t="n"/>
      <c r="H38" s="23">
        <f>IF(OR(F38="",G38=""),"",F38*G38)</f>
        <v/>
      </c>
      <c r="I38" s="26" t="n"/>
      <c r="J38" s="26" t="n"/>
      <c r="K38" s="25">
        <f>IF(B38="","",IF(J38&lt;&gt;"","Livrée",IF(I38="","À planifier",IF(Paramètres!$B$4&gt;I38+Paramètres!$B$8,"En retard","En cours"))))</f>
        <v/>
      </c>
      <c r="L38" s="25">
        <f>IF(K38="En retard",Paramètres!$B$4-I38,"")</f>
        <v/>
      </c>
      <c r="M38" s="27">
        <f>IF(OR(B38="",J38=""),"",J38+IFERROR(IF(VLOOKUP(C38,Revendeurs!$A:$G,7,FALSE)="",Paramètres!$B$9,VLOOKUP(C38,Revendeurs!$A:$G,7,FALSE)),Paramètres!$B$9))</f>
        <v/>
      </c>
      <c r="N38" s="22" t="n"/>
      <c r="O38" s="23">
        <f>IF(H38="","",H38-N38)</f>
        <v/>
      </c>
      <c r="P38" s="25">
        <f>IF(OR(M38="",O38=""),"",IF(O38&lt;=0,0,MAX(0,Paramètres!$B$4-M38)))</f>
        <v/>
      </c>
      <c r="Q38" s="25">
        <f>IF(H38="","",IF(O38&lt;=0,"Payée",IF(M38="","Pas encore livrée",IF(P38=0,"Non échue",IF(P38&gt;=Paramètres!$B$7,"Relance 3 : appel direction",IF(P38&gt;=Paramètres!$B$6,"Relance 2",IF(P38&gt;=Paramètres!$B$5,"Relance 1","Échue, relance à venir")))))))</f>
        <v/>
      </c>
      <c r="R38" s="25">
        <f>IF(B38="","",IF(U38=Paramètres!$B$4,"Relancé aujourd'hui",TRIM(IF(LEFT(Q38,7)="Relance",Q38&amp;" ","")&amp;IF(K38="En retard","· Prévenir du retard de livraison",""))))</f>
        <v/>
      </c>
      <c r="S38" s="28">
        <f>IF(B38="","",IF(LEFT(Q38,9)="Relance 3","Bonjour "&amp;D38&amp;", nous revenons vers vous au sujet de la commande "&amp;A38&amp;" du "&amp;TEXT(B38,"dd/mm/yyyy")&amp;" : "&amp;SUBSTITUTE(TEXT(O38,"#,##0"),","," ")&amp;" FCFA restent à régler depuis le "&amp;TEXT(M38,"dd/mm/yyyy")&amp;". Notre responsable souhaite vous appeler pour convenir ensemble d'une solution. Quel moment vous arrange cette semaine ? "&amp;Paramètres!$B$11&amp;", "&amp;Paramètres!$B$12,IF(LEFT(Q38,7)="Relance","Bonjour "&amp;D38&amp;", sauf erreur de notre part, la commande "&amp;A38&amp;" du "&amp;TEXT(B38,"dd/mm/yyyy")&amp;" ("&amp;E38&amp;") présente un reste à payer de "&amp;SUBSTITUTE(TEXT(O38,"#,##0"),","," ")&amp;" FCFA, échu depuis le "&amp;TEXT(M38,"dd/mm/yyyy")&amp;". Pouvez-vous nous indiquer la date de règlement prévue ? Si le paiement est déjà parti, merci de nous envoyer la preuve et ne tenez pas compte de ce message. "&amp;Paramètres!$B$11&amp;", "&amp;Paramètres!$B$12,IF(K38="En retard","Bonjour "&amp;D38&amp;", votre commande "&amp;A38&amp;" ("&amp;E38&amp;", "&amp;F38&amp;" pièces) prévue le "&amp;TEXT(I38,"dd/mm/yyyy")&amp;" a pris du retard. Nous vous confirmons la nouvelle date de livraison dans la journée. Toutes nos excuses pour ce contretemps. "&amp;Paramètres!$B$11&amp;", "&amp;Paramètres!$B$12,""))))</f>
        <v/>
      </c>
      <c r="T38" s="21" t="n"/>
      <c r="U38" s="26" t="n"/>
      <c r="V38" s="21" t="n"/>
    </row>
    <row r="39">
      <c r="A39" s="21" t="n"/>
      <c r="B39" s="26" t="n"/>
      <c r="C39" s="21" t="n"/>
      <c r="D39" s="25">
        <f>IF(C39="","",IFERROR(VLOOKUP(C39,Revendeurs!$A:$B,2,FALSE),"Code inconnu"))</f>
        <v/>
      </c>
      <c r="E39" s="21" t="n"/>
      <c r="F39" s="21" t="n"/>
      <c r="G39" s="22" t="n"/>
      <c r="H39" s="23">
        <f>IF(OR(F39="",G39=""),"",F39*G39)</f>
        <v/>
      </c>
      <c r="I39" s="26" t="n"/>
      <c r="J39" s="26" t="n"/>
      <c r="K39" s="25">
        <f>IF(B39="","",IF(J39&lt;&gt;"","Livrée",IF(I39="","À planifier",IF(Paramètres!$B$4&gt;I39+Paramètres!$B$8,"En retard","En cours"))))</f>
        <v/>
      </c>
      <c r="L39" s="25">
        <f>IF(K39="En retard",Paramètres!$B$4-I39,"")</f>
        <v/>
      </c>
      <c r="M39" s="27">
        <f>IF(OR(B39="",J39=""),"",J39+IFERROR(IF(VLOOKUP(C39,Revendeurs!$A:$G,7,FALSE)="",Paramètres!$B$9,VLOOKUP(C39,Revendeurs!$A:$G,7,FALSE)),Paramètres!$B$9))</f>
        <v/>
      </c>
      <c r="N39" s="22" t="n"/>
      <c r="O39" s="23">
        <f>IF(H39="","",H39-N39)</f>
        <v/>
      </c>
      <c r="P39" s="25">
        <f>IF(OR(M39="",O39=""),"",IF(O39&lt;=0,0,MAX(0,Paramètres!$B$4-M39)))</f>
        <v/>
      </c>
      <c r="Q39" s="25">
        <f>IF(H39="","",IF(O39&lt;=0,"Payée",IF(M39="","Pas encore livrée",IF(P39=0,"Non échue",IF(P39&gt;=Paramètres!$B$7,"Relance 3 : appel direction",IF(P39&gt;=Paramètres!$B$6,"Relance 2",IF(P39&gt;=Paramètres!$B$5,"Relance 1","Échue, relance à venir")))))))</f>
        <v/>
      </c>
      <c r="R39" s="25">
        <f>IF(B39="","",IF(U39=Paramètres!$B$4,"Relancé aujourd'hui",TRIM(IF(LEFT(Q39,7)="Relance",Q39&amp;" ","")&amp;IF(K39="En retard","· Prévenir du retard de livraison",""))))</f>
        <v/>
      </c>
      <c r="S39" s="28">
        <f>IF(B39="","",IF(LEFT(Q39,9)="Relance 3","Bonjour "&amp;D39&amp;", nous revenons vers vous au sujet de la commande "&amp;A39&amp;" du "&amp;TEXT(B39,"dd/mm/yyyy")&amp;" : "&amp;SUBSTITUTE(TEXT(O39,"#,##0"),","," ")&amp;" FCFA restent à régler depuis le "&amp;TEXT(M39,"dd/mm/yyyy")&amp;". Notre responsable souhaite vous appeler pour convenir ensemble d'une solution. Quel moment vous arrange cette semaine ? "&amp;Paramètres!$B$11&amp;", "&amp;Paramètres!$B$12,IF(LEFT(Q39,7)="Relance","Bonjour "&amp;D39&amp;", sauf erreur de notre part, la commande "&amp;A39&amp;" du "&amp;TEXT(B39,"dd/mm/yyyy")&amp;" ("&amp;E39&amp;") présente un reste à payer de "&amp;SUBSTITUTE(TEXT(O39,"#,##0"),","," ")&amp;" FCFA, échu depuis le "&amp;TEXT(M39,"dd/mm/yyyy")&amp;". Pouvez-vous nous indiquer la date de règlement prévue ? Si le paiement est déjà parti, merci de nous envoyer la preuve et ne tenez pas compte de ce message. "&amp;Paramètres!$B$11&amp;", "&amp;Paramètres!$B$12,IF(K39="En retard","Bonjour "&amp;D39&amp;", votre commande "&amp;A39&amp;" ("&amp;E39&amp;", "&amp;F39&amp;" pièces) prévue le "&amp;TEXT(I39,"dd/mm/yyyy")&amp;" a pris du retard. Nous vous confirmons la nouvelle date de livraison dans la journée. Toutes nos excuses pour ce contretemps. "&amp;Paramètres!$B$11&amp;", "&amp;Paramètres!$B$12,""))))</f>
        <v/>
      </c>
      <c r="T39" s="21" t="n"/>
      <c r="U39" s="26" t="n"/>
      <c r="V39" s="21" t="n"/>
    </row>
    <row r="40">
      <c r="A40" s="21" t="n"/>
      <c r="B40" s="26" t="n"/>
      <c r="C40" s="21" t="n"/>
      <c r="D40" s="25">
        <f>IF(C40="","",IFERROR(VLOOKUP(C40,Revendeurs!$A:$B,2,FALSE),"Code inconnu"))</f>
        <v/>
      </c>
      <c r="E40" s="21" t="n"/>
      <c r="F40" s="21" t="n"/>
      <c r="G40" s="22" t="n"/>
      <c r="H40" s="23">
        <f>IF(OR(F40="",G40=""),"",F40*G40)</f>
        <v/>
      </c>
      <c r="I40" s="26" t="n"/>
      <c r="J40" s="26" t="n"/>
      <c r="K40" s="25">
        <f>IF(B40="","",IF(J40&lt;&gt;"","Livrée",IF(I40="","À planifier",IF(Paramètres!$B$4&gt;I40+Paramètres!$B$8,"En retard","En cours"))))</f>
        <v/>
      </c>
      <c r="L40" s="25">
        <f>IF(K40="En retard",Paramètres!$B$4-I40,"")</f>
        <v/>
      </c>
      <c r="M40" s="27">
        <f>IF(OR(B40="",J40=""),"",J40+IFERROR(IF(VLOOKUP(C40,Revendeurs!$A:$G,7,FALSE)="",Paramètres!$B$9,VLOOKUP(C40,Revendeurs!$A:$G,7,FALSE)),Paramètres!$B$9))</f>
        <v/>
      </c>
      <c r="N40" s="22" t="n"/>
      <c r="O40" s="23">
        <f>IF(H40="","",H40-N40)</f>
        <v/>
      </c>
      <c r="P40" s="25">
        <f>IF(OR(M40="",O40=""),"",IF(O40&lt;=0,0,MAX(0,Paramètres!$B$4-M40)))</f>
        <v/>
      </c>
      <c r="Q40" s="25">
        <f>IF(H40="","",IF(O40&lt;=0,"Payée",IF(M40="","Pas encore livrée",IF(P40=0,"Non échue",IF(P40&gt;=Paramètres!$B$7,"Relance 3 : appel direction",IF(P40&gt;=Paramètres!$B$6,"Relance 2",IF(P40&gt;=Paramètres!$B$5,"Relance 1","Échue, relance à venir")))))))</f>
        <v/>
      </c>
      <c r="R40" s="25">
        <f>IF(B40="","",IF(U40=Paramètres!$B$4,"Relancé aujourd'hui",TRIM(IF(LEFT(Q40,7)="Relance",Q40&amp;" ","")&amp;IF(K40="En retard","· Prévenir du retard de livraison",""))))</f>
        <v/>
      </c>
      <c r="S40" s="28">
        <f>IF(B40="","",IF(LEFT(Q40,9)="Relance 3","Bonjour "&amp;D40&amp;", nous revenons vers vous au sujet de la commande "&amp;A40&amp;" du "&amp;TEXT(B40,"dd/mm/yyyy")&amp;" : "&amp;SUBSTITUTE(TEXT(O40,"#,##0"),","," ")&amp;" FCFA restent à régler depuis le "&amp;TEXT(M40,"dd/mm/yyyy")&amp;". Notre responsable souhaite vous appeler pour convenir ensemble d'une solution. Quel moment vous arrange cette semaine ? "&amp;Paramètres!$B$11&amp;", "&amp;Paramètres!$B$12,IF(LEFT(Q40,7)="Relance","Bonjour "&amp;D40&amp;", sauf erreur de notre part, la commande "&amp;A40&amp;" du "&amp;TEXT(B40,"dd/mm/yyyy")&amp;" ("&amp;E40&amp;") présente un reste à payer de "&amp;SUBSTITUTE(TEXT(O40,"#,##0"),","," ")&amp;" FCFA, échu depuis le "&amp;TEXT(M40,"dd/mm/yyyy")&amp;". Pouvez-vous nous indiquer la date de règlement prévue ? Si le paiement est déjà parti, merci de nous envoyer la preuve et ne tenez pas compte de ce message. "&amp;Paramètres!$B$11&amp;", "&amp;Paramètres!$B$12,IF(K40="En retard","Bonjour "&amp;D40&amp;", votre commande "&amp;A40&amp;" ("&amp;E40&amp;", "&amp;F40&amp;" pièces) prévue le "&amp;TEXT(I40,"dd/mm/yyyy")&amp;" a pris du retard. Nous vous confirmons la nouvelle date de livraison dans la journée. Toutes nos excuses pour ce contretemps. "&amp;Paramètres!$B$11&amp;", "&amp;Paramètres!$B$12,""))))</f>
        <v/>
      </c>
      <c r="T40" s="21" t="n"/>
      <c r="U40" s="26" t="n"/>
      <c r="V40" s="21" t="n"/>
    </row>
    <row r="41">
      <c r="A41" s="21" t="n"/>
      <c r="B41" s="26" t="n"/>
      <c r="C41" s="21" t="n"/>
      <c r="D41" s="25">
        <f>IF(C41="","",IFERROR(VLOOKUP(C41,Revendeurs!$A:$B,2,FALSE),"Code inconnu"))</f>
        <v/>
      </c>
      <c r="E41" s="21" t="n"/>
      <c r="F41" s="21" t="n"/>
      <c r="G41" s="22" t="n"/>
      <c r="H41" s="23">
        <f>IF(OR(F41="",G41=""),"",F41*G41)</f>
        <v/>
      </c>
      <c r="I41" s="26" t="n"/>
      <c r="J41" s="26" t="n"/>
      <c r="K41" s="25">
        <f>IF(B41="","",IF(J41&lt;&gt;"","Livrée",IF(I41="","À planifier",IF(Paramètres!$B$4&gt;I41+Paramètres!$B$8,"En retard","En cours"))))</f>
        <v/>
      </c>
      <c r="L41" s="25">
        <f>IF(K41="En retard",Paramètres!$B$4-I41,"")</f>
        <v/>
      </c>
      <c r="M41" s="27">
        <f>IF(OR(B41="",J41=""),"",J41+IFERROR(IF(VLOOKUP(C41,Revendeurs!$A:$G,7,FALSE)="",Paramètres!$B$9,VLOOKUP(C41,Revendeurs!$A:$G,7,FALSE)),Paramètres!$B$9))</f>
        <v/>
      </c>
      <c r="N41" s="22" t="n"/>
      <c r="O41" s="23">
        <f>IF(H41="","",H41-N41)</f>
        <v/>
      </c>
      <c r="P41" s="25">
        <f>IF(OR(M41="",O41=""),"",IF(O41&lt;=0,0,MAX(0,Paramètres!$B$4-M41)))</f>
        <v/>
      </c>
      <c r="Q41" s="25">
        <f>IF(H41="","",IF(O41&lt;=0,"Payée",IF(M41="","Pas encore livrée",IF(P41=0,"Non échue",IF(P41&gt;=Paramètres!$B$7,"Relance 3 : appel direction",IF(P41&gt;=Paramètres!$B$6,"Relance 2",IF(P41&gt;=Paramètres!$B$5,"Relance 1","Échue, relance à venir")))))))</f>
        <v/>
      </c>
      <c r="R41" s="25">
        <f>IF(B41="","",IF(U41=Paramètres!$B$4,"Relancé aujourd'hui",TRIM(IF(LEFT(Q41,7)="Relance",Q41&amp;" ","")&amp;IF(K41="En retard","· Prévenir du retard de livraison",""))))</f>
        <v/>
      </c>
      <c r="S41" s="28">
        <f>IF(B41="","",IF(LEFT(Q41,9)="Relance 3","Bonjour "&amp;D41&amp;", nous revenons vers vous au sujet de la commande "&amp;A41&amp;" du "&amp;TEXT(B41,"dd/mm/yyyy")&amp;" : "&amp;SUBSTITUTE(TEXT(O41,"#,##0"),","," ")&amp;" FCFA restent à régler depuis le "&amp;TEXT(M41,"dd/mm/yyyy")&amp;". Notre responsable souhaite vous appeler pour convenir ensemble d'une solution. Quel moment vous arrange cette semaine ? "&amp;Paramètres!$B$11&amp;", "&amp;Paramètres!$B$12,IF(LEFT(Q41,7)="Relance","Bonjour "&amp;D41&amp;", sauf erreur de notre part, la commande "&amp;A41&amp;" du "&amp;TEXT(B41,"dd/mm/yyyy")&amp;" ("&amp;E41&amp;") présente un reste à payer de "&amp;SUBSTITUTE(TEXT(O41,"#,##0"),","," ")&amp;" FCFA, échu depuis le "&amp;TEXT(M41,"dd/mm/yyyy")&amp;". Pouvez-vous nous indiquer la date de règlement prévue ? Si le paiement est déjà parti, merci de nous envoyer la preuve et ne tenez pas compte de ce message. "&amp;Paramètres!$B$11&amp;", "&amp;Paramètres!$B$12,IF(K41="En retard","Bonjour "&amp;D41&amp;", votre commande "&amp;A41&amp;" ("&amp;E41&amp;", "&amp;F41&amp;" pièces) prévue le "&amp;TEXT(I41,"dd/mm/yyyy")&amp;" a pris du retard. Nous vous confirmons la nouvelle date de livraison dans la journée. Toutes nos excuses pour ce contretemps. "&amp;Paramètres!$B$11&amp;", "&amp;Paramètres!$B$12,""))))</f>
        <v/>
      </c>
      <c r="T41" s="21" t="n"/>
      <c r="U41" s="26" t="n"/>
      <c r="V41" s="21" t="n"/>
    </row>
    <row r="42">
      <c r="A42" s="21" t="n"/>
      <c r="B42" s="26" t="n"/>
      <c r="C42" s="21" t="n"/>
      <c r="D42" s="25">
        <f>IF(C42="","",IFERROR(VLOOKUP(C42,Revendeurs!$A:$B,2,FALSE),"Code inconnu"))</f>
        <v/>
      </c>
      <c r="E42" s="21" t="n"/>
      <c r="F42" s="21" t="n"/>
      <c r="G42" s="22" t="n"/>
      <c r="H42" s="23">
        <f>IF(OR(F42="",G42=""),"",F42*G42)</f>
        <v/>
      </c>
      <c r="I42" s="26" t="n"/>
      <c r="J42" s="26" t="n"/>
      <c r="K42" s="25">
        <f>IF(B42="","",IF(J42&lt;&gt;"","Livrée",IF(I42="","À planifier",IF(Paramètres!$B$4&gt;I42+Paramètres!$B$8,"En retard","En cours"))))</f>
        <v/>
      </c>
      <c r="L42" s="25">
        <f>IF(K42="En retard",Paramètres!$B$4-I42,"")</f>
        <v/>
      </c>
      <c r="M42" s="27">
        <f>IF(OR(B42="",J42=""),"",J42+IFERROR(IF(VLOOKUP(C42,Revendeurs!$A:$G,7,FALSE)="",Paramètres!$B$9,VLOOKUP(C42,Revendeurs!$A:$G,7,FALSE)),Paramètres!$B$9))</f>
        <v/>
      </c>
      <c r="N42" s="22" t="n"/>
      <c r="O42" s="23">
        <f>IF(H42="","",H42-N42)</f>
        <v/>
      </c>
      <c r="P42" s="25">
        <f>IF(OR(M42="",O42=""),"",IF(O42&lt;=0,0,MAX(0,Paramètres!$B$4-M42)))</f>
        <v/>
      </c>
      <c r="Q42" s="25">
        <f>IF(H42="","",IF(O42&lt;=0,"Payée",IF(M42="","Pas encore livrée",IF(P42=0,"Non échue",IF(P42&gt;=Paramètres!$B$7,"Relance 3 : appel direction",IF(P42&gt;=Paramètres!$B$6,"Relance 2",IF(P42&gt;=Paramètres!$B$5,"Relance 1","Échue, relance à venir")))))))</f>
        <v/>
      </c>
      <c r="R42" s="25">
        <f>IF(B42="","",IF(U42=Paramètres!$B$4,"Relancé aujourd'hui",TRIM(IF(LEFT(Q42,7)="Relance",Q42&amp;" ","")&amp;IF(K42="En retard","· Prévenir du retard de livraison",""))))</f>
        <v/>
      </c>
      <c r="S42" s="28">
        <f>IF(B42="","",IF(LEFT(Q42,9)="Relance 3","Bonjour "&amp;D42&amp;", nous revenons vers vous au sujet de la commande "&amp;A42&amp;" du "&amp;TEXT(B42,"dd/mm/yyyy")&amp;" : "&amp;SUBSTITUTE(TEXT(O42,"#,##0"),","," ")&amp;" FCFA restent à régler depuis le "&amp;TEXT(M42,"dd/mm/yyyy")&amp;". Notre responsable souhaite vous appeler pour convenir ensemble d'une solution. Quel moment vous arrange cette semaine ? "&amp;Paramètres!$B$11&amp;", "&amp;Paramètres!$B$12,IF(LEFT(Q42,7)="Relance","Bonjour "&amp;D42&amp;", sauf erreur de notre part, la commande "&amp;A42&amp;" du "&amp;TEXT(B42,"dd/mm/yyyy")&amp;" ("&amp;E42&amp;") présente un reste à payer de "&amp;SUBSTITUTE(TEXT(O42,"#,##0"),","," ")&amp;" FCFA, échu depuis le "&amp;TEXT(M42,"dd/mm/yyyy")&amp;". Pouvez-vous nous indiquer la date de règlement prévue ? Si le paiement est déjà parti, merci de nous envoyer la preuve et ne tenez pas compte de ce message. "&amp;Paramètres!$B$11&amp;", "&amp;Paramètres!$B$12,IF(K42="En retard","Bonjour "&amp;D42&amp;", votre commande "&amp;A42&amp;" ("&amp;E42&amp;", "&amp;F42&amp;" pièces) prévue le "&amp;TEXT(I42,"dd/mm/yyyy")&amp;" a pris du retard. Nous vous confirmons la nouvelle date de livraison dans la journée. Toutes nos excuses pour ce contretemps. "&amp;Paramètres!$B$11&amp;", "&amp;Paramètres!$B$12,""))))</f>
        <v/>
      </c>
      <c r="T42" s="21" t="n"/>
      <c r="U42" s="26" t="n"/>
      <c r="V42" s="21" t="n"/>
    </row>
    <row r="43">
      <c r="A43" s="21" t="n"/>
      <c r="B43" s="26" t="n"/>
      <c r="C43" s="21" t="n"/>
      <c r="D43" s="25">
        <f>IF(C43="","",IFERROR(VLOOKUP(C43,Revendeurs!$A:$B,2,FALSE),"Code inconnu"))</f>
        <v/>
      </c>
      <c r="E43" s="21" t="n"/>
      <c r="F43" s="21" t="n"/>
      <c r="G43" s="22" t="n"/>
      <c r="H43" s="23">
        <f>IF(OR(F43="",G43=""),"",F43*G43)</f>
        <v/>
      </c>
      <c r="I43" s="26" t="n"/>
      <c r="J43" s="26" t="n"/>
      <c r="K43" s="25">
        <f>IF(B43="","",IF(J43&lt;&gt;"","Livrée",IF(I43="","À planifier",IF(Paramètres!$B$4&gt;I43+Paramètres!$B$8,"En retard","En cours"))))</f>
        <v/>
      </c>
      <c r="L43" s="25">
        <f>IF(K43="En retard",Paramètres!$B$4-I43,"")</f>
        <v/>
      </c>
      <c r="M43" s="27">
        <f>IF(OR(B43="",J43=""),"",J43+IFERROR(IF(VLOOKUP(C43,Revendeurs!$A:$G,7,FALSE)="",Paramètres!$B$9,VLOOKUP(C43,Revendeurs!$A:$G,7,FALSE)),Paramètres!$B$9))</f>
        <v/>
      </c>
      <c r="N43" s="22" t="n"/>
      <c r="O43" s="23">
        <f>IF(H43="","",H43-N43)</f>
        <v/>
      </c>
      <c r="P43" s="25">
        <f>IF(OR(M43="",O43=""),"",IF(O43&lt;=0,0,MAX(0,Paramètres!$B$4-M43)))</f>
        <v/>
      </c>
      <c r="Q43" s="25">
        <f>IF(H43="","",IF(O43&lt;=0,"Payée",IF(M43="","Pas encore livrée",IF(P43=0,"Non échue",IF(P43&gt;=Paramètres!$B$7,"Relance 3 : appel direction",IF(P43&gt;=Paramètres!$B$6,"Relance 2",IF(P43&gt;=Paramètres!$B$5,"Relance 1","Échue, relance à venir")))))))</f>
        <v/>
      </c>
      <c r="R43" s="25">
        <f>IF(B43="","",IF(U43=Paramètres!$B$4,"Relancé aujourd'hui",TRIM(IF(LEFT(Q43,7)="Relance",Q43&amp;" ","")&amp;IF(K43="En retard","· Prévenir du retard de livraison",""))))</f>
        <v/>
      </c>
      <c r="S43" s="28">
        <f>IF(B43="","",IF(LEFT(Q43,9)="Relance 3","Bonjour "&amp;D43&amp;", nous revenons vers vous au sujet de la commande "&amp;A43&amp;" du "&amp;TEXT(B43,"dd/mm/yyyy")&amp;" : "&amp;SUBSTITUTE(TEXT(O43,"#,##0"),","," ")&amp;" FCFA restent à régler depuis le "&amp;TEXT(M43,"dd/mm/yyyy")&amp;". Notre responsable souhaite vous appeler pour convenir ensemble d'une solution. Quel moment vous arrange cette semaine ? "&amp;Paramètres!$B$11&amp;", "&amp;Paramètres!$B$12,IF(LEFT(Q43,7)="Relance","Bonjour "&amp;D43&amp;", sauf erreur de notre part, la commande "&amp;A43&amp;" du "&amp;TEXT(B43,"dd/mm/yyyy")&amp;" ("&amp;E43&amp;") présente un reste à payer de "&amp;SUBSTITUTE(TEXT(O43,"#,##0"),","," ")&amp;" FCFA, échu depuis le "&amp;TEXT(M43,"dd/mm/yyyy")&amp;". Pouvez-vous nous indiquer la date de règlement prévue ? Si le paiement est déjà parti, merci de nous envoyer la preuve et ne tenez pas compte de ce message. "&amp;Paramètres!$B$11&amp;", "&amp;Paramètres!$B$12,IF(K43="En retard","Bonjour "&amp;D43&amp;", votre commande "&amp;A43&amp;" ("&amp;E43&amp;", "&amp;F43&amp;" pièces) prévue le "&amp;TEXT(I43,"dd/mm/yyyy")&amp;" a pris du retard. Nous vous confirmons la nouvelle date de livraison dans la journée. Toutes nos excuses pour ce contretemps. "&amp;Paramètres!$B$11&amp;", "&amp;Paramètres!$B$12,""))))</f>
        <v/>
      </c>
      <c r="T43" s="21" t="n"/>
      <c r="U43" s="26" t="n"/>
      <c r="V43" s="21" t="n"/>
    </row>
    <row r="44">
      <c r="A44" s="21" t="n"/>
      <c r="B44" s="26" t="n"/>
      <c r="C44" s="21" t="n"/>
      <c r="D44" s="25">
        <f>IF(C44="","",IFERROR(VLOOKUP(C44,Revendeurs!$A:$B,2,FALSE),"Code inconnu"))</f>
        <v/>
      </c>
      <c r="E44" s="21" t="n"/>
      <c r="F44" s="21" t="n"/>
      <c r="G44" s="22" t="n"/>
      <c r="H44" s="23">
        <f>IF(OR(F44="",G44=""),"",F44*G44)</f>
        <v/>
      </c>
      <c r="I44" s="26" t="n"/>
      <c r="J44" s="26" t="n"/>
      <c r="K44" s="25">
        <f>IF(B44="","",IF(J44&lt;&gt;"","Livrée",IF(I44="","À planifier",IF(Paramètres!$B$4&gt;I44+Paramètres!$B$8,"En retard","En cours"))))</f>
        <v/>
      </c>
      <c r="L44" s="25">
        <f>IF(K44="En retard",Paramètres!$B$4-I44,"")</f>
        <v/>
      </c>
      <c r="M44" s="27">
        <f>IF(OR(B44="",J44=""),"",J44+IFERROR(IF(VLOOKUP(C44,Revendeurs!$A:$G,7,FALSE)="",Paramètres!$B$9,VLOOKUP(C44,Revendeurs!$A:$G,7,FALSE)),Paramètres!$B$9))</f>
        <v/>
      </c>
      <c r="N44" s="22" t="n"/>
      <c r="O44" s="23">
        <f>IF(H44="","",H44-N44)</f>
        <v/>
      </c>
      <c r="P44" s="25">
        <f>IF(OR(M44="",O44=""),"",IF(O44&lt;=0,0,MAX(0,Paramètres!$B$4-M44)))</f>
        <v/>
      </c>
      <c r="Q44" s="25">
        <f>IF(H44="","",IF(O44&lt;=0,"Payée",IF(M44="","Pas encore livrée",IF(P44=0,"Non échue",IF(P44&gt;=Paramètres!$B$7,"Relance 3 : appel direction",IF(P44&gt;=Paramètres!$B$6,"Relance 2",IF(P44&gt;=Paramètres!$B$5,"Relance 1","Échue, relance à venir")))))))</f>
        <v/>
      </c>
      <c r="R44" s="25">
        <f>IF(B44="","",IF(U44=Paramètres!$B$4,"Relancé aujourd'hui",TRIM(IF(LEFT(Q44,7)="Relance",Q44&amp;" ","")&amp;IF(K44="En retard","· Prévenir du retard de livraison",""))))</f>
        <v/>
      </c>
      <c r="S44" s="28">
        <f>IF(B44="","",IF(LEFT(Q44,9)="Relance 3","Bonjour "&amp;D44&amp;", nous revenons vers vous au sujet de la commande "&amp;A44&amp;" du "&amp;TEXT(B44,"dd/mm/yyyy")&amp;" : "&amp;SUBSTITUTE(TEXT(O44,"#,##0"),","," ")&amp;" FCFA restent à régler depuis le "&amp;TEXT(M44,"dd/mm/yyyy")&amp;". Notre responsable souhaite vous appeler pour convenir ensemble d'une solution. Quel moment vous arrange cette semaine ? "&amp;Paramètres!$B$11&amp;", "&amp;Paramètres!$B$12,IF(LEFT(Q44,7)="Relance","Bonjour "&amp;D44&amp;", sauf erreur de notre part, la commande "&amp;A44&amp;" du "&amp;TEXT(B44,"dd/mm/yyyy")&amp;" ("&amp;E44&amp;") présente un reste à payer de "&amp;SUBSTITUTE(TEXT(O44,"#,##0"),","," ")&amp;" FCFA, échu depuis le "&amp;TEXT(M44,"dd/mm/yyyy")&amp;". Pouvez-vous nous indiquer la date de règlement prévue ? Si le paiement est déjà parti, merci de nous envoyer la preuve et ne tenez pas compte de ce message. "&amp;Paramètres!$B$11&amp;", "&amp;Paramètres!$B$12,IF(K44="En retard","Bonjour "&amp;D44&amp;", votre commande "&amp;A44&amp;" ("&amp;E44&amp;", "&amp;F44&amp;" pièces) prévue le "&amp;TEXT(I44,"dd/mm/yyyy")&amp;" a pris du retard. Nous vous confirmons la nouvelle date de livraison dans la journée. Toutes nos excuses pour ce contretemps. "&amp;Paramètres!$B$11&amp;", "&amp;Paramètres!$B$12,""))))</f>
        <v/>
      </c>
      <c r="T44" s="21" t="n"/>
      <c r="U44" s="26" t="n"/>
      <c r="V44" s="21" t="n"/>
    </row>
    <row r="45">
      <c r="A45" s="21" t="n"/>
      <c r="B45" s="26" t="n"/>
      <c r="C45" s="21" t="n"/>
      <c r="D45" s="25">
        <f>IF(C45="","",IFERROR(VLOOKUP(C45,Revendeurs!$A:$B,2,FALSE),"Code inconnu"))</f>
        <v/>
      </c>
      <c r="E45" s="21" t="n"/>
      <c r="F45" s="21" t="n"/>
      <c r="G45" s="22" t="n"/>
      <c r="H45" s="23">
        <f>IF(OR(F45="",G45=""),"",F45*G45)</f>
        <v/>
      </c>
      <c r="I45" s="26" t="n"/>
      <c r="J45" s="26" t="n"/>
      <c r="K45" s="25">
        <f>IF(B45="","",IF(J45&lt;&gt;"","Livrée",IF(I45="","À planifier",IF(Paramètres!$B$4&gt;I45+Paramètres!$B$8,"En retard","En cours"))))</f>
        <v/>
      </c>
      <c r="L45" s="25">
        <f>IF(K45="En retard",Paramètres!$B$4-I45,"")</f>
        <v/>
      </c>
      <c r="M45" s="27">
        <f>IF(OR(B45="",J45=""),"",J45+IFERROR(IF(VLOOKUP(C45,Revendeurs!$A:$G,7,FALSE)="",Paramètres!$B$9,VLOOKUP(C45,Revendeurs!$A:$G,7,FALSE)),Paramètres!$B$9))</f>
        <v/>
      </c>
      <c r="N45" s="22" t="n"/>
      <c r="O45" s="23">
        <f>IF(H45="","",H45-N45)</f>
        <v/>
      </c>
      <c r="P45" s="25">
        <f>IF(OR(M45="",O45=""),"",IF(O45&lt;=0,0,MAX(0,Paramètres!$B$4-M45)))</f>
        <v/>
      </c>
      <c r="Q45" s="25">
        <f>IF(H45="","",IF(O45&lt;=0,"Payée",IF(M45="","Pas encore livrée",IF(P45=0,"Non échue",IF(P45&gt;=Paramètres!$B$7,"Relance 3 : appel direction",IF(P45&gt;=Paramètres!$B$6,"Relance 2",IF(P45&gt;=Paramètres!$B$5,"Relance 1","Échue, relance à venir")))))))</f>
        <v/>
      </c>
      <c r="R45" s="25">
        <f>IF(B45="","",IF(U45=Paramètres!$B$4,"Relancé aujourd'hui",TRIM(IF(LEFT(Q45,7)="Relance",Q45&amp;" ","")&amp;IF(K45="En retard","· Prévenir du retard de livraison",""))))</f>
        <v/>
      </c>
      <c r="S45" s="28">
        <f>IF(B45="","",IF(LEFT(Q45,9)="Relance 3","Bonjour "&amp;D45&amp;", nous revenons vers vous au sujet de la commande "&amp;A45&amp;" du "&amp;TEXT(B45,"dd/mm/yyyy")&amp;" : "&amp;SUBSTITUTE(TEXT(O45,"#,##0"),","," ")&amp;" FCFA restent à régler depuis le "&amp;TEXT(M45,"dd/mm/yyyy")&amp;". Notre responsable souhaite vous appeler pour convenir ensemble d'une solution. Quel moment vous arrange cette semaine ? "&amp;Paramètres!$B$11&amp;", "&amp;Paramètres!$B$12,IF(LEFT(Q45,7)="Relance","Bonjour "&amp;D45&amp;", sauf erreur de notre part, la commande "&amp;A45&amp;" du "&amp;TEXT(B45,"dd/mm/yyyy")&amp;" ("&amp;E45&amp;") présente un reste à payer de "&amp;SUBSTITUTE(TEXT(O45,"#,##0"),","," ")&amp;" FCFA, échu depuis le "&amp;TEXT(M45,"dd/mm/yyyy")&amp;". Pouvez-vous nous indiquer la date de règlement prévue ? Si le paiement est déjà parti, merci de nous envoyer la preuve et ne tenez pas compte de ce message. "&amp;Paramètres!$B$11&amp;", "&amp;Paramètres!$B$12,IF(K45="En retard","Bonjour "&amp;D45&amp;", votre commande "&amp;A45&amp;" ("&amp;E45&amp;", "&amp;F45&amp;" pièces) prévue le "&amp;TEXT(I45,"dd/mm/yyyy")&amp;" a pris du retard. Nous vous confirmons la nouvelle date de livraison dans la journée. Toutes nos excuses pour ce contretemps. "&amp;Paramètres!$B$11&amp;", "&amp;Paramètres!$B$12,""))))</f>
        <v/>
      </c>
      <c r="T45" s="21" t="n"/>
      <c r="U45" s="26" t="n"/>
      <c r="V45" s="21" t="n"/>
    </row>
    <row r="46">
      <c r="A46" s="21" t="n"/>
      <c r="B46" s="26" t="n"/>
      <c r="C46" s="21" t="n"/>
      <c r="D46" s="25">
        <f>IF(C46="","",IFERROR(VLOOKUP(C46,Revendeurs!$A:$B,2,FALSE),"Code inconnu"))</f>
        <v/>
      </c>
      <c r="E46" s="21" t="n"/>
      <c r="F46" s="21" t="n"/>
      <c r="G46" s="22" t="n"/>
      <c r="H46" s="23">
        <f>IF(OR(F46="",G46=""),"",F46*G46)</f>
        <v/>
      </c>
      <c r="I46" s="26" t="n"/>
      <c r="J46" s="26" t="n"/>
      <c r="K46" s="25">
        <f>IF(B46="","",IF(J46&lt;&gt;"","Livrée",IF(I46="","À planifier",IF(Paramètres!$B$4&gt;I46+Paramètres!$B$8,"En retard","En cours"))))</f>
        <v/>
      </c>
      <c r="L46" s="25">
        <f>IF(K46="En retard",Paramètres!$B$4-I46,"")</f>
        <v/>
      </c>
      <c r="M46" s="27">
        <f>IF(OR(B46="",J46=""),"",J46+IFERROR(IF(VLOOKUP(C46,Revendeurs!$A:$G,7,FALSE)="",Paramètres!$B$9,VLOOKUP(C46,Revendeurs!$A:$G,7,FALSE)),Paramètres!$B$9))</f>
        <v/>
      </c>
      <c r="N46" s="22" t="n"/>
      <c r="O46" s="23">
        <f>IF(H46="","",H46-N46)</f>
        <v/>
      </c>
      <c r="P46" s="25">
        <f>IF(OR(M46="",O46=""),"",IF(O46&lt;=0,0,MAX(0,Paramètres!$B$4-M46)))</f>
        <v/>
      </c>
      <c r="Q46" s="25">
        <f>IF(H46="","",IF(O46&lt;=0,"Payée",IF(M46="","Pas encore livrée",IF(P46=0,"Non échue",IF(P46&gt;=Paramètres!$B$7,"Relance 3 : appel direction",IF(P46&gt;=Paramètres!$B$6,"Relance 2",IF(P46&gt;=Paramètres!$B$5,"Relance 1","Échue, relance à venir")))))))</f>
        <v/>
      </c>
      <c r="R46" s="25">
        <f>IF(B46="","",IF(U46=Paramètres!$B$4,"Relancé aujourd'hui",TRIM(IF(LEFT(Q46,7)="Relance",Q46&amp;" ","")&amp;IF(K46="En retard","· Prévenir du retard de livraison",""))))</f>
        <v/>
      </c>
      <c r="S46" s="28">
        <f>IF(B46="","",IF(LEFT(Q46,9)="Relance 3","Bonjour "&amp;D46&amp;", nous revenons vers vous au sujet de la commande "&amp;A46&amp;" du "&amp;TEXT(B46,"dd/mm/yyyy")&amp;" : "&amp;SUBSTITUTE(TEXT(O46,"#,##0"),","," ")&amp;" FCFA restent à régler depuis le "&amp;TEXT(M46,"dd/mm/yyyy")&amp;". Notre responsable souhaite vous appeler pour convenir ensemble d'une solution. Quel moment vous arrange cette semaine ? "&amp;Paramètres!$B$11&amp;", "&amp;Paramètres!$B$12,IF(LEFT(Q46,7)="Relance","Bonjour "&amp;D46&amp;", sauf erreur de notre part, la commande "&amp;A46&amp;" du "&amp;TEXT(B46,"dd/mm/yyyy")&amp;" ("&amp;E46&amp;") présente un reste à payer de "&amp;SUBSTITUTE(TEXT(O46,"#,##0"),","," ")&amp;" FCFA, échu depuis le "&amp;TEXT(M46,"dd/mm/yyyy")&amp;". Pouvez-vous nous indiquer la date de règlement prévue ? Si le paiement est déjà parti, merci de nous envoyer la preuve et ne tenez pas compte de ce message. "&amp;Paramètres!$B$11&amp;", "&amp;Paramètres!$B$12,IF(K46="En retard","Bonjour "&amp;D46&amp;", votre commande "&amp;A46&amp;" ("&amp;E46&amp;", "&amp;F46&amp;" pièces) prévue le "&amp;TEXT(I46,"dd/mm/yyyy")&amp;" a pris du retard. Nous vous confirmons la nouvelle date de livraison dans la journée. Toutes nos excuses pour ce contretemps. "&amp;Paramètres!$B$11&amp;", "&amp;Paramètres!$B$12,""))))</f>
        <v/>
      </c>
      <c r="T46" s="21" t="n"/>
      <c r="U46" s="26" t="n"/>
      <c r="V46" s="21" t="n"/>
    </row>
    <row r="47">
      <c r="A47" s="21" t="n"/>
      <c r="B47" s="26" t="n"/>
      <c r="C47" s="21" t="n"/>
      <c r="D47" s="25">
        <f>IF(C47="","",IFERROR(VLOOKUP(C47,Revendeurs!$A:$B,2,FALSE),"Code inconnu"))</f>
        <v/>
      </c>
      <c r="E47" s="21" t="n"/>
      <c r="F47" s="21" t="n"/>
      <c r="G47" s="22" t="n"/>
      <c r="H47" s="23">
        <f>IF(OR(F47="",G47=""),"",F47*G47)</f>
        <v/>
      </c>
      <c r="I47" s="26" t="n"/>
      <c r="J47" s="26" t="n"/>
      <c r="K47" s="25">
        <f>IF(B47="","",IF(J47&lt;&gt;"","Livrée",IF(I47="","À planifier",IF(Paramètres!$B$4&gt;I47+Paramètres!$B$8,"En retard","En cours"))))</f>
        <v/>
      </c>
      <c r="L47" s="25">
        <f>IF(K47="En retard",Paramètres!$B$4-I47,"")</f>
        <v/>
      </c>
      <c r="M47" s="27">
        <f>IF(OR(B47="",J47=""),"",J47+IFERROR(IF(VLOOKUP(C47,Revendeurs!$A:$G,7,FALSE)="",Paramètres!$B$9,VLOOKUP(C47,Revendeurs!$A:$G,7,FALSE)),Paramètres!$B$9))</f>
        <v/>
      </c>
      <c r="N47" s="22" t="n"/>
      <c r="O47" s="23">
        <f>IF(H47="","",H47-N47)</f>
        <v/>
      </c>
      <c r="P47" s="25">
        <f>IF(OR(M47="",O47=""),"",IF(O47&lt;=0,0,MAX(0,Paramètres!$B$4-M47)))</f>
        <v/>
      </c>
      <c r="Q47" s="25">
        <f>IF(H47="","",IF(O47&lt;=0,"Payée",IF(M47="","Pas encore livrée",IF(P47=0,"Non échue",IF(P47&gt;=Paramètres!$B$7,"Relance 3 : appel direction",IF(P47&gt;=Paramètres!$B$6,"Relance 2",IF(P47&gt;=Paramètres!$B$5,"Relance 1","Échue, relance à venir")))))))</f>
        <v/>
      </c>
      <c r="R47" s="25">
        <f>IF(B47="","",IF(U47=Paramètres!$B$4,"Relancé aujourd'hui",TRIM(IF(LEFT(Q47,7)="Relance",Q47&amp;" ","")&amp;IF(K47="En retard","· Prévenir du retard de livraison",""))))</f>
        <v/>
      </c>
      <c r="S47" s="28">
        <f>IF(B47="","",IF(LEFT(Q47,9)="Relance 3","Bonjour "&amp;D47&amp;", nous revenons vers vous au sujet de la commande "&amp;A47&amp;" du "&amp;TEXT(B47,"dd/mm/yyyy")&amp;" : "&amp;SUBSTITUTE(TEXT(O47,"#,##0"),","," ")&amp;" FCFA restent à régler depuis le "&amp;TEXT(M47,"dd/mm/yyyy")&amp;". Notre responsable souhaite vous appeler pour convenir ensemble d'une solution. Quel moment vous arrange cette semaine ? "&amp;Paramètres!$B$11&amp;", "&amp;Paramètres!$B$12,IF(LEFT(Q47,7)="Relance","Bonjour "&amp;D47&amp;", sauf erreur de notre part, la commande "&amp;A47&amp;" du "&amp;TEXT(B47,"dd/mm/yyyy")&amp;" ("&amp;E47&amp;") présente un reste à payer de "&amp;SUBSTITUTE(TEXT(O47,"#,##0"),","," ")&amp;" FCFA, échu depuis le "&amp;TEXT(M47,"dd/mm/yyyy")&amp;". Pouvez-vous nous indiquer la date de règlement prévue ? Si le paiement est déjà parti, merci de nous envoyer la preuve et ne tenez pas compte de ce message. "&amp;Paramètres!$B$11&amp;", "&amp;Paramètres!$B$12,IF(K47="En retard","Bonjour "&amp;D47&amp;", votre commande "&amp;A47&amp;" ("&amp;E47&amp;", "&amp;F47&amp;" pièces) prévue le "&amp;TEXT(I47,"dd/mm/yyyy")&amp;" a pris du retard. Nous vous confirmons la nouvelle date de livraison dans la journée. Toutes nos excuses pour ce contretemps. "&amp;Paramètres!$B$11&amp;", "&amp;Paramètres!$B$12,""))))</f>
        <v/>
      </c>
      <c r="T47" s="21" t="n"/>
      <c r="U47" s="26" t="n"/>
      <c r="V47" s="21" t="n"/>
    </row>
    <row r="48">
      <c r="A48" s="21" t="n"/>
      <c r="B48" s="26" t="n"/>
      <c r="C48" s="21" t="n"/>
      <c r="D48" s="25">
        <f>IF(C48="","",IFERROR(VLOOKUP(C48,Revendeurs!$A:$B,2,FALSE),"Code inconnu"))</f>
        <v/>
      </c>
      <c r="E48" s="21" t="n"/>
      <c r="F48" s="21" t="n"/>
      <c r="G48" s="22" t="n"/>
      <c r="H48" s="23">
        <f>IF(OR(F48="",G48=""),"",F48*G48)</f>
        <v/>
      </c>
      <c r="I48" s="26" t="n"/>
      <c r="J48" s="26" t="n"/>
      <c r="K48" s="25">
        <f>IF(B48="","",IF(J48&lt;&gt;"","Livrée",IF(I48="","À planifier",IF(Paramètres!$B$4&gt;I48+Paramètres!$B$8,"En retard","En cours"))))</f>
        <v/>
      </c>
      <c r="L48" s="25">
        <f>IF(K48="En retard",Paramètres!$B$4-I48,"")</f>
        <v/>
      </c>
      <c r="M48" s="27">
        <f>IF(OR(B48="",J48=""),"",J48+IFERROR(IF(VLOOKUP(C48,Revendeurs!$A:$G,7,FALSE)="",Paramètres!$B$9,VLOOKUP(C48,Revendeurs!$A:$G,7,FALSE)),Paramètres!$B$9))</f>
        <v/>
      </c>
      <c r="N48" s="22" t="n"/>
      <c r="O48" s="23">
        <f>IF(H48="","",H48-N48)</f>
        <v/>
      </c>
      <c r="P48" s="25">
        <f>IF(OR(M48="",O48=""),"",IF(O48&lt;=0,0,MAX(0,Paramètres!$B$4-M48)))</f>
        <v/>
      </c>
      <c r="Q48" s="25">
        <f>IF(H48="","",IF(O48&lt;=0,"Payée",IF(M48="","Pas encore livrée",IF(P48=0,"Non échue",IF(P48&gt;=Paramètres!$B$7,"Relance 3 : appel direction",IF(P48&gt;=Paramètres!$B$6,"Relance 2",IF(P48&gt;=Paramètres!$B$5,"Relance 1","Échue, relance à venir")))))))</f>
        <v/>
      </c>
      <c r="R48" s="25">
        <f>IF(B48="","",IF(U48=Paramètres!$B$4,"Relancé aujourd'hui",TRIM(IF(LEFT(Q48,7)="Relance",Q48&amp;" ","")&amp;IF(K48="En retard","· Prévenir du retard de livraison",""))))</f>
        <v/>
      </c>
      <c r="S48" s="28">
        <f>IF(B48="","",IF(LEFT(Q48,9)="Relance 3","Bonjour "&amp;D48&amp;", nous revenons vers vous au sujet de la commande "&amp;A48&amp;" du "&amp;TEXT(B48,"dd/mm/yyyy")&amp;" : "&amp;SUBSTITUTE(TEXT(O48,"#,##0"),","," ")&amp;" FCFA restent à régler depuis le "&amp;TEXT(M48,"dd/mm/yyyy")&amp;". Notre responsable souhaite vous appeler pour convenir ensemble d'une solution. Quel moment vous arrange cette semaine ? "&amp;Paramètres!$B$11&amp;", "&amp;Paramètres!$B$12,IF(LEFT(Q48,7)="Relance","Bonjour "&amp;D48&amp;", sauf erreur de notre part, la commande "&amp;A48&amp;" du "&amp;TEXT(B48,"dd/mm/yyyy")&amp;" ("&amp;E48&amp;") présente un reste à payer de "&amp;SUBSTITUTE(TEXT(O48,"#,##0"),","," ")&amp;" FCFA, échu depuis le "&amp;TEXT(M48,"dd/mm/yyyy")&amp;". Pouvez-vous nous indiquer la date de règlement prévue ? Si le paiement est déjà parti, merci de nous envoyer la preuve et ne tenez pas compte de ce message. "&amp;Paramètres!$B$11&amp;", "&amp;Paramètres!$B$12,IF(K48="En retard","Bonjour "&amp;D48&amp;", votre commande "&amp;A48&amp;" ("&amp;E48&amp;", "&amp;F48&amp;" pièces) prévue le "&amp;TEXT(I48,"dd/mm/yyyy")&amp;" a pris du retard. Nous vous confirmons la nouvelle date de livraison dans la journée. Toutes nos excuses pour ce contretemps. "&amp;Paramètres!$B$11&amp;", "&amp;Paramètres!$B$12,""))))</f>
        <v/>
      </c>
      <c r="T48" s="21" t="n"/>
      <c r="U48" s="26" t="n"/>
      <c r="V48" s="21" t="n"/>
    </row>
    <row r="49">
      <c r="A49" s="21" t="n"/>
      <c r="B49" s="26" t="n"/>
      <c r="C49" s="21" t="n"/>
      <c r="D49" s="25">
        <f>IF(C49="","",IFERROR(VLOOKUP(C49,Revendeurs!$A:$B,2,FALSE),"Code inconnu"))</f>
        <v/>
      </c>
      <c r="E49" s="21" t="n"/>
      <c r="F49" s="21" t="n"/>
      <c r="G49" s="22" t="n"/>
      <c r="H49" s="23">
        <f>IF(OR(F49="",G49=""),"",F49*G49)</f>
        <v/>
      </c>
      <c r="I49" s="26" t="n"/>
      <c r="J49" s="26" t="n"/>
      <c r="K49" s="25">
        <f>IF(B49="","",IF(J49&lt;&gt;"","Livrée",IF(I49="","À planifier",IF(Paramètres!$B$4&gt;I49+Paramètres!$B$8,"En retard","En cours"))))</f>
        <v/>
      </c>
      <c r="L49" s="25">
        <f>IF(K49="En retard",Paramètres!$B$4-I49,"")</f>
        <v/>
      </c>
      <c r="M49" s="27">
        <f>IF(OR(B49="",J49=""),"",J49+IFERROR(IF(VLOOKUP(C49,Revendeurs!$A:$G,7,FALSE)="",Paramètres!$B$9,VLOOKUP(C49,Revendeurs!$A:$G,7,FALSE)),Paramètres!$B$9))</f>
        <v/>
      </c>
      <c r="N49" s="22" t="n"/>
      <c r="O49" s="23">
        <f>IF(H49="","",H49-N49)</f>
        <v/>
      </c>
      <c r="P49" s="25">
        <f>IF(OR(M49="",O49=""),"",IF(O49&lt;=0,0,MAX(0,Paramètres!$B$4-M49)))</f>
        <v/>
      </c>
      <c r="Q49" s="25">
        <f>IF(H49="","",IF(O49&lt;=0,"Payée",IF(M49="","Pas encore livrée",IF(P49=0,"Non échue",IF(P49&gt;=Paramètres!$B$7,"Relance 3 : appel direction",IF(P49&gt;=Paramètres!$B$6,"Relance 2",IF(P49&gt;=Paramètres!$B$5,"Relance 1","Échue, relance à venir")))))))</f>
        <v/>
      </c>
      <c r="R49" s="25">
        <f>IF(B49="","",IF(U49=Paramètres!$B$4,"Relancé aujourd'hui",TRIM(IF(LEFT(Q49,7)="Relance",Q49&amp;" ","")&amp;IF(K49="En retard","· Prévenir du retard de livraison",""))))</f>
        <v/>
      </c>
      <c r="S49" s="28">
        <f>IF(B49="","",IF(LEFT(Q49,9)="Relance 3","Bonjour "&amp;D49&amp;", nous revenons vers vous au sujet de la commande "&amp;A49&amp;" du "&amp;TEXT(B49,"dd/mm/yyyy")&amp;" : "&amp;SUBSTITUTE(TEXT(O49,"#,##0"),","," ")&amp;" FCFA restent à régler depuis le "&amp;TEXT(M49,"dd/mm/yyyy")&amp;". Notre responsable souhaite vous appeler pour convenir ensemble d'une solution. Quel moment vous arrange cette semaine ? "&amp;Paramètres!$B$11&amp;", "&amp;Paramètres!$B$12,IF(LEFT(Q49,7)="Relance","Bonjour "&amp;D49&amp;", sauf erreur de notre part, la commande "&amp;A49&amp;" du "&amp;TEXT(B49,"dd/mm/yyyy")&amp;" ("&amp;E49&amp;") présente un reste à payer de "&amp;SUBSTITUTE(TEXT(O49,"#,##0"),","," ")&amp;" FCFA, échu depuis le "&amp;TEXT(M49,"dd/mm/yyyy")&amp;". Pouvez-vous nous indiquer la date de règlement prévue ? Si le paiement est déjà parti, merci de nous envoyer la preuve et ne tenez pas compte de ce message. "&amp;Paramètres!$B$11&amp;", "&amp;Paramètres!$B$12,IF(K49="En retard","Bonjour "&amp;D49&amp;", votre commande "&amp;A49&amp;" ("&amp;E49&amp;", "&amp;F49&amp;" pièces) prévue le "&amp;TEXT(I49,"dd/mm/yyyy")&amp;" a pris du retard. Nous vous confirmons la nouvelle date de livraison dans la journée. Toutes nos excuses pour ce contretemps. "&amp;Paramètres!$B$11&amp;", "&amp;Paramètres!$B$12,""))))</f>
        <v/>
      </c>
      <c r="T49" s="21" t="n"/>
      <c r="U49" s="26" t="n"/>
      <c r="V49" s="21" t="n"/>
    </row>
    <row r="50">
      <c r="A50" s="21" t="n"/>
      <c r="B50" s="26" t="n"/>
      <c r="C50" s="21" t="n"/>
      <c r="D50" s="25">
        <f>IF(C50="","",IFERROR(VLOOKUP(C50,Revendeurs!$A:$B,2,FALSE),"Code inconnu"))</f>
        <v/>
      </c>
      <c r="E50" s="21" t="n"/>
      <c r="F50" s="21" t="n"/>
      <c r="G50" s="22" t="n"/>
      <c r="H50" s="23">
        <f>IF(OR(F50="",G50=""),"",F50*G50)</f>
        <v/>
      </c>
      <c r="I50" s="26" t="n"/>
      <c r="J50" s="26" t="n"/>
      <c r="K50" s="25">
        <f>IF(B50="","",IF(J50&lt;&gt;"","Livrée",IF(I50="","À planifier",IF(Paramètres!$B$4&gt;I50+Paramètres!$B$8,"En retard","En cours"))))</f>
        <v/>
      </c>
      <c r="L50" s="25">
        <f>IF(K50="En retard",Paramètres!$B$4-I50,"")</f>
        <v/>
      </c>
      <c r="M50" s="27">
        <f>IF(OR(B50="",J50=""),"",J50+IFERROR(IF(VLOOKUP(C50,Revendeurs!$A:$G,7,FALSE)="",Paramètres!$B$9,VLOOKUP(C50,Revendeurs!$A:$G,7,FALSE)),Paramètres!$B$9))</f>
        <v/>
      </c>
      <c r="N50" s="22" t="n"/>
      <c r="O50" s="23">
        <f>IF(H50="","",H50-N50)</f>
        <v/>
      </c>
      <c r="P50" s="25">
        <f>IF(OR(M50="",O50=""),"",IF(O50&lt;=0,0,MAX(0,Paramètres!$B$4-M50)))</f>
        <v/>
      </c>
      <c r="Q50" s="25">
        <f>IF(H50="","",IF(O50&lt;=0,"Payée",IF(M50="","Pas encore livrée",IF(P50=0,"Non échue",IF(P50&gt;=Paramètres!$B$7,"Relance 3 : appel direction",IF(P50&gt;=Paramètres!$B$6,"Relance 2",IF(P50&gt;=Paramètres!$B$5,"Relance 1","Échue, relance à venir")))))))</f>
        <v/>
      </c>
      <c r="R50" s="25">
        <f>IF(B50="","",IF(U50=Paramètres!$B$4,"Relancé aujourd'hui",TRIM(IF(LEFT(Q50,7)="Relance",Q50&amp;" ","")&amp;IF(K50="En retard","· Prévenir du retard de livraison",""))))</f>
        <v/>
      </c>
      <c r="S50" s="28">
        <f>IF(B50="","",IF(LEFT(Q50,9)="Relance 3","Bonjour "&amp;D50&amp;", nous revenons vers vous au sujet de la commande "&amp;A50&amp;" du "&amp;TEXT(B50,"dd/mm/yyyy")&amp;" : "&amp;SUBSTITUTE(TEXT(O50,"#,##0"),","," ")&amp;" FCFA restent à régler depuis le "&amp;TEXT(M50,"dd/mm/yyyy")&amp;". Notre responsable souhaite vous appeler pour convenir ensemble d'une solution. Quel moment vous arrange cette semaine ? "&amp;Paramètres!$B$11&amp;", "&amp;Paramètres!$B$12,IF(LEFT(Q50,7)="Relance","Bonjour "&amp;D50&amp;", sauf erreur de notre part, la commande "&amp;A50&amp;" du "&amp;TEXT(B50,"dd/mm/yyyy")&amp;" ("&amp;E50&amp;") présente un reste à payer de "&amp;SUBSTITUTE(TEXT(O50,"#,##0"),","," ")&amp;" FCFA, échu depuis le "&amp;TEXT(M50,"dd/mm/yyyy")&amp;". Pouvez-vous nous indiquer la date de règlement prévue ? Si le paiement est déjà parti, merci de nous envoyer la preuve et ne tenez pas compte de ce message. "&amp;Paramètres!$B$11&amp;", "&amp;Paramètres!$B$12,IF(K50="En retard","Bonjour "&amp;D50&amp;", votre commande "&amp;A50&amp;" ("&amp;E50&amp;", "&amp;F50&amp;" pièces) prévue le "&amp;TEXT(I50,"dd/mm/yyyy")&amp;" a pris du retard. Nous vous confirmons la nouvelle date de livraison dans la journée. Toutes nos excuses pour ce contretemps. "&amp;Paramètres!$B$11&amp;", "&amp;Paramètres!$B$12,""))))</f>
        <v/>
      </c>
      <c r="T50" s="21" t="n"/>
      <c r="U50" s="26" t="n"/>
      <c r="V50" s="21" t="n"/>
    </row>
    <row r="51">
      <c r="A51" s="21" t="n"/>
      <c r="B51" s="26" t="n"/>
      <c r="C51" s="21" t="n"/>
      <c r="D51" s="25">
        <f>IF(C51="","",IFERROR(VLOOKUP(C51,Revendeurs!$A:$B,2,FALSE),"Code inconnu"))</f>
        <v/>
      </c>
      <c r="E51" s="21" t="n"/>
      <c r="F51" s="21" t="n"/>
      <c r="G51" s="22" t="n"/>
      <c r="H51" s="23">
        <f>IF(OR(F51="",G51=""),"",F51*G51)</f>
        <v/>
      </c>
      <c r="I51" s="26" t="n"/>
      <c r="J51" s="26" t="n"/>
      <c r="K51" s="25">
        <f>IF(B51="","",IF(J51&lt;&gt;"","Livrée",IF(I51="","À planifier",IF(Paramètres!$B$4&gt;I51+Paramètres!$B$8,"En retard","En cours"))))</f>
        <v/>
      </c>
      <c r="L51" s="25">
        <f>IF(K51="En retard",Paramètres!$B$4-I51,"")</f>
        <v/>
      </c>
      <c r="M51" s="27">
        <f>IF(OR(B51="",J51=""),"",J51+IFERROR(IF(VLOOKUP(C51,Revendeurs!$A:$G,7,FALSE)="",Paramètres!$B$9,VLOOKUP(C51,Revendeurs!$A:$G,7,FALSE)),Paramètres!$B$9))</f>
        <v/>
      </c>
      <c r="N51" s="22" t="n"/>
      <c r="O51" s="23">
        <f>IF(H51="","",H51-N51)</f>
        <v/>
      </c>
      <c r="P51" s="25">
        <f>IF(OR(M51="",O51=""),"",IF(O51&lt;=0,0,MAX(0,Paramètres!$B$4-M51)))</f>
        <v/>
      </c>
      <c r="Q51" s="25">
        <f>IF(H51="","",IF(O51&lt;=0,"Payée",IF(M51="","Pas encore livrée",IF(P51=0,"Non échue",IF(P51&gt;=Paramètres!$B$7,"Relance 3 : appel direction",IF(P51&gt;=Paramètres!$B$6,"Relance 2",IF(P51&gt;=Paramètres!$B$5,"Relance 1","Échue, relance à venir")))))))</f>
        <v/>
      </c>
      <c r="R51" s="25">
        <f>IF(B51="","",IF(U51=Paramètres!$B$4,"Relancé aujourd'hui",TRIM(IF(LEFT(Q51,7)="Relance",Q51&amp;" ","")&amp;IF(K51="En retard","· Prévenir du retard de livraison",""))))</f>
        <v/>
      </c>
      <c r="S51" s="28">
        <f>IF(B51="","",IF(LEFT(Q51,9)="Relance 3","Bonjour "&amp;D51&amp;", nous revenons vers vous au sujet de la commande "&amp;A51&amp;" du "&amp;TEXT(B51,"dd/mm/yyyy")&amp;" : "&amp;SUBSTITUTE(TEXT(O51,"#,##0"),","," ")&amp;" FCFA restent à régler depuis le "&amp;TEXT(M51,"dd/mm/yyyy")&amp;". Notre responsable souhaite vous appeler pour convenir ensemble d'une solution. Quel moment vous arrange cette semaine ? "&amp;Paramètres!$B$11&amp;", "&amp;Paramètres!$B$12,IF(LEFT(Q51,7)="Relance","Bonjour "&amp;D51&amp;", sauf erreur de notre part, la commande "&amp;A51&amp;" du "&amp;TEXT(B51,"dd/mm/yyyy")&amp;" ("&amp;E51&amp;") présente un reste à payer de "&amp;SUBSTITUTE(TEXT(O51,"#,##0"),","," ")&amp;" FCFA, échu depuis le "&amp;TEXT(M51,"dd/mm/yyyy")&amp;". Pouvez-vous nous indiquer la date de règlement prévue ? Si le paiement est déjà parti, merci de nous envoyer la preuve et ne tenez pas compte de ce message. "&amp;Paramètres!$B$11&amp;", "&amp;Paramètres!$B$12,IF(K51="En retard","Bonjour "&amp;D51&amp;", votre commande "&amp;A51&amp;" ("&amp;E51&amp;", "&amp;F51&amp;" pièces) prévue le "&amp;TEXT(I51,"dd/mm/yyyy")&amp;" a pris du retard. Nous vous confirmons la nouvelle date de livraison dans la journée. Toutes nos excuses pour ce contretemps. "&amp;Paramètres!$B$11&amp;", "&amp;Paramètres!$B$12,""))))</f>
        <v/>
      </c>
      <c r="T51" s="21" t="n"/>
      <c r="U51" s="26" t="n"/>
      <c r="V51" s="21" t="n"/>
    </row>
    <row r="52">
      <c r="A52" s="21" t="n"/>
      <c r="B52" s="26" t="n"/>
      <c r="C52" s="21" t="n"/>
      <c r="D52" s="25">
        <f>IF(C52="","",IFERROR(VLOOKUP(C52,Revendeurs!$A:$B,2,FALSE),"Code inconnu"))</f>
        <v/>
      </c>
      <c r="E52" s="21" t="n"/>
      <c r="F52" s="21" t="n"/>
      <c r="G52" s="22" t="n"/>
      <c r="H52" s="23">
        <f>IF(OR(F52="",G52=""),"",F52*G52)</f>
        <v/>
      </c>
      <c r="I52" s="26" t="n"/>
      <c r="J52" s="26" t="n"/>
      <c r="K52" s="25">
        <f>IF(B52="","",IF(J52&lt;&gt;"","Livrée",IF(I52="","À planifier",IF(Paramètres!$B$4&gt;I52+Paramètres!$B$8,"En retard","En cours"))))</f>
        <v/>
      </c>
      <c r="L52" s="25">
        <f>IF(K52="En retard",Paramètres!$B$4-I52,"")</f>
        <v/>
      </c>
      <c r="M52" s="27">
        <f>IF(OR(B52="",J52=""),"",J52+IFERROR(IF(VLOOKUP(C52,Revendeurs!$A:$G,7,FALSE)="",Paramètres!$B$9,VLOOKUP(C52,Revendeurs!$A:$G,7,FALSE)),Paramètres!$B$9))</f>
        <v/>
      </c>
      <c r="N52" s="22" t="n"/>
      <c r="O52" s="23">
        <f>IF(H52="","",H52-N52)</f>
        <v/>
      </c>
      <c r="P52" s="25">
        <f>IF(OR(M52="",O52=""),"",IF(O52&lt;=0,0,MAX(0,Paramètres!$B$4-M52)))</f>
        <v/>
      </c>
      <c r="Q52" s="25">
        <f>IF(H52="","",IF(O52&lt;=0,"Payée",IF(M52="","Pas encore livrée",IF(P52=0,"Non échue",IF(P52&gt;=Paramètres!$B$7,"Relance 3 : appel direction",IF(P52&gt;=Paramètres!$B$6,"Relance 2",IF(P52&gt;=Paramètres!$B$5,"Relance 1","Échue, relance à venir")))))))</f>
        <v/>
      </c>
      <c r="R52" s="25">
        <f>IF(B52="","",IF(U52=Paramètres!$B$4,"Relancé aujourd'hui",TRIM(IF(LEFT(Q52,7)="Relance",Q52&amp;" ","")&amp;IF(K52="En retard","· Prévenir du retard de livraison",""))))</f>
        <v/>
      </c>
      <c r="S52" s="28">
        <f>IF(B52="","",IF(LEFT(Q52,9)="Relance 3","Bonjour "&amp;D52&amp;", nous revenons vers vous au sujet de la commande "&amp;A52&amp;" du "&amp;TEXT(B52,"dd/mm/yyyy")&amp;" : "&amp;SUBSTITUTE(TEXT(O52,"#,##0"),","," ")&amp;" FCFA restent à régler depuis le "&amp;TEXT(M52,"dd/mm/yyyy")&amp;". Notre responsable souhaite vous appeler pour convenir ensemble d'une solution. Quel moment vous arrange cette semaine ? "&amp;Paramètres!$B$11&amp;", "&amp;Paramètres!$B$12,IF(LEFT(Q52,7)="Relance","Bonjour "&amp;D52&amp;", sauf erreur de notre part, la commande "&amp;A52&amp;" du "&amp;TEXT(B52,"dd/mm/yyyy")&amp;" ("&amp;E52&amp;") présente un reste à payer de "&amp;SUBSTITUTE(TEXT(O52,"#,##0"),","," ")&amp;" FCFA, échu depuis le "&amp;TEXT(M52,"dd/mm/yyyy")&amp;". Pouvez-vous nous indiquer la date de règlement prévue ? Si le paiement est déjà parti, merci de nous envoyer la preuve et ne tenez pas compte de ce message. "&amp;Paramètres!$B$11&amp;", "&amp;Paramètres!$B$12,IF(K52="En retard","Bonjour "&amp;D52&amp;", votre commande "&amp;A52&amp;" ("&amp;E52&amp;", "&amp;F52&amp;" pièces) prévue le "&amp;TEXT(I52,"dd/mm/yyyy")&amp;" a pris du retard. Nous vous confirmons la nouvelle date de livraison dans la journée. Toutes nos excuses pour ce contretemps. "&amp;Paramètres!$B$11&amp;", "&amp;Paramètres!$B$12,""))))</f>
        <v/>
      </c>
      <c r="T52" s="21" t="n"/>
      <c r="U52" s="26" t="n"/>
      <c r="V52" s="21" t="n"/>
    </row>
    <row r="53">
      <c r="A53" s="21" t="n"/>
      <c r="B53" s="26" t="n"/>
      <c r="C53" s="21" t="n"/>
      <c r="D53" s="25">
        <f>IF(C53="","",IFERROR(VLOOKUP(C53,Revendeurs!$A:$B,2,FALSE),"Code inconnu"))</f>
        <v/>
      </c>
      <c r="E53" s="21" t="n"/>
      <c r="F53" s="21" t="n"/>
      <c r="G53" s="22" t="n"/>
      <c r="H53" s="23">
        <f>IF(OR(F53="",G53=""),"",F53*G53)</f>
        <v/>
      </c>
      <c r="I53" s="26" t="n"/>
      <c r="J53" s="26" t="n"/>
      <c r="K53" s="25">
        <f>IF(B53="","",IF(J53&lt;&gt;"","Livrée",IF(I53="","À planifier",IF(Paramètres!$B$4&gt;I53+Paramètres!$B$8,"En retard","En cours"))))</f>
        <v/>
      </c>
      <c r="L53" s="25">
        <f>IF(K53="En retard",Paramètres!$B$4-I53,"")</f>
        <v/>
      </c>
      <c r="M53" s="27">
        <f>IF(OR(B53="",J53=""),"",J53+IFERROR(IF(VLOOKUP(C53,Revendeurs!$A:$G,7,FALSE)="",Paramètres!$B$9,VLOOKUP(C53,Revendeurs!$A:$G,7,FALSE)),Paramètres!$B$9))</f>
        <v/>
      </c>
      <c r="N53" s="22" t="n"/>
      <c r="O53" s="23">
        <f>IF(H53="","",H53-N53)</f>
        <v/>
      </c>
      <c r="P53" s="25">
        <f>IF(OR(M53="",O53=""),"",IF(O53&lt;=0,0,MAX(0,Paramètres!$B$4-M53)))</f>
        <v/>
      </c>
      <c r="Q53" s="25">
        <f>IF(H53="","",IF(O53&lt;=0,"Payée",IF(M53="","Pas encore livrée",IF(P53=0,"Non échue",IF(P53&gt;=Paramètres!$B$7,"Relance 3 : appel direction",IF(P53&gt;=Paramètres!$B$6,"Relance 2",IF(P53&gt;=Paramètres!$B$5,"Relance 1","Échue, relance à venir")))))))</f>
        <v/>
      </c>
      <c r="R53" s="25">
        <f>IF(B53="","",IF(U53=Paramètres!$B$4,"Relancé aujourd'hui",TRIM(IF(LEFT(Q53,7)="Relance",Q53&amp;" ","")&amp;IF(K53="En retard","· Prévenir du retard de livraison",""))))</f>
        <v/>
      </c>
      <c r="S53" s="28">
        <f>IF(B53="","",IF(LEFT(Q53,9)="Relance 3","Bonjour "&amp;D53&amp;", nous revenons vers vous au sujet de la commande "&amp;A53&amp;" du "&amp;TEXT(B53,"dd/mm/yyyy")&amp;" : "&amp;SUBSTITUTE(TEXT(O53,"#,##0"),","," ")&amp;" FCFA restent à régler depuis le "&amp;TEXT(M53,"dd/mm/yyyy")&amp;". Notre responsable souhaite vous appeler pour convenir ensemble d'une solution. Quel moment vous arrange cette semaine ? "&amp;Paramètres!$B$11&amp;", "&amp;Paramètres!$B$12,IF(LEFT(Q53,7)="Relance","Bonjour "&amp;D53&amp;", sauf erreur de notre part, la commande "&amp;A53&amp;" du "&amp;TEXT(B53,"dd/mm/yyyy")&amp;" ("&amp;E53&amp;") présente un reste à payer de "&amp;SUBSTITUTE(TEXT(O53,"#,##0"),","," ")&amp;" FCFA, échu depuis le "&amp;TEXT(M53,"dd/mm/yyyy")&amp;". Pouvez-vous nous indiquer la date de règlement prévue ? Si le paiement est déjà parti, merci de nous envoyer la preuve et ne tenez pas compte de ce message. "&amp;Paramètres!$B$11&amp;", "&amp;Paramètres!$B$12,IF(K53="En retard","Bonjour "&amp;D53&amp;", votre commande "&amp;A53&amp;" ("&amp;E53&amp;", "&amp;F53&amp;" pièces) prévue le "&amp;TEXT(I53,"dd/mm/yyyy")&amp;" a pris du retard. Nous vous confirmons la nouvelle date de livraison dans la journée. Toutes nos excuses pour ce contretemps. "&amp;Paramètres!$B$11&amp;", "&amp;Paramètres!$B$12,""))))</f>
        <v/>
      </c>
      <c r="T53" s="21" t="n"/>
      <c r="U53" s="26" t="n"/>
      <c r="V53" s="21" t="n"/>
    </row>
    <row r="54">
      <c r="A54" s="21" t="n"/>
      <c r="B54" s="26" t="n"/>
      <c r="C54" s="21" t="n"/>
      <c r="D54" s="25">
        <f>IF(C54="","",IFERROR(VLOOKUP(C54,Revendeurs!$A:$B,2,FALSE),"Code inconnu"))</f>
        <v/>
      </c>
      <c r="E54" s="21" t="n"/>
      <c r="F54" s="21" t="n"/>
      <c r="G54" s="22" t="n"/>
      <c r="H54" s="23">
        <f>IF(OR(F54="",G54=""),"",F54*G54)</f>
        <v/>
      </c>
      <c r="I54" s="26" t="n"/>
      <c r="J54" s="26" t="n"/>
      <c r="K54" s="25">
        <f>IF(B54="","",IF(J54&lt;&gt;"","Livrée",IF(I54="","À planifier",IF(Paramètres!$B$4&gt;I54+Paramètres!$B$8,"En retard","En cours"))))</f>
        <v/>
      </c>
      <c r="L54" s="25">
        <f>IF(K54="En retard",Paramètres!$B$4-I54,"")</f>
        <v/>
      </c>
      <c r="M54" s="27">
        <f>IF(OR(B54="",J54=""),"",J54+IFERROR(IF(VLOOKUP(C54,Revendeurs!$A:$G,7,FALSE)="",Paramètres!$B$9,VLOOKUP(C54,Revendeurs!$A:$G,7,FALSE)),Paramètres!$B$9))</f>
        <v/>
      </c>
      <c r="N54" s="22" t="n"/>
      <c r="O54" s="23">
        <f>IF(H54="","",H54-N54)</f>
        <v/>
      </c>
      <c r="P54" s="25">
        <f>IF(OR(M54="",O54=""),"",IF(O54&lt;=0,0,MAX(0,Paramètres!$B$4-M54)))</f>
        <v/>
      </c>
      <c r="Q54" s="25">
        <f>IF(H54="","",IF(O54&lt;=0,"Payée",IF(M54="","Pas encore livrée",IF(P54=0,"Non échue",IF(P54&gt;=Paramètres!$B$7,"Relance 3 : appel direction",IF(P54&gt;=Paramètres!$B$6,"Relance 2",IF(P54&gt;=Paramètres!$B$5,"Relance 1","Échue, relance à venir")))))))</f>
        <v/>
      </c>
      <c r="R54" s="25">
        <f>IF(B54="","",IF(U54=Paramètres!$B$4,"Relancé aujourd'hui",TRIM(IF(LEFT(Q54,7)="Relance",Q54&amp;" ","")&amp;IF(K54="En retard","· Prévenir du retard de livraison",""))))</f>
        <v/>
      </c>
      <c r="S54" s="28">
        <f>IF(B54="","",IF(LEFT(Q54,9)="Relance 3","Bonjour "&amp;D54&amp;", nous revenons vers vous au sujet de la commande "&amp;A54&amp;" du "&amp;TEXT(B54,"dd/mm/yyyy")&amp;" : "&amp;SUBSTITUTE(TEXT(O54,"#,##0"),","," ")&amp;" FCFA restent à régler depuis le "&amp;TEXT(M54,"dd/mm/yyyy")&amp;". Notre responsable souhaite vous appeler pour convenir ensemble d'une solution. Quel moment vous arrange cette semaine ? "&amp;Paramètres!$B$11&amp;", "&amp;Paramètres!$B$12,IF(LEFT(Q54,7)="Relance","Bonjour "&amp;D54&amp;", sauf erreur de notre part, la commande "&amp;A54&amp;" du "&amp;TEXT(B54,"dd/mm/yyyy")&amp;" ("&amp;E54&amp;") présente un reste à payer de "&amp;SUBSTITUTE(TEXT(O54,"#,##0"),","," ")&amp;" FCFA, échu depuis le "&amp;TEXT(M54,"dd/mm/yyyy")&amp;". Pouvez-vous nous indiquer la date de règlement prévue ? Si le paiement est déjà parti, merci de nous envoyer la preuve et ne tenez pas compte de ce message. "&amp;Paramètres!$B$11&amp;", "&amp;Paramètres!$B$12,IF(K54="En retard","Bonjour "&amp;D54&amp;", votre commande "&amp;A54&amp;" ("&amp;E54&amp;", "&amp;F54&amp;" pièces) prévue le "&amp;TEXT(I54,"dd/mm/yyyy")&amp;" a pris du retard. Nous vous confirmons la nouvelle date de livraison dans la journée. Toutes nos excuses pour ce contretemps. "&amp;Paramètres!$B$11&amp;", "&amp;Paramètres!$B$12,""))))</f>
        <v/>
      </c>
      <c r="T54" s="21" t="n"/>
      <c r="U54" s="26" t="n"/>
      <c r="V54" s="21" t="n"/>
    </row>
    <row r="55">
      <c r="A55" s="21" t="n"/>
      <c r="B55" s="26" t="n"/>
      <c r="C55" s="21" t="n"/>
      <c r="D55" s="25">
        <f>IF(C55="","",IFERROR(VLOOKUP(C55,Revendeurs!$A:$B,2,FALSE),"Code inconnu"))</f>
        <v/>
      </c>
      <c r="E55" s="21" t="n"/>
      <c r="F55" s="21" t="n"/>
      <c r="G55" s="22" t="n"/>
      <c r="H55" s="23">
        <f>IF(OR(F55="",G55=""),"",F55*G55)</f>
        <v/>
      </c>
      <c r="I55" s="26" t="n"/>
      <c r="J55" s="26" t="n"/>
      <c r="K55" s="25">
        <f>IF(B55="","",IF(J55&lt;&gt;"","Livrée",IF(I55="","À planifier",IF(Paramètres!$B$4&gt;I55+Paramètres!$B$8,"En retard","En cours"))))</f>
        <v/>
      </c>
      <c r="L55" s="25">
        <f>IF(K55="En retard",Paramètres!$B$4-I55,"")</f>
        <v/>
      </c>
      <c r="M55" s="27">
        <f>IF(OR(B55="",J55=""),"",J55+IFERROR(IF(VLOOKUP(C55,Revendeurs!$A:$G,7,FALSE)="",Paramètres!$B$9,VLOOKUP(C55,Revendeurs!$A:$G,7,FALSE)),Paramètres!$B$9))</f>
        <v/>
      </c>
      <c r="N55" s="22" t="n"/>
      <c r="O55" s="23">
        <f>IF(H55="","",H55-N55)</f>
        <v/>
      </c>
      <c r="P55" s="25">
        <f>IF(OR(M55="",O55=""),"",IF(O55&lt;=0,0,MAX(0,Paramètres!$B$4-M55)))</f>
        <v/>
      </c>
      <c r="Q55" s="25">
        <f>IF(H55="","",IF(O55&lt;=0,"Payée",IF(M55="","Pas encore livrée",IF(P55=0,"Non échue",IF(P55&gt;=Paramètres!$B$7,"Relance 3 : appel direction",IF(P55&gt;=Paramètres!$B$6,"Relance 2",IF(P55&gt;=Paramètres!$B$5,"Relance 1","Échue, relance à venir")))))))</f>
        <v/>
      </c>
      <c r="R55" s="25">
        <f>IF(B55="","",IF(U55=Paramètres!$B$4,"Relancé aujourd'hui",TRIM(IF(LEFT(Q55,7)="Relance",Q55&amp;" ","")&amp;IF(K55="En retard","· Prévenir du retard de livraison",""))))</f>
        <v/>
      </c>
      <c r="S55" s="28">
        <f>IF(B55="","",IF(LEFT(Q55,9)="Relance 3","Bonjour "&amp;D55&amp;", nous revenons vers vous au sujet de la commande "&amp;A55&amp;" du "&amp;TEXT(B55,"dd/mm/yyyy")&amp;" : "&amp;SUBSTITUTE(TEXT(O55,"#,##0"),","," ")&amp;" FCFA restent à régler depuis le "&amp;TEXT(M55,"dd/mm/yyyy")&amp;". Notre responsable souhaite vous appeler pour convenir ensemble d'une solution. Quel moment vous arrange cette semaine ? "&amp;Paramètres!$B$11&amp;", "&amp;Paramètres!$B$12,IF(LEFT(Q55,7)="Relance","Bonjour "&amp;D55&amp;", sauf erreur de notre part, la commande "&amp;A55&amp;" du "&amp;TEXT(B55,"dd/mm/yyyy")&amp;" ("&amp;E55&amp;") présente un reste à payer de "&amp;SUBSTITUTE(TEXT(O55,"#,##0"),","," ")&amp;" FCFA, échu depuis le "&amp;TEXT(M55,"dd/mm/yyyy")&amp;". Pouvez-vous nous indiquer la date de règlement prévue ? Si le paiement est déjà parti, merci de nous envoyer la preuve et ne tenez pas compte de ce message. "&amp;Paramètres!$B$11&amp;", "&amp;Paramètres!$B$12,IF(K55="En retard","Bonjour "&amp;D55&amp;", votre commande "&amp;A55&amp;" ("&amp;E55&amp;", "&amp;F55&amp;" pièces) prévue le "&amp;TEXT(I55,"dd/mm/yyyy")&amp;" a pris du retard. Nous vous confirmons la nouvelle date de livraison dans la journée. Toutes nos excuses pour ce contretemps. "&amp;Paramètres!$B$11&amp;", "&amp;Paramètres!$B$12,""))))</f>
        <v/>
      </c>
      <c r="T55" s="21" t="n"/>
      <c r="U55" s="26" t="n"/>
      <c r="V55" s="21" t="n"/>
    </row>
    <row r="56">
      <c r="A56" s="21" t="n"/>
      <c r="B56" s="26" t="n"/>
      <c r="C56" s="21" t="n"/>
      <c r="D56" s="25">
        <f>IF(C56="","",IFERROR(VLOOKUP(C56,Revendeurs!$A:$B,2,FALSE),"Code inconnu"))</f>
        <v/>
      </c>
      <c r="E56" s="21" t="n"/>
      <c r="F56" s="21" t="n"/>
      <c r="G56" s="22" t="n"/>
      <c r="H56" s="23">
        <f>IF(OR(F56="",G56=""),"",F56*G56)</f>
        <v/>
      </c>
      <c r="I56" s="26" t="n"/>
      <c r="J56" s="26" t="n"/>
      <c r="K56" s="25">
        <f>IF(B56="","",IF(J56&lt;&gt;"","Livrée",IF(I56="","À planifier",IF(Paramètres!$B$4&gt;I56+Paramètres!$B$8,"En retard","En cours"))))</f>
        <v/>
      </c>
      <c r="L56" s="25">
        <f>IF(K56="En retard",Paramètres!$B$4-I56,"")</f>
        <v/>
      </c>
      <c r="M56" s="27">
        <f>IF(OR(B56="",J56=""),"",J56+IFERROR(IF(VLOOKUP(C56,Revendeurs!$A:$G,7,FALSE)="",Paramètres!$B$9,VLOOKUP(C56,Revendeurs!$A:$G,7,FALSE)),Paramètres!$B$9))</f>
        <v/>
      </c>
      <c r="N56" s="22" t="n"/>
      <c r="O56" s="23">
        <f>IF(H56="","",H56-N56)</f>
        <v/>
      </c>
      <c r="P56" s="25">
        <f>IF(OR(M56="",O56=""),"",IF(O56&lt;=0,0,MAX(0,Paramètres!$B$4-M56)))</f>
        <v/>
      </c>
      <c r="Q56" s="25">
        <f>IF(H56="","",IF(O56&lt;=0,"Payée",IF(M56="","Pas encore livrée",IF(P56=0,"Non échue",IF(P56&gt;=Paramètres!$B$7,"Relance 3 : appel direction",IF(P56&gt;=Paramètres!$B$6,"Relance 2",IF(P56&gt;=Paramètres!$B$5,"Relance 1","Échue, relance à venir")))))))</f>
        <v/>
      </c>
      <c r="R56" s="25">
        <f>IF(B56="","",IF(U56=Paramètres!$B$4,"Relancé aujourd'hui",TRIM(IF(LEFT(Q56,7)="Relance",Q56&amp;" ","")&amp;IF(K56="En retard","· Prévenir du retard de livraison",""))))</f>
        <v/>
      </c>
      <c r="S56" s="28">
        <f>IF(B56="","",IF(LEFT(Q56,9)="Relance 3","Bonjour "&amp;D56&amp;", nous revenons vers vous au sujet de la commande "&amp;A56&amp;" du "&amp;TEXT(B56,"dd/mm/yyyy")&amp;" : "&amp;SUBSTITUTE(TEXT(O56,"#,##0"),","," ")&amp;" FCFA restent à régler depuis le "&amp;TEXT(M56,"dd/mm/yyyy")&amp;". Notre responsable souhaite vous appeler pour convenir ensemble d'une solution. Quel moment vous arrange cette semaine ? "&amp;Paramètres!$B$11&amp;", "&amp;Paramètres!$B$12,IF(LEFT(Q56,7)="Relance","Bonjour "&amp;D56&amp;", sauf erreur de notre part, la commande "&amp;A56&amp;" du "&amp;TEXT(B56,"dd/mm/yyyy")&amp;" ("&amp;E56&amp;") présente un reste à payer de "&amp;SUBSTITUTE(TEXT(O56,"#,##0"),","," ")&amp;" FCFA, échu depuis le "&amp;TEXT(M56,"dd/mm/yyyy")&amp;". Pouvez-vous nous indiquer la date de règlement prévue ? Si le paiement est déjà parti, merci de nous envoyer la preuve et ne tenez pas compte de ce message. "&amp;Paramètres!$B$11&amp;", "&amp;Paramètres!$B$12,IF(K56="En retard","Bonjour "&amp;D56&amp;", votre commande "&amp;A56&amp;" ("&amp;E56&amp;", "&amp;F56&amp;" pièces) prévue le "&amp;TEXT(I56,"dd/mm/yyyy")&amp;" a pris du retard. Nous vous confirmons la nouvelle date de livraison dans la journée. Toutes nos excuses pour ce contretemps. "&amp;Paramètres!$B$11&amp;", "&amp;Paramètres!$B$12,""))))</f>
        <v/>
      </c>
      <c r="T56" s="21" t="n"/>
      <c r="U56" s="26" t="n"/>
      <c r="V56" s="21" t="n"/>
    </row>
    <row r="57">
      <c r="A57" s="21" t="n"/>
      <c r="B57" s="26" t="n"/>
      <c r="C57" s="21" t="n"/>
      <c r="D57" s="25">
        <f>IF(C57="","",IFERROR(VLOOKUP(C57,Revendeurs!$A:$B,2,FALSE),"Code inconnu"))</f>
        <v/>
      </c>
      <c r="E57" s="21" t="n"/>
      <c r="F57" s="21" t="n"/>
      <c r="G57" s="22" t="n"/>
      <c r="H57" s="23">
        <f>IF(OR(F57="",G57=""),"",F57*G57)</f>
        <v/>
      </c>
      <c r="I57" s="26" t="n"/>
      <c r="J57" s="26" t="n"/>
      <c r="K57" s="25">
        <f>IF(B57="","",IF(J57&lt;&gt;"","Livrée",IF(I57="","À planifier",IF(Paramètres!$B$4&gt;I57+Paramètres!$B$8,"En retard","En cours"))))</f>
        <v/>
      </c>
      <c r="L57" s="25">
        <f>IF(K57="En retard",Paramètres!$B$4-I57,"")</f>
        <v/>
      </c>
      <c r="M57" s="27">
        <f>IF(OR(B57="",J57=""),"",J57+IFERROR(IF(VLOOKUP(C57,Revendeurs!$A:$G,7,FALSE)="",Paramètres!$B$9,VLOOKUP(C57,Revendeurs!$A:$G,7,FALSE)),Paramètres!$B$9))</f>
        <v/>
      </c>
      <c r="N57" s="22" t="n"/>
      <c r="O57" s="23">
        <f>IF(H57="","",H57-N57)</f>
        <v/>
      </c>
      <c r="P57" s="25">
        <f>IF(OR(M57="",O57=""),"",IF(O57&lt;=0,0,MAX(0,Paramètres!$B$4-M57)))</f>
        <v/>
      </c>
      <c r="Q57" s="25">
        <f>IF(H57="","",IF(O57&lt;=0,"Payée",IF(M57="","Pas encore livrée",IF(P57=0,"Non échue",IF(P57&gt;=Paramètres!$B$7,"Relance 3 : appel direction",IF(P57&gt;=Paramètres!$B$6,"Relance 2",IF(P57&gt;=Paramètres!$B$5,"Relance 1","Échue, relance à venir")))))))</f>
        <v/>
      </c>
      <c r="R57" s="25">
        <f>IF(B57="","",IF(U57=Paramètres!$B$4,"Relancé aujourd'hui",TRIM(IF(LEFT(Q57,7)="Relance",Q57&amp;" ","")&amp;IF(K57="En retard","· Prévenir du retard de livraison",""))))</f>
        <v/>
      </c>
      <c r="S57" s="28">
        <f>IF(B57="","",IF(LEFT(Q57,9)="Relance 3","Bonjour "&amp;D57&amp;", nous revenons vers vous au sujet de la commande "&amp;A57&amp;" du "&amp;TEXT(B57,"dd/mm/yyyy")&amp;" : "&amp;SUBSTITUTE(TEXT(O57,"#,##0"),","," ")&amp;" FCFA restent à régler depuis le "&amp;TEXT(M57,"dd/mm/yyyy")&amp;". Notre responsable souhaite vous appeler pour convenir ensemble d'une solution. Quel moment vous arrange cette semaine ? "&amp;Paramètres!$B$11&amp;", "&amp;Paramètres!$B$12,IF(LEFT(Q57,7)="Relance","Bonjour "&amp;D57&amp;", sauf erreur de notre part, la commande "&amp;A57&amp;" du "&amp;TEXT(B57,"dd/mm/yyyy")&amp;" ("&amp;E57&amp;") présente un reste à payer de "&amp;SUBSTITUTE(TEXT(O57,"#,##0"),","," ")&amp;" FCFA, échu depuis le "&amp;TEXT(M57,"dd/mm/yyyy")&amp;". Pouvez-vous nous indiquer la date de règlement prévue ? Si le paiement est déjà parti, merci de nous envoyer la preuve et ne tenez pas compte de ce message. "&amp;Paramètres!$B$11&amp;", "&amp;Paramètres!$B$12,IF(K57="En retard","Bonjour "&amp;D57&amp;", votre commande "&amp;A57&amp;" ("&amp;E57&amp;", "&amp;F57&amp;" pièces) prévue le "&amp;TEXT(I57,"dd/mm/yyyy")&amp;" a pris du retard. Nous vous confirmons la nouvelle date de livraison dans la journée. Toutes nos excuses pour ce contretemps. "&amp;Paramètres!$B$11&amp;", "&amp;Paramètres!$B$12,""))))</f>
        <v/>
      </c>
      <c r="T57" s="21" t="n"/>
      <c r="U57" s="26" t="n"/>
      <c r="V57" s="21" t="n"/>
    </row>
    <row r="58">
      <c r="A58" s="21" t="n"/>
      <c r="B58" s="26" t="n"/>
      <c r="C58" s="21" t="n"/>
      <c r="D58" s="25">
        <f>IF(C58="","",IFERROR(VLOOKUP(C58,Revendeurs!$A:$B,2,FALSE),"Code inconnu"))</f>
        <v/>
      </c>
      <c r="E58" s="21" t="n"/>
      <c r="F58" s="21" t="n"/>
      <c r="G58" s="22" t="n"/>
      <c r="H58" s="23">
        <f>IF(OR(F58="",G58=""),"",F58*G58)</f>
        <v/>
      </c>
      <c r="I58" s="26" t="n"/>
      <c r="J58" s="26" t="n"/>
      <c r="K58" s="25">
        <f>IF(B58="","",IF(J58&lt;&gt;"","Livrée",IF(I58="","À planifier",IF(Paramètres!$B$4&gt;I58+Paramètres!$B$8,"En retard","En cours"))))</f>
        <v/>
      </c>
      <c r="L58" s="25">
        <f>IF(K58="En retard",Paramètres!$B$4-I58,"")</f>
        <v/>
      </c>
      <c r="M58" s="27">
        <f>IF(OR(B58="",J58=""),"",J58+IFERROR(IF(VLOOKUP(C58,Revendeurs!$A:$G,7,FALSE)="",Paramètres!$B$9,VLOOKUP(C58,Revendeurs!$A:$G,7,FALSE)),Paramètres!$B$9))</f>
        <v/>
      </c>
      <c r="N58" s="22" t="n"/>
      <c r="O58" s="23">
        <f>IF(H58="","",H58-N58)</f>
        <v/>
      </c>
      <c r="P58" s="25">
        <f>IF(OR(M58="",O58=""),"",IF(O58&lt;=0,0,MAX(0,Paramètres!$B$4-M58)))</f>
        <v/>
      </c>
      <c r="Q58" s="25">
        <f>IF(H58="","",IF(O58&lt;=0,"Payée",IF(M58="","Pas encore livrée",IF(P58=0,"Non échue",IF(P58&gt;=Paramètres!$B$7,"Relance 3 : appel direction",IF(P58&gt;=Paramètres!$B$6,"Relance 2",IF(P58&gt;=Paramètres!$B$5,"Relance 1","Échue, relance à venir")))))))</f>
        <v/>
      </c>
      <c r="R58" s="25">
        <f>IF(B58="","",IF(U58=Paramètres!$B$4,"Relancé aujourd'hui",TRIM(IF(LEFT(Q58,7)="Relance",Q58&amp;" ","")&amp;IF(K58="En retard","· Prévenir du retard de livraison",""))))</f>
        <v/>
      </c>
      <c r="S58" s="28">
        <f>IF(B58="","",IF(LEFT(Q58,9)="Relance 3","Bonjour "&amp;D58&amp;", nous revenons vers vous au sujet de la commande "&amp;A58&amp;" du "&amp;TEXT(B58,"dd/mm/yyyy")&amp;" : "&amp;SUBSTITUTE(TEXT(O58,"#,##0"),","," ")&amp;" FCFA restent à régler depuis le "&amp;TEXT(M58,"dd/mm/yyyy")&amp;". Notre responsable souhaite vous appeler pour convenir ensemble d'une solution. Quel moment vous arrange cette semaine ? "&amp;Paramètres!$B$11&amp;", "&amp;Paramètres!$B$12,IF(LEFT(Q58,7)="Relance","Bonjour "&amp;D58&amp;", sauf erreur de notre part, la commande "&amp;A58&amp;" du "&amp;TEXT(B58,"dd/mm/yyyy")&amp;" ("&amp;E58&amp;") présente un reste à payer de "&amp;SUBSTITUTE(TEXT(O58,"#,##0"),","," ")&amp;" FCFA, échu depuis le "&amp;TEXT(M58,"dd/mm/yyyy")&amp;". Pouvez-vous nous indiquer la date de règlement prévue ? Si le paiement est déjà parti, merci de nous envoyer la preuve et ne tenez pas compte de ce message. "&amp;Paramètres!$B$11&amp;", "&amp;Paramètres!$B$12,IF(K58="En retard","Bonjour "&amp;D58&amp;", votre commande "&amp;A58&amp;" ("&amp;E58&amp;", "&amp;F58&amp;" pièces) prévue le "&amp;TEXT(I58,"dd/mm/yyyy")&amp;" a pris du retard. Nous vous confirmons la nouvelle date de livraison dans la journée. Toutes nos excuses pour ce contretemps. "&amp;Paramètres!$B$11&amp;", "&amp;Paramètres!$B$12,""))))</f>
        <v/>
      </c>
      <c r="T58" s="21" t="n"/>
      <c r="U58" s="26" t="n"/>
      <c r="V58" s="21" t="n"/>
    </row>
    <row r="59">
      <c r="A59" s="21" t="n"/>
      <c r="B59" s="26" t="n"/>
      <c r="C59" s="21" t="n"/>
      <c r="D59" s="25">
        <f>IF(C59="","",IFERROR(VLOOKUP(C59,Revendeurs!$A:$B,2,FALSE),"Code inconnu"))</f>
        <v/>
      </c>
      <c r="E59" s="21" t="n"/>
      <c r="F59" s="21" t="n"/>
      <c r="G59" s="22" t="n"/>
      <c r="H59" s="23">
        <f>IF(OR(F59="",G59=""),"",F59*G59)</f>
        <v/>
      </c>
      <c r="I59" s="26" t="n"/>
      <c r="J59" s="26" t="n"/>
      <c r="K59" s="25">
        <f>IF(B59="","",IF(J59&lt;&gt;"","Livrée",IF(I59="","À planifier",IF(Paramètres!$B$4&gt;I59+Paramètres!$B$8,"En retard","En cours"))))</f>
        <v/>
      </c>
      <c r="L59" s="25">
        <f>IF(K59="En retard",Paramètres!$B$4-I59,"")</f>
        <v/>
      </c>
      <c r="M59" s="27">
        <f>IF(OR(B59="",J59=""),"",J59+IFERROR(IF(VLOOKUP(C59,Revendeurs!$A:$G,7,FALSE)="",Paramètres!$B$9,VLOOKUP(C59,Revendeurs!$A:$G,7,FALSE)),Paramètres!$B$9))</f>
        <v/>
      </c>
      <c r="N59" s="22" t="n"/>
      <c r="O59" s="23">
        <f>IF(H59="","",H59-N59)</f>
        <v/>
      </c>
      <c r="P59" s="25">
        <f>IF(OR(M59="",O59=""),"",IF(O59&lt;=0,0,MAX(0,Paramètres!$B$4-M59)))</f>
        <v/>
      </c>
      <c r="Q59" s="25">
        <f>IF(H59="","",IF(O59&lt;=0,"Payée",IF(M59="","Pas encore livrée",IF(P59=0,"Non échue",IF(P59&gt;=Paramètres!$B$7,"Relance 3 : appel direction",IF(P59&gt;=Paramètres!$B$6,"Relance 2",IF(P59&gt;=Paramètres!$B$5,"Relance 1","Échue, relance à venir")))))))</f>
        <v/>
      </c>
      <c r="R59" s="25">
        <f>IF(B59="","",IF(U59=Paramètres!$B$4,"Relancé aujourd'hui",TRIM(IF(LEFT(Q59,7)="Relance",Q59&amp;" ","")&amp;IF(K59="En retard","· Prévenir du retard de livraison",""))))</f>
        <v/>
      </c>
      <c r="S59" s="28">
        <f>IF(B59="","",IF(LEFT(Q59,9)="Relance 3","Bonjour "&amp;D59&amp;", nous revenons vers vous au sujet de la commande "&amp;A59&amp;" du "&amp;TEXT(B59,"dd/mm/yyyy")&amp;" : "&amp;SUBSTITUTE(TEXT(O59,"#,##0"),","," ")&amp;" FCFA restent à régler depuis le "&amp;TEXT(M59,"dd/mm/yyyy")&amp;". Notre responsable souhaite vous appeler pour convenir ensemble d'une solution. Quel moment vous arrange cette semaine ? "&amp;Paramètres!$B$11&amp;", "&amp;Paramètres!$B$12,IF(LEFT(Q59,7)="Relance","Bonjour "&amp;D59&amp;", sauf erreur de notre part, la commande "&amp;A59&amp;" du "&amp;TEXT(B59,"dd/mm/yyyy")&amp;" ("&amp;E59&amp;") présente un reste à payer de "&amp;SUBSTITUTE(TEXT(O59,"#,##0"),","," ")&amp;" FCFA, échu depuis le "&amp;TEXT(M59,"dd/mm/yyyy")&amp;". Pouvez-vous nous indiquer la date de règlement prévue ? Si le paiement est déjà parti, merci de nous envoyer la preuve et ne tenez pas compte de ce message. "&amp;Paramètres!$B$11&amp;", "&amp;Paramètres!$B$12,IF(K59="En retard","Bonjour "&amp;D59&amp;", votre commande "&amp;A59&amp;" ("&amp;E59&amp;", "&amp;F59&amp;" pièces) prévue le "&amp;TEXT(I59,"dd/mm/yyyy")&amp;" a pris du retard. Nous vous confirmons la nouvelle date de livraison dans la journée. Toutes nos excuses pour ce contretemps. "&amp;Paramètres!$B$11&amp;", "&amp;Paramètres!$B$12,""))))</f>
        <v/>
      </c>
      <c r="T59" s="21" t="n"/>
      <c r="U59" s="26" t="n"/>
      <c r="V59" s="21" t="n"/>
    </row>
    <row r="60">
      <c r="A60" s="21" t="n"/>
      <c r="B60" s="26" t="n"/>
      <c r="C60" s="21" t="n"/>
      <c r="D60" s="25">
        <f>IF(C60="","",IFERROR(VLOOKUP(C60,Revendeurs!$A:$B,2,FALSE),"Code inconnu"))</f>
        <v/>
      </c>
      <c r="E60" s="21" t="n"/>
      <c r="F60" s="21" t="n"/>
      <c r="G60" s="22" t="n"/>
      <c r="H60" s="23">
        <f>IF(OR(F60="",G60=""),"",F60*G60)</f>
        <v/>
      </c>
      <c r="I60" s="26" t="n"/>
      <c r="J60" s="26" t="n"/>
      <c r="K60" s="25">
        <f>IF(B60="","",IF(J60&lt;&gt;"","Livrée",IF(I60="","À planifier",IF(Paramètres!$B$4&gt;I60+Paramètres!$B$8,"En retard","En cours"))))</f>
        <v/>
      </c>
      <c r="L60" s="25">
        <f>IF(K60="En retard",Paramètres!$B$4-I60,"")</f>
        <v/>
      </c>
      <c r="M60" s="27">
        <f>IF(OR(B60="",J60=""),"",J60+IFERROR(IF(VLOOKUP(C60,Revendeurs!$A:$G,7,FALSE)="",Paramètres!$B$9,VLOOKUP(C60,Revendeurs!$A:$G,7,FALSE)),Paramètres!$B$9))</f>
        <v/>
      </c>
      <c r="N60" s="22" t="n"/>
      <c r="O60" s="23">
        <f>IF(H60="","",H60-N60)</f>
        <v/>
      </c>
      <c r="P60" s="25">
        <f>IF(OR(M60="",O60=""),"",IF(O60&lt;=0,0,MAX(0,Paramètres!$B$4-M60)))</f>
        <v/>
      </c>
      <c r="Q60" s="25">
        <f>IF(H60="","",IF(O60&lt;=0,"Payée",IF(M60="","Pas encore livrée",IF(P60=0,"Non échue",IF(P60&gt;=Paramètres!$B$7,"Relance 3 : appel direction",IF(P60&gt;=Paramètres!$B$6,"Relance 2",IF(P60&gt;=Paramètres!$B$5,"Relance 1","Échue, relance à venir")))))))</f>
        <v/>
      </c>
      <c r="R60" s="25">
        <f>IF(B60="","",IF(U60=Paramètres!$B$4,"Relancé aujourd'hui",TRIM(IF(LEFT(Q60,7)="Relance",Q60&amp;" ","")&amp;IF(K60="En retard","· Prévenir du retard de livraison",""))))</f>
        <v/>
      </c>
      <c r="S60" s="28">
        <f>IF(B60="","",IF(LEFT(Q60,9)="Relance 3","Bonjour "&amp;D60&amp;", nous revenons vers vous au sujet de la commande "&amp;A60&amp;" du "&amp;TEXT(B60,"dd/mm/yyyy")&amp;" : "&amp;SUBSTITUTE(TEXT(O60,"#,##0"),","," ")&amp;" FCFA restent à régler depuis le "&amp;TEXT(M60,"dd/mm/yyyy")&amp;". Notre responsable souhaite vous appeler pour convenir ensemble d'une solution. Quel moment vous arrange cette semaine ? "&amp;Paramètres!$B$11&amp;", "&amp;Paramètres!$B$12,IF(LEFT(Q60,7)="Relance","Bonjour "&amp;D60&amp;", sauf erreur de notre part, la commande "&amp;A60&amp;" du "&amp;TEXT(B60,"dd/mm/yyyy")&amp;" ("&amp;E60&amp;") présente un reste à payer de "&amp;SUBSTITUTE(TEXT(O60,"#,##0"),","," ")&amp;" FCFA, échu depuis le "&amp;TEXT(M60,"dd/mm/yyyy")&amp;". Pouvez-vous nous indiquer la date de règlement prévue ? Si le paiement est déjà parti, merci de nous envoyer la preuve et ne tenez pas compte de ce message. "&amp;Paramètres!$B$11&amp;", "&amp;Paramètres!$B$12,IF(K60="En retard","Bonjour "&amp;D60&amp;", votre commande "&amp;A60&amp;" ("&amp;E60&amp;", "&amp;F60&amp;" pièces) prévue le "&amp;TEXT(I60,"dd/mm/yyyy")&amp;" a pris du retard. Nous vous confirmons la nouvelle date de livraison dans la journée. Toutes nos excuses pour ce contretemps. "&amp;Paramètres!$B$11&amp;", "&amp;Paramètres!$B$12,""))))</f>
        <v/>
      </c>
      <c r="T60" s="21" t="n"/>
      <c r="U60" s="26" t="n"/>
      <c r="V60" s="21" t="n"/>
    </row>
    <row r="61">
      <c r="A61" s="21" t="n"/>
      <c r="B61" s="26" t="n"/>
      <c r="C61" s="21" t="n"/>
      <c r="D61" s="25">
        <f>IF(C61="","",IFERROR(VLOOKUP(C61,Revendeurs!$A:$B,2,FALSE),"Code inconnu"))</f>
        <v/>
      </c>
      <c r="E61" s="21" t="n"/>
      <c r="F61" s="21" t="n"/>
      <c r="G61" s="22" t="n"/>
      <c r="H61" s="23">
        <f>IF(OR(F61="",G61=""),"",F61*G61)</f>
        <v/>
      </c>
      <c r="I61" s="26" t="n"/>
      <c r="J61" s="26" t="n"/>
      <c r="K61" s="25">
        <f>IF(B61="","",IF(J61&lt;&gt;"","Livrée",IF(I61="","À planifier",IF(Paramètres!$B$4&gt;I61+Paramètres!$B$8,"En retard","En cours"))))</f>
        <v/>
      </c>
      <c r="L61" s="25">
        <f>IF(K61="En retard",Paramètres!$B$4-I61,"")</f>
        <v/>
      </c>
      <c r="M61" s="27">
        <f>IF(OR(B61="",J61=""),"",J61+IFERROR(IF(VLOOKUP(C61,Revendeurs!$A:$G,7,FALSE)="",Paramètres!$B$9,VLOOKUP(C61,Revendeurs!$A:$G,7,FALSE)),Paramètres!$B$9))</f>
        <v/>
      </c>
      <c r="N61" s="22" t="n"/>
      <c r="O61" s="23">
        <f>IF(H61="","",H61-N61)</f>
        <v/>
      </c>
      <c r="P61" s="25">
        <f>IF(OR(M61="",O61=""),"",IF(O61&lt;=0,0,MAX(0,Paramètres!$B$4-M61)))</f>
        <v/>
      </c>
      <c r="Q61" s="25">
        <f>IF(H61="","",IF(O61&lt;=0,"Payée",IF(M61="","Pas encore livrée",IF(P61=0,"Non échue",IF(P61&gt;=Paramètres!$B$7,"Relance 3 : appel direction",IF(P61&gt;=Paramètres!$B$6,"Relance 2",IF(P61&gt;=Paramètres!$B$5,"Relance 1","Échue, relance à venir")))))))</f>
        <v/>
      </c>
      <c r="R61" s="25">
        <f>IF(B61="","",IF(U61=Paramètres!$B$4,"Relancé aujourd'hui",TRIM(IF(LEFT(Q61,7)="Relance",Q61&amp;" ","")&amp;IF(K61="En retard","· Prévenir du retard de livraison",""))))</f>
        <v/>
      </c>
      <c r="S61" s="28">
        <f>IF(B61="","",IF(LEFT(Q61,9)="Relance 3","Bonjour "&amp;D61&amp;", nous revenons vers vous au sujet de la commande "&amp;A61&amp;" du "&amp;TEXT(B61,"dd/mm/yyyy")&amp;" : "&amp;SUBSTITUTE(TEXT(O61,"#,##0"),","," ")&amp;" FCFA restent à régler depuis le "&amp;TEXT(M61,"dd/mm/yyyy")&amp;". Notre responsable souhaite vous appeler pour convenir ensemble d'une solution. Quel moment vous arrange cette semaine ? "&amp;Paramètres!$B$11&amp;", "&amp;Paramètres!$B$12,IF(LEFT(Q61,7)="Relance","Bonjour "&amp;D61&amp;", sauf erreur de notre part, la commande "&amp;A61&amp;" du "&amp;TEXT(B61,"dd/mm/yyyy")&amp;" ("&amp;E61&amp;") présente un reste à payer de "&amp;SUBSTITUTE(TEXT(O61,"#,##0"),","," ")&amp;" FCFA, échu depuis le "&amp;TEXT(M61,"dd/mm/yyyy")&amp;". Pouvez-vous nous indiquer la date de règlement prévue ? Si le paiement est déjà parti, merci de nous envoyer la preuve et ne tenez pas compte de ce message. "&amp;Paramètres!$B$11&amp;", "&amp;Paramètres!$B$12,IF(K61="En retard","Bonjour "&amp;D61&amp;", votre commande "&amp;A61&amp;" ("&amp;E61&amp;", "&amp;F61&amp;" pièces) prévue le "&amp;TEXT(I61,"dd/mm/yyyy")&amp;" a pris du retard. Nous vous confirmons la nouvelle date de livraison dans la journée. Toutes nos excuses pour ce contretemps. "&amp;Paramètres!$B$11&amp;", "&amp;Paramètres!$B$12,""))))</f>
        <v/>
      </c>
      <c r="T61" s="21" t="n"/>
      <c r="U61" s="26" t="n"/>
      <c r="V61" s="21" t="n"/>
    </row>
    <row r="62">
      <c r="A62" s="21" t="n"/>
      <c r="B62" s="26" t="n"/>
      <c r="C62" s="21" t="n"/>
      <c r="D62" s="25">
        <f>IF(C62="","",IFERROR(VLOOKUP(C62,Revendeurs!$A:$B,2,FALSE),"Code inconnu"))</f>
        <v/>
      </c>
      <c r="E62" s="21" t="n"/>
      <c r="F62" s="21" t="n"/>
      <c r="G62" s="22" t="n"/>
      <c r="H62" s="23">
        <f>IF(OR(F62="",G62=""),"",F62*G62)</f>
        <v/>
      </c>
      <c r="I62" s="26" t="n"/>
      <c r="J62" s="26" t="n"/>
      <c r="K62" s="25">
        <f>IF(B62="","",IF(J62&lt;&gt;"","Livrée",IF(I62="","À planifier",IF(Paramètres!$B$4&gt;I62+Paramètres!$B$8,"En retard","En cours"))))</f>
        <v/>
      </c>
      <c r="L62" s="25">
        <f>IF(K62="En retard",Paramètres!$B$4-I62,"")</f>
        <v/>
      </c>
      <c r="M62" s="27">
        <f>IF(OR(B62="",J62=""),"",J62+IFERROR(IF(VLOOKUP(C62,Revendeurs!$A:$G,7,FALSE)="",Paramètres!$B$9,VLOOKUP(C62,Revendeurs!$A:$G,7,FALSE)),Paramètres!$B$9))</f>
        <v/>
      </c>
      <c r="N62" s="22" t="n"/>
      <c r="O62" s="23">
        <f>IF(H62="","",H62-N62)</f>
        <v/>
      </c>
      <c r="P62" s="25">
        <f>IF(OR(M62="",O62=""),"",IF(O62&lt;=0,0,MAX(0,Paramètres!$B$4-M62)))</f>
        <v/>
      </c>
      <c r="Q62" s="25">
        <f>IF(H62="","",IF(O62&lt;=0,"Payée",IF(M62="","Pas encore livrée",IF(P62=0,"Non échue",IF(P62&gt;=Paramètres!$B$7,"Relance 3 : appel direction",IF(P62&gt;=Paramètres!$B$6,"Relance 2",IF(P62&gt;=Paramètres!$B$5,"Relance 1","Échue, relance à venir")))))))</f>
        <v/>
      </c>
      <c r="R62" s="25">
        <f>IF(B62="","",IF(U62=Paramètres!$B$4,"Relancé aujourd'hui",TRIM(IF(LEFT(Q62,7)="Relance",Q62&amp;" ","")&amp;IF(K62="En retard","· Prévenir du retard de livraison",""))))</f>
        <v/>
      </c>
      <c r="S62" s="28">
        <f>IF(B62="","",IF(LEFT(Q62,9)="Relance 3","Bonjour "&amp;D62&amp;", nous revenons vers vous au sujet de la commande "&amp;A62&amp;" du "&amp;TEXT(B62,"dd/mm/yyyy")&amp;" : "&amp;SUBSTITUTE(TEXT(O62,"#,##0"),","," ")&amp;" FCFA restent à régler depuis le "&amp;TEXT(M62,"dd/mm/yyyy")&amp;". Notre responsable souhaite vous appeler pour convenir ensemble d'une solution. Quel moment vous arrange cette semaine ? "&amp;Paramètres!$B$11&amp;", "&amp;Paramètres!$B$12,IF(LEFT(Q62,7)="Relance","Bonjour "&amp;D62&amp;", sauf erreur de notre part, la commande "&amp;A62&amp;" du "&amp;TEXT(B62,"dd/mm/yyyy")&amp;" ("&amp;E62&amp;") présente un reste à payer de "&amp;SUBSTITUTE(TEXT(O62,"#,##0"),","," ")&amp;" FCFA, échu depuis le "&amp;TEXT(M62,"dd/mm/yyyy")&amp;". Pouvez-vous nous indiquer la date de règlement prévue ? Si le paiement est déjà parti, merci de nous envoyer la preuve et ne tenez pas compte de ce message. "&amp;Paramètres!$B$11&amp;", "&amp;Paramètres!$B$12,IF(K62="En retard","Bonjour "&amp;D62&amp;", votre commande "&amp;A62&amp;" ("&amp;E62&amp;", "&amp;F62&amp;" pièces) prévue le "&amp;TEXT(I62,"dd/mm/yyyy")&amp;" a pris du retard. Nous vous confirmons la nouvelle date de livraison dans la journée. Toutes nos excuses pour ce contretemps. "&amp;Paramètres!$B$11&amp;", "&amp;Paramètres!$B$12,""))))</f>
        <v/>
      </c>
      <c r="T62" s="21" t="n"/>
      <c r="U62" s="26" t="n"/>
      <c r="V62" s="21" t="n"/>
    </row>
    <row r="63">
      <c r="A63" s="21" t="n"/>
      <c r="B63" s="26" t="n"/>
      <c r="C63" s="21" t="n"/>
      <c r="D63" s="25">
        <f>IF(C63="","",IFERROR(VLOOKUP(C63,Revendeurs!$A:$B,2,FALSE),"Code inconnu"))</f>
        <v/>
      </c>
      <c r="E63" s="21" t="n"/>
      <c r="F63" s="21" t="n"/>
      <c r="G63" s="22" t="n"/>
      <c r="H63" s="23">
        <f>IF(OR(F63="",G63=""),"",F63*G63)</f>
        <v/>
      </c>
      <c r="I63" s="26" t="n"/>
      <c r="J63" s="26" t="n"/>
      <c r="K63" s="25">
        <f>IF(B63="","",IF(J63&lt;&gt;"","Livrée",IF(I63="","À planifier",IF(Paramètres!$B$4&gt;I63+Paramètres!$B$8,"En retard","En cours"))))</f>
        <v/>
      </c>
      <c r="L63" s="25">
        <f>IF(K63="En retard",Paramètres!$B$4-I63,"")</f>
        <v/>
      </c>
      <c r="M63" s="27">
        <f>IF(OR(B63="",J63=""),"",J63+IFERROR(IF(VLOOKUP(C63,Revendeurs!$A:$G,7,FALSE)="",Paramètres!$B$9,VLOOKUP(C63,Revendeurs!$A:$G,7,FALSE)),Paramètres!$B$9))</f>
        <v/>
      </c>
      <c r="N63" s="22" t="n"/>
      <c r="O63" s="23">
        <f>IF(H63="","",H63-N63)</f>
        <v/>
      </c>
      <c r="P63" s="25">
        <f>IF(OR(M63="",O63=""),"",IF(O63&lt;=0,0,MAX(0,Paramètres!$B$4-M63)))</f>
        <v/>
      </c>
      <c r="Q63" s="25">
        <f>IF(H63="","",IF(O63&lt;=0,"Payée",IF(M63="","Pas encore livrée",IF(P63=0,"Non échue",IF(P63&gt;=Paramètres!$B$7,"Relance 3 : appel direction",IF(P63&gt;=Paramètres!$B$6,"Relance 2",IF(P63&gt;=Paramètres!$B$5,"Relance 1","Échue, relance à venir")))))))</f>
        <v/>
      </c>
      <c r="R63" s="25">
        <f>IF(B63="","",IF(U63=Paramètres!$B$4,"Relancé aujourd'hui",TRIM(IF(LEFT(Q63,7)="Relance",Q63&amp;" ","")&amp;IF(K63="En retard","· Prévenir du retard de livraison",""))))</f>
        <v/>
      </c>
      <c r="S63" s="28">
        <f>IF(B63="","",IF(LEFT(Q63,9)="Relance 3","Bonjour "&amp;D63&amp;", nous revenons vers vous au sujet de la commande "&amp;A63&amp;" du "&amp;TEXT(B63,"dd/mm/yyyy")&amp;" : "&amp;SUBSTITUTE(TEXT(O63,"#,##0"),","," ")&amp;" FCFA restent à régler depuis le "&amp;TEXT(M63,"dd/mm/yyyy")&amp;". Notre responsable souhaite vous appeler pour convenir ensemble d'une solution. Quel moment vous arrange cette semaine ? "&amp;Paramètres!$B$11&amp;", "&amp;Paramètres!$B$12,IF(LEFT(Q63,7)="Relance","Bonjour "&amp;D63&amp;", sauf erreur de notre part, la commande "&amp;A63&amp;" du "&amp;TEXT(B63,"dd/mm/yyyy")&amp;" ("&amp;E63&amp;") présente un reste à payer de "&amp;SUBSTITUTE(TEXT(O63,"#,##0"),","," ")&amp;" FCFA, échu depuis le "&amp;TEXT(M63,"dd/mm/yyyy")&amp;". Pouvez-vous nous indiquer la date de règlement prévue ? Si le paiement est déjà parti, merci de nous envoyer la preuve et ne tenez pas compte de ce message. "&amp;Paramètres!$B$11&amp;", "&amp;Paramètres!$B$12,IF(K63="En retard","Bonjour "&amp;D63&amp;", votre commande "&amp;A63&amp;" ("&amp;E63&amp;", "&amp;F63&amp;" pièces) prévue le "&amp;TEXT(I63,"dd/mm/yyyy")&amp;" a pris du retard. Nous vous confirmons la nouvelle date de livraison dans la journée. Toutes nos excuses pour ce contretemps. "&amp;Paramètres!$B$11&amp;", "&amp;Paramètres!$B$12,""))))</f>
        <v/>
      </c>
      <c r="T63" s="21" t="n"/>
      <c r="U63" s="26" t="n"/>
      <c r="V63" s="21" t="n"/>
    </row>
    <row r="64">
      <c r="A64" s="21" t="n"/>
      <c r="B64" s="26" t="n"/>
      <c r="C64" s="21" t="n"/>
      <c r="D64" s="25">
        <f>IF(C64="","",IFERROR(VLOOKUP(C64,Revendeurs!$A:$B,2,FALSE),"Code inconnu"))</f>
        <v/>
      </c>
      <c r="E64" s="21" t="n"/>
      <c r="F64" s="21" t="n"/>
      <c r="G64" s="22" t="n"/>
      <c r="H64" s="23">
        <f>IF(OR(F64="",G64=""),"",F64*G64)</f>
        <v/>
      </c>
      <c r="I64" s="26" t="n"/>
      <c r="J64" s="26" t="n"/>
      <c r="K64" s="25">
        <f>IF(B64="","",IF(J64&lt;&gt;"","Livrée",IF(I64="","À planifier",IF(Paramètres!$B$4&gt;I64+Paramètres!$B$8,"En retard","En cours"))))</f>
        <v/>
      </c>
      <c r="L64" s="25">
        <f>IF(K64="En retard",Paramètres!$B$4-I64,"")</f>
        <v/>
      </c>
      <c r="M64" s="27">
        <f>IF(OR(B64="",J64=""),"",J64+IFERROR(IF(VLOOKUP(C64,Revendeurs!$A:$G,7,FALSE)="",Paramètres!$B$9,VLOOKUP(C64,Revendeurs!$A:$G,7,FALSE)),Paramètres!$B$9))</f>
        <v/>
      </c>
      <c r="N64" s="22" t="n"/>
      <c r="O64" s="23">
        <f>IF(H64="","",H64-N64)</f>
        <v/>
      </c>
      <c r="P64" s="25">
        <f>IF(OR(M64="",O64=""),"",IF(O64&lt;=0,0,MAX(0,Paramètres!$B$4-M64)))</f>
        <v/>
      </c>
      <c r="Q64" s="25">
        <f>IF(H64="","",IF(O64&lt;=0,"Payée",IF(M64="","Pas encore livrée",IF(P64=0,"Non échue",IF(P64&gt;=Paramètres!$B$7,"Relance 3 : appel direction",IF(P64&gt;=Paramètres!$B$6,"Relance 2",IF(P64&gt;=Paramètres!$B$5,"Relance 1","Échue, relance à venir")))))))</f>
        <v/>
      </c>
      <c r="R64" s="25">
        <f>IF(B64="","",IF(U64=Paramètres!$B$4,"Relancé aujourd'hui",TRIM(IF(LEFT(Q64,7)="Relance",Q64&amp;" ","")&amp;IF(K64="En retard","· Prévenir du retard de livraison",""))))</f>
        <v/>
      </c>
      <c r="S64" s="28">
        <f>IF(B64="","",IF(LEFT(Q64,9)="Relance 3","Bonjour "&amp;D64&amp;", nous revenons vers vous au sujet de la commande "&amp;A64&amp;" du "&amp;TEXT(B64,"dd/mm/yyyy")&amp;" : "&amp;SUBSTITUTE(TEXT(O64,"#,##0"),","," ")&amp;" FCFA restent à régler depuis le "&amp;TEXT(M64,"dd/mm/yyyy")&amp;". Notre responsable souhaite vous appeler pour convenir ensemble d'une solution. Quel moment vous arrange cette semaine ? "&amp;Paramètres!$B$11&amp;", "&amp;Paramètres!$B$12,IF(LEFT(Q64,7)="Relance","Bonjour "&amp;D64&amp;", sauf erreur de notre part, la commande "&amp;A64&amp;" du "&amp;TEXT(B64,"dd/mm/yyyy")&amp;" ("&amp;E64&amp;") présente un reste à payer de "&amp;SUBSTITUTE(TEXT(O64,"#,##0"),","," ")&amp;" FCFA, échu depuis le "&amp;TEXT(M64,"dd/mm/yyyy")&amp;". Pouvez-vous nous indiquer la date de règlement prévue ? Si le paiement est déjà parti, merci de nous envoyer la preuve et ne tenez pas compte de ce message. "&amp;Paramètres!$B$11&amp;", "&amp;Paramètres!$B$12,IF(K64="En retard","Bonjour "&amp;D64&amp;", votre commande "&amp;A64&amp;" ("&amp;E64&amp;", "&amp;F64&amp;" pièces) prévue le "&amp;TEXT(I64,"dd/mm/yyyy")&amp;" a pris du retard. Nous vous confirmons la nouvelle date de livraison dans la journée. Toutes nos excuses pour ce contretemps. "&amp;Paramètres!$B$11&amp;", "&amp;Paramètres!$B$12,""))))</f>
        <v/>
      </c>
      <c r="T64" s="21" t="n"/>
      <c r="U64" s="26" t="n"/>
      <c r="V64" s="21" t="n"/>
    </row>
    <row r="65">
      <c r="A65" s="21" t="n"/>
      <c r="B65" s="26" t="n"/>
      <c r="C65" s="21" t="n"/>
      <c r="D65" s="25">
        <f>IF(C65="","",IFERROR(VLOOKUP(C65,Revendeurs!$A:$B,2,FALSE),"Code inconnu"))</f>
        <v/>
      </c>
      <c r="E65" s="21" t="n"/>
      <c r="F65" s="21" t="n"/>
      <c r="G65" s="22" t="n"/>
      <c r="H65" s="23">
        <f>IF(OR(F65="",G65=""),"",F65*G65)</f>
        <v/>
      </c>
      <c r="I65" s="26" t="n"/>
      <c r="J65" s="26" t="n"/>
      <c r="K65" s="25">
        <f>IF(B65="","",IF(J65&lt;&gt;"","Livrée",IF(I65="","À planifier",IF(Paramètres!$B$4&gt;I65+Paramètres!$B$8,"En retard","En cours"))))</f>
        <v/>
      </c>
      <c r="L65" s="25">
        <f>IF(K65="En retard",Paramètres!$B$4-I65,"")</f>
        <v/>
      </c>
      <c r="M65" s="27">
        <f>IF(OR(B65="",J65=""),"",J65+IFERROR(IF(VLOOKUP(C65,Revendeurs!$A:$G,7,FALSE)="",Paramètres!$B$9,VLOOKUP(C65,Revendeurs!$A:$G,7,FALSE)),Paramètres!$B$9))</f>
        <v/>
      </c>
      <c r="N65" s="22" t="n"/>
      <c r="O65" s="23">
        <f>IF(H65="","",H65-N65)</f>
        <v/>
      </c>
      <c r="P65" s="25">
        <f>IF(OR(M65="",O65=""),"",IF(O65&lt;=0,0,MAX(0,Paramètres!$B$4-M65)))</f>
        <v/>
      </c>
      <c r="Q65" s="25">
        <f>IF(H65="","",IF(O65&lt;=0,"Payée",IF(M65="","Pas encore livrée",IF(P65=0,"Non échue",IF(P65&gt;=Paramètres!$B$7,"Relance 3 : appel direction",IF(P65&gt;=Paramètres!$B$6,"Relance 2",IF(P65&gt;=Paramètres!$B$5,"Relance 1","Échue, relance à venir")))))))</f>
        <v/>
      </c>
      <c r="R65" s="25">
        <f>IF(B65="","",IF(U65=Paramètres!$B$4,"Relancé aujourd'hui",TRIM(IF(LEFT(Q65,7)="Relance",Q65&amp;" ","")&amp;IF(K65="En retard","· Prévenir du retard de livraison",""))))</f>
        <v/>
      </c>
      <c r="S65" s="28">
        <f>IF(B65="","",IF(LEFT(Q65,9)="Relance 3","Bonjour "&amp;D65&amp;", nous revenons vers vous au sujet de la commande "&amp;A65&amp;" du "&amp;TEXT(B65,"dd/mm/yyyy")&amp;" : "&amp;SUBSTITUTE(TEXT(O65,"#,##0"),","," ")&amp;" FCFA restent à régler depuis le "&amp;TEXT(M65,"dd/mm/yyyy")&amp;". Notre responsable souhaite vous appeler pour convenir ensemble d'une solution. Quel moment vous arrange cette semaine ? "&amp;Paramètres!$B$11&amp;", "&amp;Paramètres!$B$12,IF(LEFT(Q65,7)="Relance","Bonjour "&amp;D65&amp;", sauf erreur de notre part, la commande "&amp;A65&amp;" du "&amp;TEXT(B65,"dd/mm/yyyy")&amp;" ("&amp;E65&amp;") présente un reste à payer de "&amp;SUBSTITUTE(TEXT(O65,"#,##0"),","," ")&amp;" FCFA, échu depuis le "&amp;TEXT(M65,"dd/mm/yyyy")&amp;". Pouvez-vous nous indiquer la date de règlement prévue ? Si le paiement est déjà parti, merci de nous envoyer la preuve et ne tenez pas compte de ce message. "&amp;Paramètres!$B$11&amp;", "&amp;Paramètres!$B$12,IF(K65="En retard","Bonjour "&amp;D65&amp;", votre commande "&amp;A65&amp;" ("&amp;E65&amp;", "&amp;F65&amp;" pièces) prévue le "&amp;TEXT(I65,"dd/mm/yyyy")&amp;" a pris du retard. Nous vous confirmons la nouvelle date de livraison dans la journée. Toutes nos excuses pour ce contretemps. "&amp;Paramètres!$B$11&amp;", "&amp;Paramètres!$B$12,""))))</f>
        <v/>
      </c>
      <c r="T65" s="21" t="n"/>
      <c r="U65" s="26" t="n"/>
      <c r="V65" s="21" t="n"/>
    </row>
    <row r="66">
      <c r="A66" s="21" t="n"/>
      <c r="B66" s="26" t="n"/>
      <c r="C66" s="21" t="n"/>
      <c r="D66" s="25">
        <f>IF(C66="","",IFERROR(VLOOKUP(C66,Revendeurs!$A:$B,2,FALSE),"Code inconnu"))</f>
        <v/>
      </c>
      <c r="E66" s="21" t="n"/>
      <c r="F66" s="21" t="n"/>
      <c r="G66" s="22" t="n"/>
      <c r="H66" s="23">
        <f>IF(OR(F66="",G66=""),"",F66*G66)</f>
        <v/>
      </c>
      <c r="I66" s="26" t="n"/>
      <c r="J66" s="26" t="n"/>
      <c r="K66" s="25">
        <f>IF(B66="","",IF(J66&lt;&gt;"","Livrée",IF(I66="","À planifier",IF(Paramètres!$B$4&gt;I66+Paramètres!$B$8,"En retard","En cours"))))</f>
        <v/>
      </c>
      <c r="L66" s="25">
        <f>IF(K66="En retard",Paramètres!$B$4-I66,"")</f>
        <v/>
      </c>
      <c r="M66" s="27">
        <f>IF(OR(B66="",J66=""),"",J66+IFERROR(IF(VLOOKUP(C66,Revendeurs!$A:$G,7,FALSE)="",Paramètres!$B$9,VLOOKUP(C66,Revendeurs!$A:$G,7,FALSE)),Paramètres!$B$9))</f>
        <v/>
      </c>
      <c r="N66" s="22" t="n"/>
      <c r="O66" s="23">
        <f>IF(H66="","",H66-N66)</f>
        <v/>
      </c>
      <c r="P66" s="25">
        <f>IF(OR(M66="",O66=""),"",IF(O66&lt;=0,0,MAX(0,Paramètres!$B$4-M66)))</f>
        <v/>
      </c>
      <c r="Q66" s="25">
        <f>IF(H66="","",IF(O66&lt;=0,"Payée",IF(M66="","Pas encore livrée",IF(P66=0,"Non échue",IF(P66&gt;=Paramètres!$B$7,"Relance 3 : appel direction",IF(P66&gt;=Paramètres!$B$6,"Relance 2",IF(P66&gt;=Paramètres!$B$5,"Relance 1","Échue, relance à venir")))))))</f>
        <v/>
      </c>
      <c r="R66" s="25">
        <f>IF(B66="","",IF(U66=Paramètres!$B$4,"Relancé aujourd'hui",TRIM(IF(LEFT(Q66,7)="Relance",Q66&amp;" ","")&amp;IF(K66="En retard","· Prévenir du retard de livraison",""))))</f>
        <v/>
      </c>
      <c r="S66" s="28">
        <f>IF(B66="","",IF(LEFT(Q66,9)="Relance 3","Bonjour "&amp;D66&amp;", nous revenons vers vous au sujet de la commande "&amp;A66&amp;" du "&amp;TEXT(B66,"dd/mm/yyyy")&amp;" : "&amp;SUBSTITUTE(TEXT(O66,"#,##0"),","," ")&amp;" FCFA restent à régler depuis le "&amp;TEXT(M66,"dd/mm/yyyy")&amp;". Notre responsable souhaite vous appeler pour convenir ensemble d'une solution. Quel moment vous arrange cette semaine ? "&amp;Paramètres!$B$11&amp;", "&amp;Paramètres!$B$12,IF(LEFT(Q66,7)="Relance","Bonjour "&amp;D66&amp;", sauf erreur de notre part, la commande "&amp;A66&amp;" du "&amp;TEXT(B66,"dd/mm/yyyy")&amp;" ("&amp;E66&amp;") présente un reste à payer de "&amp;SUBSTITUTE(TEXT(O66,"#,##0"),","," ")&amp;" FCFA, échu depuis le "&amp;TEXT(M66,"dd/mm/yyyy")&amp;". Pouvez-vous nous indiquer la date de règlement prévue ? Si le paiement est déjà parti, merci de nous envoyer la preuve et ne tenez pas compte de ce message. "&amp;Paramètres!$B$11&amp;", "&amp;Paramètres!$B$12,IF(K66="En retard","Bonjour "&amp;D66&amp;", votre commande "&amp;A66&amp;" ("&amp;E66&amp;", "&amp;F66&amp;" pièces) prévue le "&amp;TEXT(I66,"dd/mm/yyyy")&amp;" a pris du retard. Nous vous confirmons la nouvelle date de livraison dans la journée. Toutes nos excuses pour ce contretemps. "&amp;Paramètres!$B$11&amp;", "&amp;Paramètres!$B$12,""))))</f>
        <v/>
      </c>
      <c r="T66" s="21" t="n"/>
      <c r="U66" s="26" t="n"/>
      <c r="V66" s="21" t="n"/>
    </row>
    <row r="67">
      <c r="A67" s="21" t="n"/>
      <c r="B67" s="26" t="n"/>
      <c r="C67" s="21" t="n"/>
      <c r="D67" s="25">
        <f>IF(C67="","",IFERROR(VLOOKUP(C67,Revendeurs!$A:$B,2,FALSE),"Code inconnu"))</f>
        <v/>
      </c>
      <c r="E67" s="21" t="n"/>
      <c r="F67" s="21" t="n"/>
      <c r="G67" s="22" t="n"/>
      <c r="H67" s="23">
        <f>IF(OR(F67="",G67=""),"",F67*G67)</f>
        <v/>
      </c>
      <c r="I67" s="26" t="n"/>
      <c r="J67" s="26" t="n"/>
      <c r="K67" s="25">
        <f>IF(B67="","",IF(J67&lt;&gt;"","Livrée",IF(I67="","À planifier",IF(Paramètres!$B$4&gt;I67+Paramètres!$B$8,"En retard","En cours"))))</f>
        <v/>
      </c>
      <c r="L67" s="25">
        <f>IF(K67="En retard",Paramètres!$B$4-I67,"")</f>
        <v/>
      </c>
      <c r="M67" s="27">
        <f>IF(OR(B67="",J67=""),"",J67+IFERROR(IF(VLOOKUP(C67,Revendeurs!$A:$G,7,FALSE)="",Paramètres!$B$9,VLOOKUP(C67,Revendeurs!$A:$G,7,FALSE)),Paramètres!$B$9))</f>
        <v/>
      </c>
      <c r="N67" s="22" t="n"/>
      <c r="O67" s="23">
        <f>IF(H67="","",H67-N67)</f>
        <v/>
      </c>
      <c r="P67" s="25">
        <f>IF(OR(M67="",O67=""),"",IF(O67&lt;=0,0,MAX(0,Paramètres!$B$4-M67)))</f>
        <v/>
      </c>
      <c r="Q67" s="25">
        <f>IF(H67="","",IF(O67&lt;=0,"Payée",IF(M67="","Pas encore livrée",IF(P67=0,"Non échue",IF(P67&gt;=Paramètres!$B$7,"Relance 3 : appel direction",IF(P67&gt;=Paramètres!$B$6,"Relance 2",IF(P67&gt;=Paramètres!$B$5,"Relance 1","Échue, relance à venir")))))))</f>
        <v/>
      </c>
      <c r="R67" s="25">
        <f>IF(B67="","",IF(U67=Paramètres!$B$4,"Relancé aujourd'hui",TRIM(IF(LEFT(Q67,7)="Relance",Q67&amp;" ","")&amp;IF(K67="En retard","· Prévenir du retard de livraison",""))))</f>
        <v/>
      </c>
      <c r="S67" s="28">
        <f>IF(B67="","",IF(LEFT(Q67,9)="Relance 3","Bonjour "&amp;D67&amp;", nous revenons vers vous au sujet de la commande "&amp;A67&amp;" du "&amp;TEXT(B67,"dd/mm/yyyy")&amp;" : "&amp;SUBSTITUTE(TEXT(O67,"#,##0"),","," ")&amp;" FCFA restent à régler depuis le "&amp;TEXT(M67,"dd/mm/yyyy")&amp;". Notre responsable souhaite vous appeler pour convenir ensemble d'une solution. Quel moment vous arrange cette semaine ? "&amp;Paramètres!$B$11&amp;", "&amp;Paramètres!$B$12,IF(LEFT(Q67,7)="Relance","Bonjour "&amp;D67&amp;", sauf erreur de notre part, la commande "&amp;A67&amp;" du "&amp;TEXT(B67,"dd/mm/yyyy")&amp;" ("&amp;E67&amp;") présente un reste à payer de "&amp;SUBSTITUTE(TEXT(O67,"#,##0"),","," ")&amp;" FCFA, échu depuis le "&amp;TEXT(M67,"dd/mm/yyyy")&amp;". Pouvez-vous nous indiquer la date de règlement prévue ? Si le paiement est déjà parti, merci de nous envoyer la preuve et ne tenez pas compte de ce message. "&amp;Paramètres!$B$11&amp;", "&amp;Paramètres!$B$12,IF(K67="En retard","Bonjour "&amp;D67&amp;", votre commande "&amp;A67&amp;" ("&amp;E67&amp;", "&amp;F67&amp;" pièces) prévue le "&amp;TEXT(I67,"dd/mm/yyyy")&amp;" a pris du retard. Nous vous confirmons la nouvelle date de livraison dans la journée. Toutes nos excuses pour ce contretemps. "&amp;Paramètres!$B$11&amp;", "&amp;Paramètres!$B$12,""))))</f>
        <v/>
      </c>
      <c r="T67" s="21" t="n"/>
      <c r="U67" s="26" t="n"/>
      <c r="V67" s="21" t="n"/>
    </row>
    <row r="68">
      <c r="A68" s="21" t="n"/>
      <c r="B68" s="26" t="n"/>
      <c r="C68" s="21" t="n"/>
      <c r="D68" s="25">
        <f>IF(C68="","",IFERROR(VLOOKUP(C68,Revendeurs!$A:$B,2,FALSE),"Code inconnu"))</f>
        <v/>
      </c>
      <c r="E68" s="21" t="n"/>
      <c r="F68" s="21" t="n"/>
      <c r="G68" s="22" t="n"/>
      <c r="H68" s="23">
        <f>IF(OR(F68="",G68=""),"",F68*G68)</f>
        <v/>
      </c>
      <c r="I68" s="26" t="n"/>
      <c r="J68" s="26" t="n"/>
      <c r="K68" s="25">
        <f>IF(B68="","",IF(J68&lt;&gt;"","Livrée",IF(I68="","À planifier",IF(Paramètres!$B$4&gt;I68+Paramètres!$B$8,"En retard","En cours"))))</f>
        <v/>
      </c>
      <c r="L68" s="25">
        <f>IF(K68="En retard",Paramètres!$B$4-I68,"")</f>
        <v/>
      </c>
      <c r="M68" s="27">
        <f>IF(OR(B68="",J68=""),"",J68+IFERROR(IF(VLOOKUP(C68,Revendeurs!$A:$G,7,FALSE)="",Paramètres!$B$9,VLOOKUP(C68,Revendeurs!$A:$G,7,FALSE)),Paramètres!$B$9))</f>
        <v/>
      </c>
      <c r="N68" s="22" t="n"/>
      <c r="O68" s="23">
        <f>IF(H68="","",H68-N68)</f>
        <v/>
      </c>
      <c r="P68" s="25">
        <f>IF(OR(M68="",O68=""),"",IF(O68&lt;=0,0,MAX(0,Paramètres!$B$4-M68)))</f>
        <v/>
      </c>
      <c r="Q68" s="25">
        <f>IF(H68="","",IF(O68&lt;=0,"Payée",IF(M68="","Pas encore livrée",IF(P68=0,"Non échue",IF(P68&gt;=Paramètres!$B$7,"Relance 3 : appel direction",IF(P68&gt;=Paramètres!$B$6,"Relance 2",IF(P68&gt;=Paramètres!$B$5,"Relance 1","Échue, relance à venir")))))))</f>
        <v/>
      </c>
      <c r="R68" s="25">
        <f>IF(B68="","",IF(U68=Paramètres!$B$4,"Relancé aujourd'hui",TRIM(IF(LEFT(Q68,7)="Relance",Q68&amp;" ","")&amp;IF(K68="En retard","· Prévenir du retard de livraison",""))))</f>
        <v/>
      </c>
      <c r="S68" s="28">
        <f>IF(B68="","",IF(LEFT(Q68,9)="Relance 3","Bonjour "&amp;D68&amp;", nous revenons vers vous au sujet de la commande "&amp;A68&amp;" du "&amp;TEXT(B68,"dd/mm/yyyy")&amp;" : "&amp;SUBSTITUTE(TEXT(O68,"#,##0"),","," ")&amp;" FCFA restent à régler depuis le "&amp;TEXT(M68,"dd/mm/yyyy")&amp;". Notre responsable souhaite vous appeler pour convenir ensemble d'une solution. Quel moment vous arrange cette semaine ? "&amp;Paramètres!$B$11&amp;", "&amp;Paramètres!$B$12,IF(LEFT(Q68,7)="Relance","Bonjour "&amp;D68&amp;", sauf erreur de notre part, la commande "&amp;A68&amp;" du "&amp;TEXT(B68,"dd/mm/yyyy")&amp;" ("&amp;E68&amp;") présente un reste à payer de "&amp;SUBSTITUTE(TEXT(O68,"#,##0"),","," ")&amp;" FCFA, échu depuis le "&amp;TEXT(M68,"dd/mm/yyyy")&amp;". Pouvez-vous nous indiquer la date de règlement prévue ? Si le paiement est déjà parti, merci de nous envoyer la preuve et ne tenez pas compte de ce message. "&amp;Paramètres!$B$11&amp;", "&amp;Paramètres!$B$12,IF(K68="En retard","Bonjour "&amp;D68&amp;", votre commande "&amp;A68&amp;" ("&amp;E68&amp;", "&amp;F68&amp;" pièces) prévue le "&amp;TEXT(I68,"dd/mm/yyyy")&amp;" a pris du retard. Nous vous confirmons la nouvelle date de livraison dans la journée. Toutes nos excuses pour ce contretemps. "&amp;Paramètres!$B$11&amp;", "&amp;Paramètres!$B$12,""))))</f>
        <v/>
      </c>
      <c r="T68" s="21" t="n"/>
      <c r="U68" s="26" t="n"/>
      <c r="V68" s="21" t="n"/>
    </row>
    <row r="69">
      <c r="A69" s="21" t="n"/>
      <c r="B69" s="26" t="n"/>
      <c r="C69" s="21" t="n"/>
      <c r="D69" s="25">
        <f>IF(C69="","",IFERROR(VLOOKUP(C69,Revendeurs!$A:$B,2,FALSE),"Code inconnu"))</f>
        <v/>
      </c>
      <c r="E69" s="21" t="n"/>
      <c r="F69" s="21" t="n"/>
      <c r="G69" s="22" t="n"/>
      <c r="H69" s="23">
        <f>IF(OR(F69="",G69=""),"",F69*G69)</f>
        <v/>
      </c>
      <c r="I69" s="26" t="n"/>
      <c r="J69" s="26" t="n"/>
      <c r="K69" s="25">
        <f>IF(B69="","",IF(J69&lt;&gt;"","Livrée",IF(I69="","À planifier",IF(Paramètres!$B$4&gt;I69+Paramètres!$B$8,"En retard","En cours"))))</f>
        <v/>
      </c>
      <c r="L69" s="25">
        <f>IF(K69="En retard",Paramètres!$B$4-I69,"")</f>
        <v/>
      </c>
      <c r="M69" s="27">
        <f>IF(OR(B69="",J69=""),"",J69+IFERROR(IF(VLOOKUP(C69,Revendeurs!$A:$G,7,FALSE)="",Paramètres!$B$9,VLOOKUP(C69,Revendeurs!$A:$G,7,FALSE)),Paramètres!$B$9))</f>
        <v/>
      </c>
      <c r="N69" s="22" t="n"/>
      <c r="O69" s="23">
        <f>IF(H69="","",H69-N69)</f>
        <v/>
      </c>
      <c r="P69" s="25">
        <f>IF(OR(M69="",O69=""),"",IF(O69&lt;=0,0,MAX(0,Paramètres!$B$4-M69)))</f>
        <v/>
      </c>
      <c r="Q69" s="25">
        <f>IF(H69="","",IF(O69&lt;=0,"Payée",IF(M69="","Pas encore livrée",IF(P69=0,"Non échue",IF(P69&gt;=Paramètres!$B$7,"Relance 3 : appel direction",IF(P69&gt;=Paramètres!$B$6,"Relance 2",IF(P69&gt;=Paramètres!$B$5,"Relance 1","Échue, relance à venir")))))))</f>
        <v/>
      </c>
      <c r="R69" s="25">
        <f>IF(B69="","",IF(U69=Paramètres!$B$4,"Relancé aujourd'hui",TRIM(IF(LEFT(Q69,7)="Relance",Q69&amp;" ","")&amp;IF(K69="En retard","· Prévenir du retard de livraison",""))))</f>
        <v/>
      </c>
      <c r="S69" s="28">
        <f>IF(B69="","",IF(LEFT(Q69,9)="Relance 3","Bonjour "&amp;D69&amp;", nous revenons vers vous au sujet de la commande "&amp;A69&amp;" du "&amp;TEXT(B69,"dd/mm/yyyy")&amp;" : "&amp;SUBSTITUTE(TEXT(O69,"#,##0"),","," ")&amp;" FCFA restent à régler depuis le "&amp;TEXT(M69,"dd/mm/yyyy")&amp;". Notre responsable souhaite vous appeler pour convenir ensemble d'une solution. Quel moment vous arrange cette semaine ? "&amp;Paramètres!$B$11&amp;", "&amp;Paramètres!$B$12,IF(LEFT(Q69,7)="Relance","Bonjour "&amp;D69&amp;", sauf erreur de notre part, la commande "&amp;A69&amp;" du "&amp;TEXT(B69,"dd/mm/yyyy")&amp;" ("&amp;E69&amp;") présente un reste à payer de "&amp;SUBSTITUTE(TEXT(O69,"#,##0"),","," ")&amp;" FCFA, échu depuis le "&amp;TEXT(M69,"dd/mm/yyyy")&amp;". Pouvez-vous nous indiquer la date de règlement prévue ? Si le paiement est déjà parti, merci de nous envoyer la preuve et ne tenez pas compte de ce message. "&amp;Paramètres!$B$11&amp;", "&amp;Paramètres!$B$12,IF(K69="En retard","Bonjour "&amp;D69&amp;", votre commande "&amp;A69&amp;" ("&amp;E69&amp;", "&amp;F69&amp;" pièces) prévue le "&amp;TEXT(I69,"dd/mm/yyyy")&amp;" a pris du retard. Nous vous confirmons la nouvelle date de livraison dans la journée. Toutes nos excuses pour ce contretemps. "&amp;Paramètres!$B$11&amp;", "&amp;Paramètres!$B$12,""))))</f>
        <v/>
      </c>
      <c r="T69" s="21" t="n"/>
      <c r="U69" s="26" t="n"/>
      <c r="V69" s="21" t="n"/>
    </row>
    <row r="70">
      <c r="A70" s="21" t="n"/>
      <c r="B70" s="26" t="n"/>
      <c r="C70" s="21" t="n"/>
      <c r="D70" s="25">
        <f>IF(C70="","",IFERROR(VLOOKUP(C70,Revendeurs!$A:$B,2,FALSE),"Code inconnu"))</f>
        <v/>
      </c>
      <c r="E70" s="21" t="n"/>
      <c r="F70" s="21" t="n"/>
      <c r="G70" s="22" t="n"/>
      <c r="H70" s="23">
        <f>IF(OR(F70="",G70=""),"",F70*G70)</f>
        <v/>
      </c>
      <c r="I70" s="26" t="n"/>
      <c r="J70" s="26" t="n"/>
      <c r="K70" s="25">
        <f>IF(B70="","",IF(J70&lt;&gt;"","Livrée",IF(I70="","À planifier",IF(Paramètres!$B$4&gt;I70+Paramètres!$B$8,"En retard","En cours"))))</f>
        <v/>
      </c>
      <c r="L70" s="25">
        <f>IF(K70="En retard",Paramètres!$B$4-I70,"")</f>
        <v/>
      </c>
      <c r="M70" s="27">
        <f>IF(OR(B70="",J70=""),"",J70+IFERROR(IF(VLOOKUP(C70,Revendeurs!$A:$G,7,FALSE)="",Paramètres!$B$9,VLOOKUP(C70,Revendeurs!$A:$G,7,FALSE)),Paramètres!$B$9))</f>
        <v/>
      </c>
      <c r="N70" s="22" t="n"/>
      <c r="O70" s="23">
        <f>IF(H70="","",H70-N70)</f>
        <v/>
      </c>
      <c r="P70" s="25">
        <f>IF(OR(M70="",O70=""),"",IF(O70&lt;=0,0,MAX(0,Paramètres!$B$4-M70)))</f>
        <v/>
      </c>
      <c r="Q70" s="25">
        <f>IF(H70="","",IF(O70&lt;=0,"Payée",IF(M70="","Pas encore livrée",IF(P70=0,"Non échue",IF(P70&gt;=Paramètres!$B$7,"Relance 3 : appel direction",IF(P70&gt;=Paramètres!$B$6,"Relance 2",IF(P70&gt;=Paramètres!$B$5,"Relance 1","Échue, relance à venir")))))))</f>
        <v/>
      </c>
      <c r="R70" s="25">
        <f>IF(B70="","",IF(U70=Paramètres!$B$4,"Relancé aujourd'hui",TRIM(IF(LEFT(Q70,7)="Relance",Q70&amp;" ","")&amp;IF(K70="En retard","· Prévenir du retard de livraison",""))))</f>
        <v/>
      </c>
      <c r="S70" s="28">
        <f>IF(B70="","",IF(LEFT(Q70,9)="Relance 3","Bonjour "&amp;D70&amp;", nous revenons vers vous au sujet de la commande "&amp;A70&amp;" du "&amp;TEXT(B70,"dd/mm/yyyy")&amp;" : "&amp;SUBSTITUTE(TEXT(O70,"#,##0"),","," ")&amp;" FCFA restent à régler depuis le "&amp;TEXT(M70,"dd/mm/yyyy")&amp;". Notre responsable souhaite vous appeler pour convenir ensemble d'une solution. Quel moment vous arrange cette semaine ? "&amp;Paramètres!$B$11&amp;", "&amp;Paramètres!$B$12,IF(LEFT(Q70,7)="Relance","Bonjour "&amp;D70&amp;", sauf erreur de notre part, la commande "&amp;A70&amp;" du "&amp;TEXT(B70,"dd/mm/yyyy")&amp;" ("&amp;E70&amp;") présente un reste à payer de "&amp;SUBSTITUTE(TEXT(O70,"#,##0"),","," ")&amp;" FCFA, échu depuis le "&amp;TEXT(M70,"dd/mm/yyyy")&amp;". Pouvez-vous nous indiquer la date de règlement prévue ? Si le paiement est déjà parti, merci de nous envoyer la preuve et ne tenez pas compte de ce message. "&amp;Paramètres!$B$11&amp;", "&amp;Paramètres!$B$12,IF(K70="En retard","Bonjour "&amp;D70&amp;", votre commande "&amp;A70&amp;" ("&amp;E70&amp;", "&amp;F70&amp;" pièces) prévue le "&amp;TEXT(I70,"dd/mm/yyyy")&amp;" a pris du retard. Nous vous confirmons la nouvelle date de livraison dans la journée. Toutes nos excuses pour ce contretemps. "&amp;Paramètres!$B$11&amp;", "&amp;Paramètres!$B$12,""))))</f>
        <v/>
      </c>
      <c r="T70" s="21" t="n"/>
      <c r="U70" s="26" t="n"/>
      <c r="V70" s="21" t="n"/>
    </row>
    <row r="71">
      <c r="A71" s="21" t="n"/>
      <c r="B71" s="26" t="n"/>
      <c r="C71" s="21" t="n"/>
      <c r="D71" s="25">
        <f>IF(C71="","",IFERROR(VLOOKUP(C71,Revendeurs!$A:$B,2,FALSE),"Code inconnu"))</f>
        <v/>
      </c>
      <c r="E71" s="21" t="n"/>
      <c r="F71" s="21" t="n"/>
      <c r="G71" s="22" t="n"/>
      <c r="H71" s="23">
        <f>IF(OR(F71="",G71=""),"",F71*G71)</f>
        <v/>
      </c>
      <c r="I71" s="26" t="n"/>
      <c r="J71" s="26" t="n"/>
      <c r="K71" s="25">
        <f>IF(B71="","",IF(J71&lt;&gt;"","Livrée",IF(I71="","À planifier",IF(Paramètres!$B$4&gt;I71+Paramètres!$B$8,"En retard","En cours"))))</f>
        <v/>
      </c>
      <c r="L71" s="25">
        <f>IF(K71="En retard",Paramètres!$B$4-I71,"")</f>
        <v/>
      </c>
      <c r="M71" s="27">
        <f>IF(OR(B71="",J71=""),"",J71+IFERROR(IF(VLOOKUP(C71,Revendeurs!$A:$G,7,FALSE)="",Paramètres!$B$9,VLOOKUP(C71,Revendeurs!$A:$G,7,FALSE)),Paramètres!$B$9))</f>
        <v/>
      </c>
      <c r="N71" s="22" t="n"/>
      <c r="O71" s="23">
        <f>IF(H71="","",H71-N71)</f>
        <v/>
      </c>
      <c r="P71" s="25">
        <f>IF(OR(M71="",O71=""),"",IF(O71&lt;=0,0,MAX(0,Paramètres!$B$4-M71)))</f>
        <v/>
      </c>
      <c r="Q71" s="25">
        <f>IF(H71="","",IF(O71&lt;=0,"Payée",IF(M71="","Pas encore livrée",IF(P71=0,"Non échue",IF(P71&gt;=Paramètres!$B$7,"Relance 3 : appel direction",IF(P71&gt;=Paramètres!$B$6,"Relance 2",IF(P71&gt;=Paramètres!$B$5,"Relance 1","Échue, relance à venir")))))))</f>
        <v/>
      </c>
      <c r="R71" s="25">
        <f>IF(B71="","",IF(U71=Paramètres!$B$4,"Relancé aujourd'hui",TRIM(IF(LEFT(Q71,7)="Relance",Q71&amp;" ","")&amp;IF(K71="En retard","· Prévenir du retard de livraison",""))))</f>
        <v/>
      </c>
      <c r="S71" s="28">
        <f>IF(B71="","",IF(LEFT(Q71,9)="Relance 3","Bonjour "&amp;D71&amp;", nous revenons vers vous au sujet de la commande "&amp;A71&amp;" du "&amp;TEXT(B71,"dd/mm/yyyy")&amp;" : "&amp;SUBSTITUTE(TEXT(O71,"#,##0"),","," ")&amp;" FCFA restent à régler depuis le "&amp;TEXT(M71,"dd/mm/yyyy")&amp;". Notre responsable souhaite vous appeler pour convenir ensemble d'une solution. Quel moment vous arrange cette semaine ? "&amp;Paramètres!$B$11&amp;", "&amp;Paramètres!$B$12,IF(LEFT(Q71,7)="Relance","Bonjour "&amp;D71&amp;", sauf erreur de notre part, la commande "&amp;A71&amp;" du "&amp;TEXT(B71,"dd/mm/yyyy")&amp;" ("&amp;E71&amp;") présente un reste à payer de "&amp;SUBSTITUTE(TEXT(O71,"#,##0"),","," ")&amp;" FCFA, échu depuis le "&amp;TEXT(M71,"dd/mm/yyyy")&amp;". Pouvez-vous nous indiquer la date de règlement prévue ? Si le paiement est déjà parti, merci de nous envoyer la preuve et ne tenez pas compte de ce message. "&amp;Paramètres!$B$11&amp;", "&amp;Paramètres!$B$12,IF(K71="En retard","Bonjour "&amp;D71&amp;", votre commande "&amp;A71&amp;" ("&amp;E71&amp;", "&amp;F71&amp;" pièces) prévue le "&amp;TEXT(I71,"dd/mm/yyyy")&amp;" a pris du retard. Nous vous confirmons la nouvelle date de livraison dans la journée. Toutes nos excuses pour ce contretemps. "&amp;Paramètres!$B$11&amp;", "&amp;Paramètres!$B$12,""))))</f>
        <v/>
      </c>
      <c r="T71" s="21" t="n"/>
      <c r="U71" s="26" t="n"/>
      <c r="V71" s="21" t="n"/>
    </row>
    <row r="72">
      <c r="A72" s="21" t="n"/>
      <c r="B72" s="26" t="n"/>
      <c r="C72" s="21" t="n"/>
      <c r="D72" s="25">
        <f>IF(C72="","",IFERROR(VLOOKUP(C72,Revendeurs!$A:$B,2,FALSE),"Code inconnu"))</f>
        <v/>
      </c>
      <c r="E72" s="21" t="n"/>
      <c r="F72" s="21" t="n"/>
      <c r="G72" s="22" t="n"/>
      <c r="H72" s="23">
        <f>IF(OR(F72="",G72=""),"",F72*G72)</f>
        <v/>
      </c>
      <c r="I72" s="26" t="n"/>
      <c r="J72" s="26" t="n"/>
      <c r="K72" s="25">
        <f>IF(B72="","",IF(J72&lt;&gt;"","Livrée",IF(I72="","À planifier",IF(Paramètres!$B$4&gt;I72+Paramètres!$B$8,"En retard","En cours"))))</f>
        <v/>
      </c>
      <c r="L72" s="25">
        <f>IF(K72="En retard",Paramètres!$B$4-I72,"")</f>
        <v/>
      </c>
      <c r="M72" s="27">
        <f>IF(OR(B72="",J72=""),"",J72+IFERROR(IF(VLOOKUP(C72,Revendeurs!$A:$G,7,FALSE)="",Paramètres!$B$9,VLOOKUP(C72,Revendeurs!$A:$G,7,FALSE)),Paramètres!$B$9))</f>
        <v/>
      </c>
      <c r="N72" s="22" t="n"/>
      <c r="O72" s="23">
        <f>IF(H72="","",H72-N72)</f>
        <v/>
      </c>
      <c r="P72" s="25">
        <f>IF(OR(M72="",O72=""),"",IF(O72&lt;=0,0,MAX(0,Paramètres!$B$4-M72)))</f>
        <v/>
      </c>
      <c r="Q72" s="25">
        <f>IF(H72="","",IF(O72&lt;=0,"Payée",IF(M72="","Pas encore livrée",IF(P72=0,"Non échue",IF(P72&gt;=Paramètres!$B$7,"Relance 3 : appel direction",IF(P72&gt;=Paramètres!$B$6,"Relance 2",IF(P72&gt;=Paramètres!$B$5,"Relance 1","Échue, relance à venir")))))))</f>
        <v/>
      </c>
      <c r="R72" s="25">
        <f>IF(B72="","",IF(U72=Paramètres!$B$4,"Relancé aujourd'hui",TRIM(IF(LEFT(Q72,7)="Relance",Q72&amp;" ","")&amp;IF(K72="En retard","· Prévenir du retard de livraison",""))))</f>
        <v/>
      </c>
      <c r="S72" s="28">
        <f>IF(B72="","",IF(LEFT(Q72,9)="Relance 3","Bonjour "&amp;D72&amp;", nous revenons vers vous au sujet de la commande "&amp;A72&amp;" du "&amp;TEXT(B72,"dd/mm/yyyy")&amp;" : "&amp;SUBSTITUTE(TEXT(O72,"#,##0"),","," ")&amp;" FCFA restent à régler depuis le "&amp;TEXT(M72,"dd/mm/yyyy")&amp;". Notre responsable souhaite vous appeler pour convenir ensemble d'une solution. Quel moment vous arrange cette semaine ? "&amp;Paramètres!$B$11&amp;", "&amp;Paramètres!$B$12,IF(LEFT(Q72,7)="Relance","Bonjour "&amp;D72&amp;", sauf erreur de notre part, la commande "&amp;A72&amp;" du "&amp;TEXT(B72,"dd/mm/yyyy")&amp;" ("&amp;E72&amp;") présente un reste à payer de "&amp;SUBSTITUTE(TEXT(O72,"#,##0"),","," ")&amp;" FCFA, échu depuis le "&amp;TEXT(M72,"dd/mm/yyyy")&amp;". Pouvez-vous nous indiquer la date de règlement prévue ? Si le paiement est déjà parti, merci de nous envoyer la preuve et ne tenez pas compte de ce message. "&amp;Paramètres!$B$11&amp;", "&amp;Paramètres!$B$12,IF(K72="En retard","Bonjour "&amp;D72&amp;", votre commande "&amp;A72&amp;" ("&amp;E72&amp;", "&amp;F72&amp;" pièces) prévue le "&amp;TEXT(I72,"dd/mm/yyyy")&amp;" a pris du retard. Nous vous confirmons la nouvelle date de livraison dans la journée. Toutes nos excuses pour ce contretemps. "&amp;Paramètres!$B$11&amp;", "&amp;Paramètres!$B$12,""))))</f>
        <v/>
      </c>
      <c r="T72" s="21" t="n"/>
      <c r="U72" s="26" t="n"/>
      <c r="V72" s="21" t="n"/>
    </row>
    <row r="73">
      <c r="A73" s="21" t="n"/>
      <c r="B73" s="26" t="n"/>
      <c r="C73" s="21" t="n"/>
      <c r="D73" s="25">
        <f>IF(C73="","",IFERROR(VLOOKUP(C73,Revendeurs!$A:$B,2,FALSE),"Code inconnu"))</f>
        <v/>
      </c>
      <c r="E73" s="21" t="n"/>
      <c r="F73" s="21" t="n"/>
      <c r="G73" s="22" t="n"/>
      <c r="H73" s="23">
        <f>IF(OR(F73="",G73=""),"",F73*G73)</f>
        <v/>
      </c>
      <c r="I73" s="26" t="n"/>
      <c r="J73" s="26" t="n"/>
      <c r="K73" s="25">
        <f>IF(B73="","",IF(J73&lt;&gt;"","Livrée",IF(I73="","À planifier",IF(Paramètres!$B$4&gt;I73+Paramètres!$B$8,"En retard","En cours"))))</f>
        <v/>
      </c>
      <c r="L73" s="25">
        <f>IF(K73="En retard",Paramètres!$B$4-I73,"")</f>
        <v/>
      </c>
      <c r="M73" s="27">
        <f>IF(OR(B73="",J73=""),"",J73+IFERROR(IF(VLOOKUP(C73,Revendeurs!$A:$G,7,FALSE)="",Paramètres!$B$9,VLOOKUP(C73,Revendeurs!$A:$G,7,FALSE)),Paramètres!$B$9))</f>
        <v/>
      </c>
      <c r="N73" s="22" t="n"/>
      <c r="O73" s="23">
        <f>IF(H73="","",H73-N73)</f>
        <v/>
      </c>
      <c r="P73" s="25">
        <f>IF(OR(M73="",O73=""),"",IF(O73&lt;=0,0,MAX(0,Paramètres!$B$4-M73)))</f>
        <v/>
      </c>
      <c r="Q73" s="25">
        <f>IF(H73="","",IF(O73&lt;=0,"Payée",IF(M73="","Pas encore livrée",IF(P73=0,"Non échue",IF(P73&gt;=Paramètres!$B$7,"Relance 3 : appel direction",IF(P73&gt;=Paramètres!$B$6,"Relance 2",IF(P73&gt;=Paramètres!$B$5,"Relance 1","Échue, relance à venir")))))))</f>
        <v/>
      </c>
      <c r="R73" s="25">
        <f>IF(B73="","",IF(U73=Paramètres!$B$4,"Relancé aujourd'hui",TRIM(IF(LEFT(Q73,7)="Relance",Q73&amp;" ","")&amp;IF(K73="En retard","· Prévenir du retard de livraison",""))))</f>
        <v/>
      </c>
      <c r="S73" s="28">
        <f>IF(B73="","",IF(LEFT(Q73,9)="Relance 3","Bonjour "&amp;D73&amp;", nous revenons vers vous au sujet de la commande "&amp;A73&amp;" du "&amp;TEXT(B73,"dd/mm/yyyy")&amp;" : "&amp;SUBSTITUTE(TEXT(O73,"#,##0"),","," ")&amp;" FCFA restent à régler depuis le "&amp;TEXT(M73,"dd/mm/yyyy")&amp;". Notre responsable souhaite vous appeler pour convenir ensemble d'une solution. Quel moment vous arrange cette semaine ? "&amp;Paramètres!$B$11&amp;", "&amp;Paramètres!$B$12,IF(LEFT(Q73,7)="Relance","Bonjour "&amp;D73&amp;", sauf erreur de notre part, la commande "&amp;A73&amp;" du "&amp;TEXT(B73,"dd/mm/yyyy")&amp;" ("&amp;E73&amp;") présente un reste à payer de "&amp;SUBSTITUTE(TEXT(O73,"#,##0"),","," ")&amp;" FCFA, échu depuis le "&amp;TEXT(M73,"dd/mm/yyyy")&amp;". Pouvez-vous nous indiquer la date de règlement prévue ? Si le paiement est déjà parti, merci de nous envoyer la preuve et ne tenez pas compte de ce message. "&amp;Paramètres!$B$11&amp;", "&amp;Paramètres!$B$12,IF(K73="En retard","Bonjour "&amp;D73&amp;", votre commande "&amp;A73&amp;" ("&amp;E73&amp;", "&amp;F73&amp;" pièces) prévue le "&amp;TEXT(I73,"dd/mm/yyyy")&amp;" a pris du retard. Nous vous confirmons la nouvelle date de livraison dans la journée. Toutes nos excuses pour ce contretemps. "&amp;Paramètres!$B$11&amp;", "&amp;Paramètres!$B$12,""))))</f>
        <v/>
      </c>
      <c r="T73" s="21" t="n"/>
      <c r="U73" s="26" t="n"/>
      <c r="V73" s="21" t="n"/>
    </row>
    <row r="74">
      <c r="A74" s="21" t="n"/>
      <c r="B74" s="26" t="n"/>
      <c r="C74" s="21" t="n"/>
      <c r="D74" s="25">
        <f>IF(C74="","",IFERROR(VLOOKUP(C74,Revendeurs!$A:$B,2,FALSE),"Code inconnu"))</f>
        <v/>
      </c>
      <c r="E74" s="21" t="n"/>
      <c r="F74" s="21" t="n"/>
      <c r="G74" s="22" t="n"/>
      <c r="H74" s="23">
        <f>IF(OR(F74="",G74=""),"",F74*G74)</f>
        <v/>
      </c>
      <c r="I74" s="26" t="n"/>
      <c r="J74" s="26" t="n"/>
      <c r="K74" s="25">
        <f>IF(B74="","",IF(J74&lt;&gt;"","Livrée",IF(I74="","À planifier",IF(Paramètres!$B$4&gt;I74+Paramètres!$B$8,"En retard","En cours"))))</f>
        <v/>
      </c>
      <c r="L74" s="25">
        <f>IF(K74="En retard",Paramètres!$B$4-I74,"")</f>
        <v/>
      </c>
      <c r="M74" s="27">
        <f>IF(OR(B74="",J74=""),"",J74+IFERROR(IF(VLOOKUP(C74,Revendeurs!$A:$G,7,FALSE)="",Paramètres!$B$9,VLOOKUP(C74,Revendeurs!$A:$G,7,FALSE)),Paramètres!$B$9))</f>
        <v/>
      </c>
      <c r="N74" s="22" t="n"/>
      <c r="O74" s="23">
        <f>IF(H74="","",H74-N74)</f>
        <v/>
      </c>
      <c r="P74" s="25">
        <f>IF(OR(M74="",O74=""),"",IF(O74&lt;=0,0,MAX(0,Paramètres!$B$4-M74)))</f>
        <v/>
      </c>
      <c r="Q74" s="25">
        <f>IF(H74="","",IF(O74&lt;=0,"Payée",IF(M74="","Pas encore livrée",IF(P74=0,"Non échue",IF(P74&gt;=Paramètres!$B$7,"Relance 3 : appel direction",IF(P74&gt;=Paramètres!$B$6,"Relance 2",IF(P74&gt;=Paramètres!$B$5,"Relance 1","Échue, relance à venir")))))))</f>
        <v/>
      </c>
      <c r="R74" s="25">
        <f>IF(B74="","",IF(U74=Paramètres!$B$4,"Relancé aujourd'hui",TRIM(IF(LEFT(Q74,7)="Relance",Q74&amp;" ","")&amp;IF(K74="En retard","· Prévenir du retard de livraison",""))))</f>
        <v/>
      </c>
      <c r="S74" s="28">
        <f>IF(B74="","",IF(LEFT(Q74,9)="Relance 3","Bonjour "&amp;D74&amp;", nous revenons vers vous au sujet de la commande "&amp;A74&amp;" du "&amp;TEXT(B74,"dd/mm/yyyy")&amp;" : "&amp;SUBSTITUTE(TEXT(O74,"#,##0"),","," ")&amp;" FCFA restent à régler depuis le "&amp;TEXT(M74,"dd/mm/yyyy")&amp;". Notre responsable souhaite vous appeler pour convenir ensemble d'une solution. Quel moment vous arrange cette semaine ? "&amp;Paramètres!$B$11&amp;", "&amp;Paramètres!$B$12,IF(LEFT(Q74,7)="Relance","Bonjour "&amp;D74&amp;", sauf erreur de notre part, la commande "&amp;A74&amp;" du "&amp;TEXT(B74,"dd/mm/yyyy")&amp;" ("&amp;E74&amp;") présente un reste à payer de "&amp;SUBSTITUTE(TEXT(O74,"#,##0"),","," ")&amp;" FCFA, échu depuis le "&amp;TEXT(M74,"dd/mm/yyyy")&amp;". Pouvez-vous nous indiquer la date de règlement prévue ? Si le paiement est déjà parti, merci de nous envoyer la preuve et ne tenez pas compte de ce message. "&amp;Paramètres!$B$11&amp;", "&amp;Paramètres!$B$12,IF(K74="En retard","Bonjour "&amp;D74&amp;", votre commande "&amp;A74&amp;" ("&amp;E74&amp;", "&amp;F74&amp;" pièces) prévue le "&amp;TEXT(I74,"dd/mm/yyyy")&amp;" a pris du retard. Nous vous confirmons la nouvelle date de livraison dans la journée. Toutes nos excuses pour ce contretemps. "&amp;Paramètres!$B$11&amp;", "&amp;Paramètres!$B$12,""))))</f>
        <v/>
      </c>
      <c r="T74" s="21" t="n"/>
      <c r="U74" s="26" t="n"/>
      <c r="V74" s="21" t="n"/>
    </row>
    <row r="75">
      <c r="A75" s="21" t="n"/>
      <c r="B75" s="26" t="n"/>
      <c r="C75" s="21" t="n"/>
      <c r="D75" s="25">
        <f>IF(C75="","",IFERROR(VLOOKUP(C75,Revendeurs!$A:$B,2,FALSE),"Code inconnu"))</f>
        <v/>
      </c>
      <c r="E75" s="21" t="n"/>
      <c r="F75" s="21" t="n"/>
      <c r="G75" s="22" t="n"/>
      <c r="H75" s="23">
        <f>IF(OR(F75="",G75=""),"",F75*G75)</f>
        <v/>
      </c>
      <c r="I75" s="26" t="n"/>
      <c r="J75" s="26" t="n"/>
      <c r="K75" s="25">
        <f>IF(B75="","",IF(J75&lt;&gt;"","Livrée",IF(I75="","À planifier",IF(Paramètres!$B$4&gt;I75+Paramètres!$B$8,"En retard","En cours"))))</f>
        <v/>
      </c>
      <c r="L75" s="25">
        <f>IF(K75="En retard",Paramètres!$B$4-I75,"")</f>
        <v/>
      </c>
      <c r="M75" s="27">
        <f>IF(OR(B75="",J75=""),"",J75+IFERROR(IF(VLOOKUP(C75,Revendeurs!$A:$G,7,FALSE)="",Paramètres!$B$9,VLOOKUP(C75,Revendeurs!$A:$G,7,FALSE)),Paramètres!$B$9))</f>
        <v/>
      </c>
      <c r="N75" s="22" t="n"/>
      <c r="O75" s="23">
        <f>IF(H75="","",H75-N75)</f>
        <v/>
      </c>
      <c r="P75" s="25">
        <f>IF(OR(M75="",O75=""),"",IF(O75&lt;=0,0,MAX(0,Paramètres!$B$4-M75)))</f>
        <v/>
      </c>
      <c r="Q75" s="25">
        <f>IF(H75="","",IF(O75&lt;=0,"Payée",IF(M75="","Pas encore livrée",IF(P75=0,"Non échue",IF(P75&gt;=Paramètres!$B$7,"Relance 3 : appel direction",IF(P75&gt;=Paramètres!$B$6,"Relance 2",IF(P75&gt;=Paramètres!$B$5,"Relance 1","Échue, relance à venir")))))))</f>
        <v/>
      </c>
      <c r="R75" s="25">
        <f>IF(B75="","",IF(U75=Paramètres!$B$4,"Relancé aujourd'hui",TRIM(IF(LEFT(Q75,7)="Relance",Q75&amp;" ","")&amp;IF(K75="En retard","· Prévenir du retard de livraison",""))))</f>
        <v/>
      </c>
      <c r="S75" s="28">
        <f>IF(B75="","",IF(LEFT(Q75,9)="Relance 3","Bonjour "&amp;D75&amp;", nous revenons vers vous au sujet de la commande "&amp;A75&amp;" du "&amp;TEXT(B75,"dd/mm/yyyy")&amp;" : "&amp;SUBSTITUTE(TEXT(O75,"#,##0"),","," ")&amp;" FCFA restent à régler depuis le "&amp;TEXT(M75,"dd/mm/yyyy")&amp;". Notre responsable souhaite vous appeler pour convenir ensemble d'une solution. Quel moment vous arrange cette semaine ? "&amp;Paramètres!$B$11&amp;", "&amp;Paramètres!$B$12,IF(LEFT(Q75,7)="Relance","Bonjour "&amp;D75&amp;", sauf erreur de notre part, la commande "&amp;A75&amp;" du "&amp;TEXT(B75,"dd/mm/yyyy")&amp;" ("&amp;E75&amp;") présente un reste à payer de "&amp;SUBSTITUTE(TEXT(O75,"#,##0"),","," ")&amp;" FCFA, échu depuis le "&amp;TEXT(M75,"dd/mm/yyyy")&amp;". Pouvez-vous nous indiquer la date de règlement prévue ? Si le paiement est déjà parti, merci de nous envoyer la preuve et ne tenez pas compte de ce message. "&amp;Paramètres!$B$11&amp;", "&amp;Paramètres!$B$12,IF(K75="En retard","Bonjour "&amp;D75&amp;", votre commande "&amp;A75&amp;" ("&amp;E75&amp;", "&amp;F75&amp;" pièces) prévue le "&amp;TEXT(I75,"dd/mm/yyyy")&amp;" a pris du retard. Nous vous confirmons la nouvelle date de livraison dans la journée. Toutes nos excuses pour ce contretemps. "&amp;Paramètres!$B$11&amp;", "&amp;Paramètres!$B$12,""))))</f>
        <v/>
      </c>
      <c r="T75" s="21" t="n"/>
      <c r="U75" s="26" t="n"/>
      <c r="V75" s="21" t="n"/>
    </row>
    <row r="76">
      <c r="A76" s="21" t="n"/>
      <c r="B76" s="26" t="n"/>
      <c r="C76" s="21" t="n"/>
      <c r="D76" s="25">
        <f>IF(C76="","",IFERROR(VLOOKUP(C76,Revendeurs!$A:$B,2,FALSE),"Code inconnu"))</f>
        <v/>
      </c>
      <c r="E76" s="21" t="n"/>
      <c r="F76" s="21" t="n"/>
      <c r="G76" s="22" t="n"/>
      <c r="H76" s="23">
        <f>IF(OR(F76="",G76=""),"",F76*G76)</f>
        <v/>
      </c>
      <c r="I76" s="26" t="n"/>
      <c r="J76" s="26" t="n"/>
      <c r="K76" s="25">
        <f>IF(B76="","",IF(J76&lt;&gt;"","Livrée",IF(I76="","À planifier",IF(Paramètres!$B$4&gt;I76+Paramètres!$B$8,"En retard","En cours"))))</f>
        <v/>
      </c>
      <c r="L76" s="25">
        <f>IF(K76="En retard",Paramètres!$B$4-I76,"")</f>
        <v/>
      </c>
      <c r="M76" s="27">
        <f>IF(OR(B76="",J76=""),"",J76+IFERROR(IF(VLOOKUP(C76,Revendeurs!$A:$G,7,FALSE)="",Paramètres!$B$9,VLOOKUP(C76,Revendeurs!$A:$G,7,FALSE)),Paramètres!$B$9))</f>
        <v/>
      </c>
      <c r="N76" s="22" t="n"/>
      <c r="O76" s="23">
        <f>IF(H76="","",H76-N76)</f>
        <v/>
      </c>
      <c r="P76" s="25">
        <f>IF(OR(M76="",O76=""),"",IF(O76&lt;=0,0,MAX(0,Paramètres!$B$4-M76)))</f>
        <v/>
      </c>
      <c r="Q76" s="25">
        <f>IF(H76="","",IF(O76&lt;=0,"Payée",IF(M76="","Pas encore livrée",IF(P76=0,"Non échue",IF(P76&gt;=Paramètres!$B$7,"Relance 3 : appel direction",IF(P76&gt;=Paramètres!$B$6,"Relance 2",IF(P76&gt;=Paramètres!$B$5,"Relance 1","Échue, relance à venir")))))))</f>
        <v/>
      </c>
      <c r="R76" s="25">
        <f>IF(B76="","",IF(U76=Paramètres!$B$4,"Relancé aujourd'hui",TRIM(IF(LEFT(Q76,7)="Relance",Q76&amp;" ","")&amp;IF(K76="En retard","· Prévenir du retard de livraison",""))))</f>
        <v/>
      </c>
      <c r="S76" s="28">
        <f>IF(B76="","",IF(LEFT(Q76,9)="Relance 3","Bonjour "&amp;D76&amp;", nous revenons vers vous au sujet de la commande "&amp;A76&amp;" du "&amp;TEXT(B76,"dd/mm/yyyy")&amp;" : "&amp;SUBSTITUTE(TEXT(O76,"#,##0"),","," ")&amp;" FCFA restent à régler depuis le "&amp;TEXT(M76,"dd/mm/yyyy")&amp;". Notre responsable souhaite vous appeler pour convenir ensemble d'une solution. Quel moment vous arrange cette semaine ? "&amp;Paramètres!$B$11&amp;", "&amp;Paramètres!$B$12,IF(LEFT(Q76,7)="Relance","Bonjour "&amp;D76&amp;", sauf erreur de notre part, la commande "&amp;A76&amp;" du "&amp;TEXT(B76,"dd/mm/yyyy")&amp;" ("&amp;E76&amp;") présente un reste à payer de "&amp;SUBSTITUTE(TEXT(O76,"#,##0"),","," ")&amp;" FCFA, échu depuis le "&amp;TEXT(M76,"dd/mm/yyyy")&amp;". Pouvez-vous nous indiquer la date de règlement prévue ? Si le paiement est déjà parti, merci de nous envoyer la preuve et ne tenez pas compte de ce message. "&amp;Paramètres!$B$11&amp;", "&amp;Paramètres!$B$12,IF(K76="En retard","Bonjour "&amp;D76&amp;", votre commande "&amp;A76&amp;" ("&amp;E76&amp;", "&amp;F76&amp;" pièces) prévue le "&amp;TEXT(I76,"dd/mm/yyyy")&amp;" a pris du retard. Nous vous confirmons la nouvelle date de livraison dans la journée. Toutes nos excuses pour ce contretemps. "&amp;Paramètres!$B$11&amp;", "&amp;Paramètres!$B$12,""))))</f>
        <v/>
      </c>
      <c r="T76" s="21" t="n"/>
      <c r="U76" s="26" t="n"/>
      <c r="V76" s="21" t="n"/>
    </row>
    <row r="77">
      <c r="A77" s="21" t="n"/>
      <c r="B77" s="26" t="n"/>
      <c r="C77" s="21" t="n"/>
      <c r="D77" s="25">
        <f>IF(C77="","",IFERROR(VLOOKUP(C77,Revendeurs!$A:$B,2,FALSE),"Code inconnu"))</f>
        <v/>
      </c>
      <c r="E77" s="21" t="n"/>
      <c r="F77" s="21" t="n"/>
      <c r="G77" s="22" t="n"/>
      <c r="H77" s="23">
        <f>IF(OR(F77="",G77=""),"",F77*G77)</f>
        <v/>
      </c>
      <c r="I77" s="26" t="n"/>
      <c r="J77" s="26" t="n"/>
      <c r="K77" s="25">
        <f>IF(B77="","",IF(J77&lt;&gt;"","Livrée",IF(I77="","À planifier",IF(Paramètres!$B$4&gt;I77+Paramètres!$B$8,"En retard","En cours"))))</f>
        <v/>
      </c>
      <c r="L77" s="25">
        <f>IF(K77="En retard",Paramètres!$B$4-I77,"")</f>
        <v/>
      </c>
      <c r="M77" s="27">
        <f>IF(OR(B77="",J77=""),"",J77+IFERROR(IF(VLOOKUP(C77,Revendeurs!$A:$G,7,FALSE)="",Paramètres!$B$9,VLOOKUP(C77,Revendeurs!$A:$G,7,FALSE)),Paramètres!$B$9))</f>
        <v/>
      </c>
      <c r="N77" s="22" t="n"/>
      <c r="O77" s="23">
        <f>IF(H77="","",H77-N77)</f>
        <v/>
      </c>
      <c r="P77" s="25">
        <f>IF(OR(M77="",O77=""),"",IF(O77&lt;=0,0,MAX(0,Paramètres!$B$4-M77)))</f>
        <v/>
      </c>
      <c r="Q77" s="25">
        <f>IF(H77="","",IF(O77&lt;=0,"Payée",IF(M77="","Pas encore livrée",IF(P77=0,"Non échue",IF(P77&gt;=Paramètres!$B$7,"Relance 3 : appel direction",IF(P77&gt;=Paramètres!$B$6,"Relance 2",IF(P77&gt;=Paramètres!$B$5,"Relance 1","Échue, relance à venir")))))))</f>
        <v/>
      </c>
      <c r="R77" s="25">
        <f>IF(B77="","",IF(U77=Paramètres!$B$4,"Relancé aujourd'hui",TRIM(IF(LEFT(Q77,7)="Relance",Q77&amp;" ","")&amp;IF(K77="En retard","· Prévenir du retard de livraison",""))))</f>
        <v/>
      </c>
      <c r="S77" s="28">
        <f>IF(B77="","",IF(LEFT(Q77,9)="Relance 3","Bonjour "&amp;D77&amp;", nous revenons vers vous au sujet de la commande "&amp;A77&amp;" du "&amp;TEXT(B77,"dd/mm/yyyy")&amp;" : "&amp;SUBSTITUTE(TEXT(O77,"#,##0"),","," ")&amp;" FCFA restent à régler depuis le "&amp;TEXT(M77,"dd/mm/yyyy")&amp;". Notre responsable souhaite vous appeler pour convenir ensemble d'une solution. Quel moment vous arrange cette semaine ? "&amp;Paramètres!$B$11&amp;", "&amp;Paramètres!$B$12,IF(LEFT(Q77,7)="Relance","Bonjour "&amp;D77&amp;", sauf erreur de notre part, la commande "&amp;A77&amp;" du "&amp;TEXT(B77,"dd/mm/yyyy")&amp;" ("&amp;E77&amp;") présente un reste à payer de "&amp;SUBSTITUTE(TEXT(O77,"#,##0"),","," ")&amp;" FCFA, échu depuis le "&amp;TEXT(M77,"dd/mm/yyyy")&amp;". Pouvez-vous nous indiquer la date de règlement prévue ? Si le paiement est déjà parti, merci de nous envoyer la preuve et ne tenez pas compte de ce message. "&amp;Paramètres!$B$11&amp;", "&amp;Paramètres!$B$12,IF(K77="En retard","Bonjour "&amp;D77&amp;", votre commande "&amp;A77&amp;" ("&amp;E77&amp;", "&amp;F77&amp;" pièces) prévue le "&amp;TEXT(I77,"dd/mm/yyyy")&amp;" a pris du retard. Nous vous confirmons la nouvelle date de livraison dans la journée. Toutes nos excuses pour ce contretemps. "&amp;Paramètres!$B$11&amp;", "&amp;Paramètres!$B$12,""))))</f>
        <v/>
      </c>
      <c r="T77" s="21" t="n"/>
      <c r="U77" s="26" t="n"/>
      <c r="V77" s="21" t="n"/>
    </row>
    <row r="78">
      <c r="A78" s="21" t="n"/>
      <c r="B78" s="26" t="n"/>
      <c r="C78" s="21" t="n"/>
      <c r="D78" s="25">
        <f>IF(C78="","",IFERROR(VLOOKUP(C78,Revendeurs!$A:$B,2,FALSE),"Code inconnu"))</f>
        <v/>
      </c>
      <c r="E78" s="21" t="n"/>
      <c r="F78" s="21" t="n"/>
      <c r="G78" s="22" t="n"/>
      <c r="H78" s="23">
        <f>IF(OR(F78="",G78=""),"",F78*G78)</f>
        <v/>
      </c>
      <c r="I78" s="26" t="n"/>
      <c r="J78" s="26" t="n"/>
      <c r="K78" s="25">
        <f>IF(B78="","",IF(J78&lt;&gt;"","Livrée",IF(I78="","À planifier",IF(Paramètres!$B$4&gt;I78+Paramètres!$B$8,"En retard","En cours"))))</f>
        <v/>
      </c>
      <c r="L78" s="25">
        <f>IF(K78="En retard",Paramètres!$B$4-I78,"")</f>
        <v/>
      </c>
      <c r="M78" s="27">
        <f>IF(OR(B78="",J78=""),"",J78+IFERROR(IF(VLOOKUP(C78,Revendeurs!$A:$G,7,FALSE)="",Paramètres!$B$9,VLOOKUP(C78,Revendeurs!$A:$G,7,FALSE)),Paramètres!$B$9))</f>
        <v/>
      </c>
      <c r="N78" s="22" t="n"/>
      <c r="O78" s="23">
        <f>IF(H78="","",H78-N78)</f>
        <v/>
      </c>
      <c r="P78" s="25">
        <f>IF(OR(M78="",O78=""),"",IF(O78&lt;=0,0,MAX(0,Paramètres!$B$4-M78)))</f>
        <v/>
      </c>
      <c r="Q78" s="25">
        <f>IF(H78="","",IF(O78&lt;=0,"Payée",IF(M78="","Pas encore livrée",IF(P78=0,"Non échue",IF(P78&gt;=Paramètres!$B$7,"Relance 3 : appel direction",IF(P78&gt;=Paramètres!$B$6,"Relance 2",IF(P78&gt;=Paramètres!$B$5,"Relance 1","Échue, relance à venir")))))))</f>
        <v/>
      </c>
      <c r="R78" s="25">
        <f>IF(B78="","",IF(U78=Paramètres!$B$4,"Relancé aujourd'hui",TRIM(IF(LEFT(Q78,7)="Relance",Q78&amp;" ","")&amp;IF(K78="En retard","· Prévenir du retard de livraison",""))))</f>
        <v/>
      </c>
      <c r="S78" s="28">
        <f>IF(B78="","",IF(LEFT(Q78,9)="Relance 3","Bonjour "&amp;D78&amp;", nous revenons vers vous au sujet de la commande "&amp;A78&amp;" du "&amp;TEXT(B78,"dd/mm/yyyy")&amp;" : "&amp;SUBSTITUTE(TEXT(O78,"#,##0"),","," ")&amp;" FCFA restent à régler depuis le "&amp;TEXT(M78,"dd/mm/yyyy")&amp;". Notre responsable souhaite vous appeler pour convenir ensemble d'une solution. Quel moment vous arrange cette semaine ? "&amp;Paramètres!$B$11&amp;", "&amp;Paramètres!$B$12,IF(LEFT(Q78,7)="Relance","Bonjour "&amp;D78&amp;", sauf erreur de notre part, la commande "&amp;A78&amp;" du "&amp;TEXT(B78,"dd/mm/yyyy")&amp;" ("&amp;E78&amp;") présente un reste à payer de "&amp;SUBSTITUTE(TEXT(O78,"#,##0"),","," ")&amp;" FCFA, échu depuis le "&amp;TEXT(M78,"dd/mm/yyyy")&amp;". Pouvez-vous nous indiquer la date de règlement prévue ? Si le paiement est déjà parti, merci de nous envoyer la preuve et ne tenez pas compte de ce message. "&amp;Paramètres!$B$11&amp;", "&amp;Paramètres!$B$12,IF(K78="En retard","Bonjour "&amp;D78&amp;", votre commande "&amp;A78&amp;" ("&amp;E78&amp;", "&amp;F78&amp;" pièces) prévue le "&amp;TEXT(I78,"dd/mm/yyyy")&amp;" a pris du retard. Nous vous confirmons la nouvelle date de livraison dans la journée. Toutes nos excuses pour ce contretemps. "&amp;Paramètres!$B$11&amp;", "&amp;Paramètres!$B$12,""))))</f>
        <v/>
      </c>
      <c r="T78" s="21" t="n"/>
      <c r="U78" s="26" t="n"/>
      <c r="V78" s="21" t="n"/>
    </row>
    <row r="79">
      <c r="A79" s="21" t="n"/>
      <c r="B79" s="26" t="n"/>
      <c r="C79" s="21" t="n"/>
      <c r="D79" s="25">
        <f>IF(C79="","",IFERROR(VLOOKUP(C79,Revendeurs!$A:$B,2,FALSE),"Code inconnu"))</f>
        <v/>
      </c>
      <c r="E79" s="21" t="n"/>
      <c r="F79" s="21" t="n"/>
      <c r="G79" s="22" t="n"/>
      <c r="H79" s="23">
        <f>IF(OR(F79="",G79=""),"",F79*G79)</f>
        <v/>
      </c>
      <c r="I79" s="26" t="n"/>
      <c r="J79" s="26" t="n"/>
      <c r="K79" s="25">
        <f>IF(B79="","",IF(J79&lt;&gt;"","Livrée",IF(I79="","À planifier",IF(Paramètres!$B$4&gt;I79+Paramètres!$B$8,"En retard","En cours"))))</f>
        <v/>
      </c>
      <c r="L79" s="25">
        <f>IF(K79="En retard",Paramètres!$B$4-I79,"")</f>
        <v/>
      </c>
      <c r="M79" s="27">
        <f>IF(OR(B79="",J79=""),"",J79+IFERROR(IF(VLOOKUP(C79,Revendeurs!$A:$G,7,FALSE)="",Paramètres!$B$9,VLOOKUP(C79,Revendeurs!$A:$G,7,FALSE)),Paramètres!$B$9))</f>
        <v/>
      </c>
      <c r="N79" s="22" t="n"/>
      <c r="O79" s="23">
        <f>IF(H79="","",H79-N79)</f>
        <v/>
      </c>
      <c r="P79" s="25">
        <f>IF(OR(M79="",O79=""),"",IF(O79&lt;=0,0,MAX(0,Paramètres!$B$4-M79)))</f>
        <v/>
      </c>
      <c r="Q79" s="25">
        <f>IF(H79="","",IF(O79&lt;=0,"Payée",IF(M79="","Pas encore livrée",IF(P79=0,"Non échue",IF(P79&gt;=Paramètres!$B$7,"Relance 3 : appel direction",IF(P79&gt;=Paramètres!$B$6,"Relance 2",IF(P79&gt;=Paramètres!$B$5,"Relance 1","Échue, relance à venir")))))))</f>
        <v/>
      </c>
      <c r="R79" s="25">
        <f>IF(B79="","",IF(U79=Paramètres!$B$4,"Relancé aujourd'hui",TRIM(IF(LEFT(Q79,7)="Relance",Q79&amp;" ","")&amp;IF(K79="En retard","· Prévenir du retard de livraison",""))))</f>
        <v/>
      </c>
      <c r="S79" s="28">
        <f>IF(B79="","",IF(LEFT(Q79,9)="Relance 3","Bonjour "&amp;D79&amp;", nous revenons vers vous au sujet de la commande "&amp;A79&amp;" du "&amp;TEXT(B79,"dd/mm/yyyy")&amp;" : "&amp;SUBSTITUTE(TEXT(O79,"#,##0"),","," ")&amp;" FCFA restent à régler depuis le "&amp;TEXT(M79,"dd/mm/yyyy")&amp;". Notre responsable souhaite vous appeler pour convenir ensemble d'une solution. Quel moment vous arrange cette semaine ? "&amp;Paramètres!$B$11&amp;", "&amp;Paramètres!$B$12,IF(LEFT(Q79,7)="Relance","Bonjour "&amp;D79&amp;", sauf erreur de notre part, la commande "&amp;A79&amp;" du "&amp;TEXT(B79,"dd/mm/yyyy")&amp;" ("&amp;E79&amp;") présente un reste à payer de "&amp;SUBSTITUTE(TEXT(O79,"#,##0"),","," ")&amp;" FCFA, échu depuis le "&amp;TEXT(M79,"dd/mm/yyyy")&amp;". Pouvez-vous nous indiquer la date de règlement prévue ? Si le paiement est déjà parti, merci de nous envoyer la preuve et ne tenez pas compte de ce message. "&amp;Paramètres!$B$11&amp;", "&amp;Paramètres!$B$12,IF(K79="En retard","Bonjour "&amp;D79&amp;", votre commande "&amp;A79&amp;" ("&amp;E79&amp;", "&amp;F79&amp;" pièces) prévue le "&amp;TEXT(I79,"dd/mm/yyyy")&amp;" a pris du retard. Nous vous confirmons la nouvelle date de livraison dans la journée. Toutes nos excuses pour ce contretemps. "&amp;Paramètres!$B$11&amp;", "&amp;Paramètres!$B$12,""))))</f>
        <v/>
      </c>
      <c r="T79" s="21" t="n"/>
      <c r="U79" s="26" t="n"/>
      <c r="V79" s="21" t="n"/>
    </row>
    <row r="80">
      <c r="A80" s="21" t="n"/>
      <c r="B80" s="26" t="n"/>
      <c r="C80" s="21" t="n"/>
      <c r="D80" s="25">
        <f>IF(C80="","",IFERROR(VLOOKUP(C80,Revendeurs!$A:$B,2,FALSE),"Code inconnu"))</f>
        <v/>
      </c>
      <c r="E80" s="21" t="n"/>
      <c r="F80" s="21" t="n"/>
      <c r="G80" s="22" t="n"/>
      <c r="H80" s="23">
        <f>IF(OR(F80="",G80=""),"",F80*G80)</f>
        <v/>
      </c>
      <c r="I80" s="26" t="n"/>
      <c r="J80" s="26" t="n"/>
      <c r="K80" s="25">
        <f>IF(B80="","",IF(J80&lt;&gt;"","Livrée",IF(I80="","À planifier",IF(Paramètres!$B$4&gt;I80+Paramètres!$B$8,"En retard","En cours"))))</f>
        <v/>
      </c>
      <c r="L80" s="25">
        <f>IF(K80="En retard",Paramètres!$B$4-I80,"")</f>
        <v/>
      </c>
      <c r="M80" s="27">
        <f>IF(OR(B80="",J80=""),"",J80+IFERROR(IF(VLOOKUP(C80,Revendeurs!$A:$G,7,FALSE)="",Paramètres!$B$9,VLOOKUP(C80,Revendeurs!$A:$G,7,FALSE)),Paramètres!$B$9))</f>
        <v/>
      </c>
      <c r="N80" s="22" t="n"/>
      <c r="O80" s="23">
        <f>IF(H80="","",H80-N80)</f>
        <v/>
      </c>
      <c r="P80" s="25">
        <f>IF(OR(M80="",O80=""),"",IF(O80&lt;=0,0,MAX(0,Paramètres!$B$4-M80)))</f>
        <v/>
      </c>
      <c r="Q80" s="25">
        <f>IF(H80="","",IF(O80&lt;=0,"Payée",IF(M80="","Pas encore livrée",IF(P80=0,"Non échue",IF(P80&gt;=Paramètres!$B$7,"Relance 3 : appel direction",IF(P80&gt;=Paramètres!$B$6,"Relance 2",IF(P80&gt;=Paramètres!$B$5,"Relance 1","Échue, relance à venir")))))))</f>
        <v/>
      </c>
      <c r="R80" s="25">
        <f>IF(B80="","",IF(U80=Paramètres!$B$4,"Relancé aujourd'hui",TRIM(IF(LEFT(Q80,7)="Relance",Q80&amp;" ","")&amp;IF(K80="En retard","· Prévenir du retard de livraison",""))))</f>
        <v/>
      </c>
      <c r="S80" s="28">
        <f>IF(B80="","",IF(LEFT(Q80,9)="Relance 3","Bonjour "&amp;D80&amp;", nous revenons vers vous au sujet de la commande "&amp;A80&amp;" du "&amp;TEXT(B80,"dd/mm/yyyy")&amp;" : "&amp;SUBSTITUTE(TEXT(O80,"#,##0"),","," ")&amp;" FCFA restent à régler depuis le "&amp;TEXT(M80,"dd/mm/yyyy")&amp;". Notre responsable souhaite vous appeler pour convenir ensemble d'une solution. Quel moment vous arrange cette semaine ? "&amp;Paramètres!$B$11&amp;", "&amp;Paramètres!$B$12,IF(LEFT(Q80,7)="Relance","Bonjour "&amp;D80&amp;", sauf erreur de notre part, la commande "&amp;A80&amp;" du "&amp;TEXT(B80,"dd/mm/yyyy")&amp;" ("&amp;E80&amp;") présente un reste à payer de "&amp;SUBSTITUTE(TEXT(O80,"#,##0"),","," ")&amp;" FCFA, échu depuis le "&amp;TEXT(M80,"dd/mm/yyyy")&amp;". Pouvez-vous nous indiquer la date de règlement prévue ? Si le paiement est déjà parti, merci de nous envoyer la preuve et ne tenez pas compte de ce message. "&amp;Paramètres!$B$11&amp;", "&amp;Paramètres!$B$12,IF(K80="En retard","Bonjour "&amp;D80&amp;", votre commande "&amp;A80&amp;" ("&amp;E80&amp;", "&amp;F80&amp;" pièces) prévue le "&amp;TEXT(I80,"dd/mm/yyyy")&amp;" a pris du retard. Nous vous confirmons la nouvelle date de livraison dans la journée. Toutes nos excuses pour ce contretemps. "&amp;Paramètres!$B$11&amp;", "&amp;Paramètres!$B$12,""))))</f>
        <v/>
      </c>
      <c r="T80" s="21" t="n"/>
      <c r="U80" s="26" t="n"/>
      <c r="V80" s="21" t="n"/>
    </row>
    <row r="81">
      <c r="A81" s="21" t="n"/>
      <c r="B81" s="26" t="n"/>
      <c r="C81" s="21" t="n"/>
      <c r="D81" s="25">
        <f>IF(C81="","",IFERROR(VLOOKUP(C81,Revendeurs!$A:$B,2,FALSE),"Code inconnu"))</f>
        <v/>
      </c>
      <c r="E81" s="21" t="n"/>
      <c r="F81" s="21" t="n"/>
      <c r="G81" s="22" t="n"/>
      <c r="H81" s="23">
        <f>IF(OR(F81="",G81=""),"",F81*G81)</f>
        <v/>
      </c>
      <c r="I81" s="26" t="n"/>
      <c r="J81" s="26" t="n"/>
      <c r="K81" s="25">
        <f>IF(B81="","",IF(J81&lt;&gt;"","Livrée",IF(I81="","À planifier",IF(Paramètres!$B$4&gt;I81+Paramètres!$B$8,"En retard","En cours"))))</f>
        <v/>
      </c>
      <c r="L81" s="25">
        <f>IF(K81="En retard",Paramètres!$B$4-I81,"")</f>
        <v/>
      </c>
      <c r="M81" s="27">
        <f>IF(OR(B81="",J81=""),"",J81+IFERROR(IF(VLOOKUP(C81,Revendeurs!$A:$G,7,FALSE)="",Paramètres!$B$9,VLOOKUP(C81,Revendeurs!$A:$G,7,FALSE)),Paramètres!$B$9))</f>
        <v/>
      </c>
      <c r="N81" s="22" t="n"/>
      <c r="O81" s="23">
        <f>IF(H81="","",H81-N81)</f>
        <v/>
      </c>
      <c r="P81" s="25">
        <f>IF(OR(M81="",O81=""),"",IF(O81&lt;=0,0,MAX(0,Paramètres!$B$4-M81)))</f>
        <v/>
      </c>
      <c r="Q81" s="25">
        <f>IF(H81="","",IF(O81&lt;=0,"Payée",IF(M81="","Pas encore livrée",IF(P81=0,"Non échue",IF(P81&gt;=Paramètres!$B$7,"Relance 3 : appel direction",IF(P81&gt;=Paramètres!$B$6,"Relance 2",IF(P81&gt;=Paramètres!$B$5,"Relance 1","Échue, relance à venir")))))))</f>
        <v/>
      </c>
      <c r="R81" s="25">
        <f>IF(B81="","",IF(U81=Paramètres!$B$4,"Relancé aujourd'hui",TRIM(IF(LEFT(Q81,7)="Relance",Q81&amp;" ","")&amp;IF(K81="En retard","· Prévenir du retard de livraison",""))))</f>
        <v/>
      </c>
      <c r="S81" s="28">
        <f>IF(B81="","",IF(LEFT(Q81,9)="Relance 3","Bonjour "&amp;D81&amp;", nous revenons vers vous au sujet de la commande "&amp;A81&amp;" du "&amp;TEXT(B81,"dd/mm/yyyy")&amp;" : "&amp;SUBSTITUTE(TEXT(O81,"#,##0"),","," ")&amp;" FCFA restent à régler depuis le "&amp;TEXT(M81,"dd/mm/yyyy")&amp;". Notre responsable souhaite vous appeler pour convenir ensemble d'une solution. Quel moment vous arrange cette semaine ? "&amp;Paramètres!$B$11&amp;", "&amp;Paramètres!$B$12,IF(LEFT(Q81,7)="Relance","Bonjour "&amp;D81&amp;", sauf erreur de notre part, la commande "&amp;A81&amp;" du "&amp;TEXT(B81,"dd/mm/yyyy")&amp;" ("&amp;E81&amp;") présente un reste à payer de "&amp;SUBSTITUTE(TEXT(O81,"#,##0"),","," ")&amp;" FCFA, échu depuis le "&amp;TEXT(M81,"dd/mm/yyyy")&amp;". Pouvez-vous nous indiquer la date de règlement prévue ? Si le paiement est déjà parti, merci de nous envoyer la preuve et ne tenez pas compte de ce message. "&amp;Paramètres!$B$11&amp;", "&amp;Paramètres!$B$12,IF(K81="En retard","Bonjour "&amp;D81&amp;", votre commande "&amp;A81&amp;" ("&amp;E81&amp;", "&amp;F81&amp;" pièces) prévue le "&amp;TEXT(I81,"dd/mm/yyyy")&amp;" a pris du retard. Nous vous confirmons la nouvelle date de livraison dans la journée. Toutes nos excuses pour ce contretemps. "&amp;Paramètres!$B$11&amp;", "&amp;Paramètres!$B$12,""))))</f>
        <v/>
      </c>
      <c r="T81" s="21" t="n"/>
      <c r="U81" s="26" t="n"/>
      <c r="V81" s="21" t="n"/>
    </row>
    <row r="82">
      <c r="A82" s="21" t="n"/>
      <c r="B82" s="26" t="n"/>
      <c r="C82" s="21" t="n"/>
      <c r="D82" s="25">
        <f>IF(C82="","",IFERROR(VLOOKUP(C82,Revendeurs!$A:$B,2,FALSE),"Code inconnu"))</f>
        <v/>
      </c>
      <c r="E82" s="21" t="n"/>
      <c r="F82" s="21" t="n"/>
      <c r="G82" s="22" t="n"/>
      <c r="H82" s="23">
        <f>IF(OR(F82="",G82=""),"",F82*G82)</f>
        <v/>
      </c>
      <c r="I82" s="26" t="n"/>
      <c r="J82" s="26" t="n"/>
      <c r="K82" s="25">
        <f>IF(B82="","",IF(J82&lt;&gt;"","Livrée",IF(I82="","À planifier",IF(Paramètres!$B$4&gt;I82+Paramètres!$B$8,"En retard","En cours"))))</f>
        <v/>
      </c>
      <c r="L82" s="25">
        <f>IF(K82="En retard",Paramètres!$B$4-I82,"")</f>
        <v/>
      </c>
      <c r="M82" s="27">
        <f>IF(OR(B82="",J82=""),"",J82+IFERROR(IF(VLOOKUP(C82,Revendeurs!$A:$G,7,FALSE)="",Paramètres!$B$9,VLOOKUP(C82,Revendeurs!$A:$G,7,FALSE)),Paramètres!$B$9))</f>
        <v/>
      </c>
      <c r="N82" s="22" t="n"/>
      <c r="O82" s="23">
        <f>IF(H82="","",H82-N82)</f>
        <v/>
      </c>
      <c r="P82" s="25">
        <f>IF(OR(M82="",O82=""),"",IF(O82&lt;=0,0,MAX(0,Paramètres!$B$4-M82)))</f>
        <v/>
      </c>
      <c r="Q82" s="25">
        <f>IF(H82="","",IF(O82&lt;=0,"Payée",IF(M82="","Pas encore livrée",IF(P82=0,"Non échue",IF(P82&gt;=Paramètres!$B$7,"Relance 3 : appel direction",IF(P82&gt;=Paramètres!$B$6,"Relance 2",IF(P82&gt;=Paramètres!$B$5,"Relance 1","Échue, relance à venir")))))))</f>
        <v/>
      </c>
      <c r="R82" s="25">
        <f>IF(B82="","",IF(U82=Paramètres!$B$4,"Relancé aujourd'hui",TRIM(IF(LEFT(Q82,7)="Relance",Q82&amp;" ","")&amp;IF(K82="En retard","· Prévenir du retard de livraison",""))))</f>
        <v/>
      </c>
      <c r="S82" s="28">
        <f>IF(B82="","",IF(LEFT(Q82,9)="Relance 3","Bonjour "&amp;D82&amp;", nous revenons vers vous au sujet de la commande "&amp;A82&amp;" du "&amp;TEXT(B82,"dd/mm/yyyy")&amp;" : "&amp;SUBSTITUTE(TEXT(O82,"#,##0"),","," ")&amp;" FCFA restent à régler depuis le "&amp;TEXT(M82,"dd/mm/yyyy")&amp;". Notre responsable souhaite vous appeler pour convenir ensemble d'une solution. Quel moment vous arrange cette semaine ? "&amp;Paramètres!$B$11&amp;", "&amp;Paramètres!$B$12,IF(LEFT(Q82,7)="Relance","Bonjour "&amp;D82&amp;", sauf erreur de notre part, la commande "&amp;A82&amp;" du "&amp;TEXT(B82,"dd/mm/yyyy")&amp;" ("&amp;E82&amp;") présente un reste à payer de "&amp;SUBSTITUTE(TEXT(O82,"#,##0"),","," ")&amp;" FCFA, échu depuis le "&amp;TEXT(M82,"dd/mm/yyyy")&amp;". Pouvez-vous nous indiquer la date de règlement prévue ? Si le paiement est déjà parti, merci de nous envoyer la preuve et ne tenez pas compte de ce message. "&amp;Paramètres!$B$11&amp;", "&amp;Paramètres!$B$12,IF(K82="En retard","Bonjour "&amp;D82&amp;", votre commande "&amp;A82&amp;" ("&amp;E82&amp;", "&amp;F82&amp;" pièces) prévue le "&amp;TEXT(I82,"dd/mm/yyyy")&amp;" a pris du retard. Nous vous confirmons la nouvelle date de livraison dans la journée. Toutes nos excuses pour ce contretemps. "&amp;Paramètres!$B$11&amp;", "&amp;Paramètres!$B$12,""))))</f>
        <v/>
      </c>
      <c r="T82" s="21" t="n"/>
      <c r="U82" s="26" t="n"/>
      <c r="V82" s="21" t="n"/>
    </row>
    <row r="83">
      <c r="A83" s="21" t="n"/>
      <c r="B83" s="26" t="n"/>
      <c r="C83" s="21" t="n"/>
      <c r="D83" s="25">
        <f>IF(C83="","",IFERROR(VLOOKUP(C83,Revendeurs!$A:$B,2,FALSE),"Code inconnu"))</f>
        <v/>
      </c>
      <c r="E83" s="21" t="n"/>
      <c r="F83" s="21" t="n"/>
      <c r="G83" s="22" t="n"/>
      <c r="H83" s="23">
        <f>IF(OR(F83="",G83=""),"",F83*G83)</f>
        <v/>
      </c>
      <c r="I83" s="26" t="n"/>
      <c r="J83" s="26" t="n"/>
      <c r="K83" s="25">
        <f>IF(B83="","",IF(J83&lt;&gt;"","Livrée",IF(I83="","À planifier",IF(Paramètres!$B$4&gt;I83+Paramètres!$B$8,"En retard","En cours"))))</f>
        <v/>
      </c>
      <c r="L83" s="25">
        <f>IF(K83="En retard",Paramètres!$B$4-I83,"")</f>
        <v/>
      </c>
      <c r="M83" s="27">
        <f>IF(OR(B83="",J83=""),"",J83+IFERROR(IF(VLOOKUP(C83,Revendeurs!$A:$G,7,FALSE)="",Paramètres!$B$9,VLOOKUP(C83,Revendeurs!$A:$G,7,FALSE)),Paramètres!$B$9))</f>
        <v/>
      </c>
      <c r="N83" s="22" t="n"/>
      <c r="O83" s="23">
        <f>IF(H83="","",H83-N83)</f>
        <v/>
      </c>
      <c r="P83" s="25">
        <f>IF(OR(M83="",O83=""),"",IF(O83&lt;=0,0,MAX(0,Paramètres!$B$4-M83)))</f>
        <v/>
      </c>
      <c r="Q83" s="25">
        <f>IF(H83="","",IF(O83&lt;=0,"Payée",IF(M83="","Pas encore livrée",IF(P83=0,"Non échue",IF(P83&gt;=Paramètres!$B$7,"Relance 3 : appel direction",IF(P83&gt;=Paramètres!$B$6,"Relance 2",IF(P83&gt;=Paramètres!$B$5,"Relance 1","Échue, relance à venir")))))))</f>
        <v/>
      </c>
      <c r="R83" s="25">
        <f>IF(B83="","",IF(U83=Paramètres!$B$4,"Relancé aujourd'hui",TRIM(IF(LEFT(Q83,7)="Relance",Q83&amp;" ","")&amp;IF(K83="En retard","· Prévenir du retard de livraison",""))))</f>
        <v/>
      </c>
      <c r="S83" s="28">
        <f>IF(B83="","",IF(LEFT(Q83,9)="Relance 3","Bonjour "&amp;D83&amp;", nous revenons vers vous au sujet de la commande "&amp;A83&amp;" du "&amp;TEXT(B83,"dd/mm/yyyy")&amp;" : "&amp;SUBSTITUTE(TEXT(O83,"#,##0"),","," ")&amp;" FCFA restent à régler depuis le "&amp;TEXT(M83,"dd/mm/yyyy")&amp;". Notre responsable souhaite vous appeler pour convenir ensemble d'une solution. Quel moment vous arrange cette semaine ? "&amp;Paramètres!$B$11&amp;", "&amp;Paramètres!$B$12,IF(LEFT(Q83,7)="Relance","Bonjour "&amp;D83&amp;", sauf erreur de notre part, la commande "&amp;A83&amp;" du "&amp;TEXT(B83,"dd/mm/yyyy")&amp;" ("&amp;E83&amp;") présente un reste à payer de "&amp;SUBSTITUTE(TEXT(O83,"#,##0"),","," ")&amp;" FCFA, échu depuis le "&amp;TEXT(M83,"dd/mm/yyyy")&amp;". Pouvez-vous nous indiquer la date de règlement prévue ? Si le paiement est déjà parti, merci de nous envoyer la preuve et ne tenez pas compte de ce message. "&amp;Paramètres!$B$11&amp;", "&amp;Paramètres!$B$12,IF(K83="En retard","Bonjour "&amp;D83&amp;", votre commande "&amp;A83&amp;" ("&amp;E83&amp;", "&amp;F83&amp;" pièces) prévue le "&amp;TEXT(I83,"dd/mm/yyyy")&amp;" a pris du retard. Nous vous confirmons la nouvelle date de livraison dans la journée. Toutes nos excuses pour ce contretemps. "&amp;Paramètres!$B$11&amp;", "&amp;Paramètres!$B$12,""))))</f>
        <v/>
      </c>
      <c r="T83" s="21" t="n"/>
      <c r="U83" s="26" t="n"/>
      <c r="V83" s="21" t="n"/>
    </row>
    <row r="84">
      <c r="A84" s="21" t="n"/>
      <c r="B84" s="26" t="n"/>
      <c r="C84" s="21" t="n"/>
      <c r="D84" s="25">
        <f>IF(C84="","",IFERROR(VLOOKUP(C84,Revendeurs!$A:$B,2,FALSE),"Code inconnu"))</f>
        <v/>
      </c>
      <c r="E84" s="21" t="n"/>
      <c r="F84" s="21" t="n"/>
      <c r="G84" s="22" t="n"/>
      <c r="H84" s="23">
        <f>IF(OR(F84="",G84=""),"",F84*G84)</f>
        <v/>
      </c>
      <c r="I84" s="26" t="n"/>
      <c r="J84" s="26" t="n"/>
      <c r="K84" s="25">
        <f>IF(B84="","",IF(J84&lt;&gt;"","Livrée",IF(I84="","À planifier",IF(Paramètres!$B$4&gt;I84+Paramètres!$B$8,"En retard","En cours"))))</f>
        <v/>
      </c>
      <c r="L84" s="25">
        <f>IF(K84="En retard",Paramètres!$B$4-I84,"")</f>
        <v/>
      </c>
      <c r="M84" s="27">
        <f>IF(OR(B84="",J84=""),"",J84+IFERROR(IF(VLOOKUP(C84,Revendeurs!$A:$G,7,FALSE)="",Paramètres!$B$9,VLOOKUP(C84,Revendeurs!$A:$G,7,FALSE)),Paramètres!$B$9))</f>
        <v/>
      </c>
      <c r="N84" s="22" t="n"/>
      <c r="O84" s="23">
        <f>IF(H84="","",H84-N84)</f>
        <v/>
      </c>
      <c r="P84" s="25">
        <f>IF(OR(M84="",O84=""),"",IF(O84&lt;=0,0,MAX(0,Paramètres!$B$4-M84)))</f>
        <v/>
      </c>
      <c r="Q84" s="25">
        <f>IF(H84="","",IF(O84&lt;=0,"Payée",IF(M84="","Pas encore livrée",IF(P84=0,"Non échue",IF(P84&gt;=Paramètres!$B$7,"Relance 3 : appel direction",IF(P84&gt;=Paramètres!$B$6,"Relance 2",IF(P84&gt;=Paramètres!$B$5,"Relance 1","Échue, relance à venir")))))))</f>
        <v/>
      </c>
      <c r="R84" s="25">
        <f>IF(B84="","",IF(U84=Paramètres!$B$4,"Relancé aujourd'hui",TRIM(IF(LEFT(Q84,7)="Relance",Q84&amp;" ","")&amp;IF(K84="En retard","· Prévenir du retard de livraison",""))))</f>
        <v/>
      </c>
      <c r="S84" s="28">
        <f>IF(B84="","",IF(LEFT(Q84,9)="Relance 3","Bonjour "&amp;D84&amp;", nous revenons vers vous au sujet de la commande "&amp;A84&amp;" du "&amp;TEXT(B84,"dd/mm/yyyy")&amp;" : "&amp;SUBSTITUTE(TEXT(O84,"#,##0"),","," ")&amp;" FCFA restent à régler depuis le "&amp;TEXT(M84,"dd/mm/yyyy")&amp;". Notre responsable souhaite vous appeler pour convenir ensemble d'une solution. Quel moment vous arrange cette semaine ? "&amp;Paramètres!$B$11&amp;", "&amp;Paramètres!$B$12,IF(LEFT(Q84,7)="Relance","Bonjour "&amp;D84&amp;", sauf erreur de notre part, la commande "&amp;A84&amp;" du "&amp;TEXT(B84,"dd/mm/yyyy")&amp;" ("&amp;E84&amp;") présente un reste à payer de "&amp;SUBSTITUTE(TEXT(O84,"#,##0"),","," ")&amp;" FCFA, échu depuis le "&amp;TEXT(M84,"dd/mm/yyyy")&amp;". Pouvez-vous nous indiquer la date de règlement prévue ? Si le paiement est déjà parti, merci de nous envoyer la preuve et ne tenez pas compte de ce message. "&amp;Paramètres!$B$11&amp;", "&amp;Paramètres!$B$12,IF(K84="En retard","Bonjour "&amp;D84&amp;", votre commande "&amp;A84&amp;" ("&amp;E84&amp;", "&amp;F84&amp;" pièces) prévue le "&amp;TEXT(I84,"dd/mm/yyyy")&amp;" a pris du retard. Nous vous confirmons la nouvelle date de livraison dans la journée. Toutes nos excuses pour ce contretemps. "&amp;Paramètres!$B$11&amp;", "&amp;Paramètres!$B$12,""))))</f>
        <v/>
      </c>
      <c r="T84" s="21" t="n"/>
      <c r="U84" s="26" t="n"/>
      <c r="V84" s="21" t="n"/>
    </row>
    <row r="85">
      <c r="A85" s="21" t="n"/>
      <c r="B85" s="26" t="n"/>
      <c r="C85" s="21" t="n"/>
      <c r="D85" s="25">
        <f>IF(C85="","",IFERROR(VLOOKUP(C85,Revendeurs!$A:$B,2,FALSE),"Code inconnu"))</f>
        <v/>
      </c>
      <c r="E85" s="21" t="n"/>
      <c r="F85" s="21" t="n"/>
      <c r="G85" s="22" t="n"/>
      <c r="H85" s="23">
        <f>IF(OR(F85="",G85=""),"",F85*G85)</f>
        <v/>
      </c>
      <c r="I85" s="26" t="n"/>
      <c r="J85" s="26" t="n"/>
      <c r="K85" s="25">
        <f>IF(B85="","",IF(J85&lt;&gt;"","Livrée",IF(I85="","À planifier",IF(Paramètres!$B$4&gt;I85+Paramètres!$B$8,"En retard","En cours"))))</f>
        <v/>
      </c>
      <c r="L85" s="25">
        <f>IF(K85="En retard",Paramètres!$B$4-I85,"")</f>
        <v/>
      </c>
      <c r="M85" s="27">
        <f>IF(OR(B85="",J85=""),"",J85+IFERROR(IF(VLOOKUP(C85,Revendeurs!$A:$G,7,FALSE)="",Paramètres!$B$9,VLOOKUP(C85,Revendeurs!$A:$G,7,FALSE)),Paramètres!$B$9))</f>
        <v/>
      </c>
      <c r="N85" s="22" t="n"/>
      <c r="O85" s="23">
        <f>IF(H85="","",H85-N85)</f>
        <v/>
      </c>
      <c r="P85" s="25">
        <f>IF(OR(M85="",O85=""),"",IF(O85&lt;=0,0,MAX(0,Paramètres!$B$4-M85)))</f>
        <v/>
      </c>
      <c r="Q85" s="25">
        <f>IF(H85="","",IF(O85&lt;=0,"Payée",IF(M85="","Pas encore livrée",IF(P85=0,"Non échue",IF(P85&gt;=Paramètres!$B$7,"Relance 3 : appel direction",IF(P85&gt;=Paramètres!$B$6,"Relance 2",IF(P85&gt;=Paramètres!$B$5,"Relance 1","Échue, relance à venir")))))))</f>
        <v/>
      </c>
      <c r="R85" s="25">
        <f>IF(B85="","",IF(U85=Paramètres!$B$4,"Relancé aujourd'hui",TRIM(IF(LEFT(Q85,7)="Relance",Q85&amp;" ","")&amp;IF(K85="En retard","· Prévenir du retard de livraison",""))))</f>
        <v/>
      </c>
      <c r="S85" s="28">
        <f>IF(B85="","",IF(LEFT(Q85,9)="Relance 3","Bonjour "&amp;D85&amp;", nous revenons vers vous au sujet de la commande "&amp;A85&amp;" du "&amp;TEXT(B85,"dd/mm/yyyy")&amp;" : "&amp;SUBSTITUTE(TEXT(O85,"#,##0"),","," ")&amp;" FCFA restent à régler depuis le "&amp;TEXT(M85,"dd/mm/yyyy")&amp;". Notre responsable souhaite vous appeler pour convenir ensemble d'une solution. Quel moment vous arrange cette semaine ? "&amp;Paramètres!$B$11&amp;", "&amp;Paramètres!$B$12,IF(LEFT(Q85,7)="Relance","Bonjour "&amp;D85&amp;", sauf erreur de notre part, la commande "&amp;A85&amp;" du "&amp;TEXT(B85,"dd/mm/yyyy")&amp;" ("&amp;E85&amp;") présente un reste à payer de "&amp;SUBSTITUTE(TEXT(O85,"#,##0"),","," ")&amp;" FCFA, échu depuis le "&amp;TEXT(M85,"dd/mm/yyyy")&amp;". Pouvez-vous nous indiquer la date de règlement prévue ? Si le paiement est déjà parti, merci de nous envoyer la preuve et ne tenez pas compte de ce message. "&amp;Paramètres!$B$11&amp;", "&amp;Paramètres!$B$12,IF(K85="En retard","Bonjour "&amp;D85&amp;", votre commande "&amp;A85&amp;" ("&amp;E85&amp;", "&amp;F85&amp;" pièces) prévue le "&amp;TEXT(I85,"dd/mm/yyyy")&amp;" a pris du retard. Nous vous confirmons la nouvelle date de livraison dans la journée. Toutes nos excuses pour ce contretemps. "&amp;Paramètres!$B$11&amp;", "&amp;Paramètres!$B$12,""))))</f>
        <v/>
      </c>
      <c r="T85" s="21" t="n"/>
      <c r="U85" s="26" t="n"/>
      <c r="V85" s="21" t="n"/>
    </row>
    <row r="86">
      <c r="A86" s="21" t="n"/>
      <c r="B86" s="26" t="n"/>
      <c r="C86" s="21" t="n"/>
      <c r="D86" s="25">
        <f>IF(C86="","",IFERROR(VLOOKUP(C86,Revendeurs!$A:$B,2,FALSE),"Code inconnu"))</f>
        <v/>
      </c>
      <c r="E86" s="21" t="n"/>
      <c r="F86" s="21" t="n"/>
      <c r="G86" s="22" t="n"/>
      <c r="H86" s="23">
        <f>IF(OR(F86="",G86=""),"",F86*G86)</f>
        <v/>
      </c>
      <c r="I86" s="26" t="n"/>
      <c r="J86" s="26" t="n"/>
      <c r="K86" s="25">
        <f>IF(B86="","",IF(J86&lt;&gt;"","Livrée",IF(I86="","À planifier",IF(Paramètres!$B$4&gt;I86+Paramètres!$B$8,"En retard","En cours"))))</f>
        <v/>
      </c>
      <c r="L86" s="25">
        <f>IF(K86="En retard",Paramètres!$B$4-I86,"")</f>
        <v/>
      </c>
      <c r="M86" s="27">
        <f>IF(OR(B86="",J86=""),"",J86+IFERROR(IF(VLOOKUP(C86,Revendeurs!$A:$G,7,FALSE)="",Paramètres!$B$9,VLOOKUP(C86,Revendeurs!$A:$G,7,FALSE)),Paramètres!$B$9))</f>
        <v/>
      </c>
      <c r="N86" s="22" t="n"/>
      <c r="O86" s="23">
        <f>IF(H86="","",H86-N86)</f>
        <v/>
      </c>
      <c r="P86" s="25">
        <f>IF(OR(M86="",O86=""),"",IF(O86&lt;=0,0,MAX(0,Paramètres!$B$4-M86)))</f>
        <v/>
      </c>
      <c r="Q86" s="25">
        <f>IF(H86="","",IF(O86&lt;=0,"Payée",IF(M86="","Pas encore livrée",IF(P86=0,"Non échue",IF(P86&gt;=Paramètres!$B$7,"Relance 3 : appel direction",IF(P86&gt;=Paramètres!$B$6,"Relance 2",IF(P86&gt;=Paramètres!$B$5,"Relance 1","Échue, relance à venir")))))))</f>
        <v/>
      </c>
      <c r="R86" s="25">
        <f>IF(B86="","",IF(U86=Paramètres!$B$4,"Relancé aujourd'hui",TRIM(IF(LEFT(Q86,7)="Relance",Q86&amp;" ","")&amp;IF(K86="En retard","· Prévenir du retard de livraison",""))))</f>
        <v/>
      </c>
      <c r="S86" s="28">
        <f>IF(B86="","",IF(LEFT(Q86,9)="Relance 3","Bonjour "&amp;D86&amp;", nous revenons vers vous au sujet de la commande "&amp;A86&amp;" du "&amp;TEXT(B86,"dd/mm/yyyy")&amp;" : "&amp;SUBSTITUTE(TEXT(O86,"#,##0"),","," ")&amp;" FCFA restent à régler depuis le "&amp;TEXT(M86,"dd/mm/yyyy")&amp;". Notre responsable souhaite vous appeler pour convenir ensemble d'une solution. Quel moment vous arrange cette semaine ? "&amp;Paramètres!$B$11&amp;", "&amp;Paramètres!$B$12,IF(LEFT(Q86,7)="Relance","Bonjour "&amp;D86&amp;", sauf erreur de notre part, la commande "&amp;A86&amp;" du "&amp;TEXT(B86,"dd/mm/yyyy")&amp;" ("&amp;E86&amp;") présente un reste à payer de "&amp;SUBSTITUTE(TEXT(O86,"#,##0"),","," ")&amp;" FCFA, échu depuis le "&amp;TEXT(M86,"dd/mm/yyyy")&amp;". Pouvez-vous nous indiquer la date de règlement prévue ? Si le paiement est déjà parti, merci de nous envoyer la preuve et ne tenez pas compte de ce message. "&amp;Paramètres!$B$11&amp;", "&amp;Paramètres!$B$12,IF(K86="En retard","Bonjour "&amp;D86&amp;", votre commande "&amp;A86&amp;" ("&amp;E86&amp;", "&amp;F86&amp;" pièces) prévue le "&amp;TEXT(I86,"dd/mm/yyyy")&amp;" a pris du retard. Nous vous confirmons la nouvelle date de livraison dans la journée. Toutes nos excuses pour ce contretemps. "&amp;Paramètres!$B$11&amp;", "&amp;Paramètres!$B$12,""))))</f>
        <v/>
      </c>
      <c r="T86" s="21" t="n"/>
      <c r="U86" s="26" t="n"/>
      <c r="V86" s="21" t="n"/>
    </row>
    <row r="87">
      <c r="A87" s="21" t="n"/>
      <c r="B87" s="26" t="n"/>
      <c r="C87" s="21" t="n"/>
      <c r="D87" s="25">
        <f>IF(C87="","",IFERROR(VLOOKUP(C87,Revendeurs!$A:$B,2,FALSE),"Code inconnu"))</f>
        <v/>
      </c>
      <c r="E87" s="21" t="n"/>
      <c r="F87" s="21" t="n"/>
      <c r="G87" s="22" t="n"/>
      <c r="H87" s="23">
        <f>IF(OR(F87="",G87=""),"",F87*G87)</f>
        <v/>
      </c>
      <c r="I87" s="26" t="n"/>
      <c r="J87" s="26" t="n"/>
      <c r="K87" s="25">
        <f>IF(B87="","",IF(J87&lt;&gt;"","Livrée",IF(I87="","À planifier",IF(Paramètres!$B$4&gt;I87+Paramètres!$B$8,"En retard","En cours"))))</f>
        <v/>
      </c>
      <c r="L87" s="25">
        <f>IF(K87="En retard",Paramètres!$B$4-I87,"")</f>
        <v/>
      </c>
      <c r="M87" s="27">
        <f>IF(OR(B87="",J87=""),"",J87+IFERROR(IF(VLOOKUP(C87,Revendeurs!$A:$G,7,FALSE)="",Paramètres!$B$9,VLOOKUP(C87,Revendeurs!$A:$G,7,FALSE)),Paramètres!$B$9))</f>
        <v/>
      </c>
      <c r="N87" s="22" t="n"/>
      <c r="O87" s="23">
        <f>IF(H87="","",H87-N87)</f>
        <v/>
      </c>
      <c r="P87" s="25">
        <f>IF(OR(M87="",O87=""),"",IF(O87&lt;=0,0,MAX(0,Paramètres!$B$4-M87)))</f>
        <v/>
      </c>
      <c r="Q87" s="25">
        <f>IF(H87="","",IF(O87&lt;=0,"Payée",IF(M87="","Pas encore livrée",IF(P87=0,"Non échue",IF(P87&gt;=Paramètres!$B$7,"Relance 3 : appel direction",IF(P87&gt;=Paramètres!$B$6,"Relance 2",IF(P87&gt;=Paramètres!$B$5,"Relance 1","Échue, relance à venir")))))))</f>
        <v/>
      </c>
      <c r="R87" s="25">
        <f>IF(B87="","",IF(U87=Paramètres!$B$4,"Relancé aujourd'hui",TRIM(IF(LEFT(Q87,7)="Relance",Q87&amp;" ","")&amp;IF(K87="En retard","· Prévenir du retard de livraison",""))))</f>
        <v/>
      </c>
      <c r="S87" s="28">
        <f>IF(B87="","",IF(LEFT(Q87,9)="Relance 3","Bonjour "&amp;D87&amp;", nous revenons vers vous au sujet de la commande "&amp;A87&amp;" du "&amp;TEXT(B87,"dd/mm/yyyy")&amp;" : "&amp;SUBSTITUTE(TEXT(O87,"#,##0"),","," ")&amp;" FCFA restent à régler depuis le "&amp;TEXT(M87,"dd/mm/yyyy")&amp;". Notre responsable souhaite vous appeler pour convenir ensemble d'une solution. Quel moment vous arrange cette semaine ? "&amp;Paramètres!$B$11&amp;", "&amp;Paramètres!$B$12,IF(LEFT(Q87,7)="Relance","Bonjour "&amp;D87&amp;", sauf erreur de notre part, la commande "&amp;A87&amp;" du "&amp;TEXT(B87,"dd/mm/yyyy")&amp;" ("&amp;E87&amp;") présente un reste à payer de "&amp;SUBSTITUTE(TEXT(O87,"#,##0"),","," ")&amp;" FCFA, échu depuis le "&amp;TEXT(M87,"dd/mm/yyyy")&amp;". Pouvez-vous nous indiquer la date de règlement prévue ? Si le paiement est déjà parti, merci de nous envoyer la preuve et ne tenez pas compte de ce message. "&amp;Paramètres!$B$11&amp;", "&amp;Paramètres!$B$12,IF(K87="En retard","Bonjour "&amp;D87&amp;", votre commande "&amp;A87&amp;" ("&amp;E87&amp;", "&amp;F87&amp;" pièces) prévue le "&amp;TEXT(I87,"dd/mm/yyyy")&amp;" a pris du retard. Nous vous confirmons la nouvelle date de livraison dans la journée. Toutes nos excuses pour ce contretemps. "&amp;Paramètres!$B$11&amp;", "&amp;Paramètres!$B$12,""))))</f>
        <v/>
      </c>
      <c r="T87" s="21" t="n"/>
      <c r="U87" s="26" t="n"/>
      <c r="V87" s="21" t="n"/>
    </row>
    <row r="88">
      <c r="A88" s="21" t="n"/>
      <c r="B88" s="26" t="n"/>
      <c r="C88" s="21" t="n"/>
      <c r="D88" s="25">
        <f>IF(C88="","",IFERROR(VLOOKUP(C88,Revendeurs!$A:$B,2,FALSE),"Code inconnu"))</f>
        <v/>
      </c>
      <c r="E88" s="21" t="n"/>
      <c r="F88" s="21" t="n"/>
      <c r="G88" s="22" t="n"/>
      <c r="H88" s="23">
        <f>IF(OR(F88="",G88=""),"",F88*G88)</f>
        <v/>
      </c>
      <c r="I88" s="26" t="n"/>
      <c r="J88" s="26" t="n"/>
      <c r="K88" s="25">
        <f>IF(B88="","",IF(J88&lt;&gt;"","Livrée",IF(I88="","À planifier",IF(Paramètres!$B$4&gt;I88+Paramètres!$B$8,"En retard","En cours"))))</f>
        <v/>
      </c>
      <c r="L88" s="25">
        <f>IF(K88="En retard",Paramètres!$B$4-I88,"")</f>
        <v/>
      </c>
      <c r="M88" s="27">
        <f>IF(OR(B88="",J88=""),"",J88+IFERROR(IF(VLOOKUP(C88,Revendeurs!$A:$G,7,FALSE)="",Paramètres!$B$9,VLOOKUP(C88,Revendeurs!$A:$G,7,FALSE)),Paramètres!$B$9))</f>
        <v/>
      </c>
      <c r="N88" s="22" t="n"/>
      <c r="O88" s="23">
        <f>IF(H88="","",H88-N88)</f>
        <v/>
      </c>
      <c r="P88" s="25">
        <f>IF(OR(M88="",O88=""),"",IF(O88&lt;=0,0,MAX(0,Paramètres!$B$4-M88)))</f>
        <v/>
      </c>
      <c r="Q88" s="25">
        <f>IF(H88="","",IF(O88&lt;=0,"Payée",IF(M88="","Pas encore livrée",IF(P88=0,"Non échue",IF(P88&gt;=Paramètres!$B$7,"Relance 3 : appel direction",IF(P88&gt;=Paramètres!$B$6,"Relance 2",IF(P88&gt;=Paramètres!$B$5,"Relance 1","Échue, relance à venir")))))))</f>
        <v/>
      </c>
      <c r="R88" s="25">
        <f>IF(B88="","",IF(U88=Paramètres!$B$4,"Relancé aujourd'hui",TRIM(IF(LEFT(Q88,7)="Relance",Q88&amp;" ","")&amp;IF(K88="En retard","· Prévenir du retard de livraison",""))))</f>
        <v/>
      </c>
      <c r="S88" s="28">
        <f>IF(B88="","",IF(LEFT(Q88,9)="Relance 3","Bonjour "&amp;D88&amp;", nous revenons vers vous au sujet de la commande "&amp;A88&amp;" du "&amp;TEXT(B88,"dd/mm/yyyy")&amp;" : "&amp;SUBSTITUTE(TEXT(O88,"#,##0"),","," ")&amp;" FCFA restent à régler depuis le "&amp;TEXT(M88,"dd/mm/yyyy")&amp;". Notre responsable souhaite vous appeler pour convenir ensemble d'une solution. Quel moment vous arrange cette semaine ? "&amp;Paramètres!$B$11&amp;", "&amp;Paramètres!$B$12,IF(LEFT(Q88,7)="Relance","Bonjour "&amp;D88&amp;", sauf erreur de notre part, la commande "&amp;A88&amp;" du "&amp;TEXT(B88,"dd/mm/yyyy")&amp;" ("&amp;E88&amp;") présente un reste à payer de "&amp;SUBSTITUTE(TEXT(O88,"#,##0"),","," ")&amp;" FCFA, échu depuis le "&amp;TEXT(M88,"dd/mm/yyyy")&amp;". Pouvez-vous nous indiquer la date de règlement prévue ? Si le paiement est déjà parti, merci de nous envoyer la preuve et ne tenez pas compte de ce message. "&amp;Paramètres!$B$11&amp;", "&amp;Paramètres!$B$12,IF(K88="En retard","Bonjour "&amp;D88&amp;", votre commande "&amp;A88&amp;" ("&amp;E88&amp;", "&amp;F88&amp;" pièces) prévue le "&amp;TEXT(I88,"dd/mm/yyyy")&amp;" a pris du retard. Nous vous confirmons la nouvelle date de livraison dans la journée. Toutes nos excuses pour ce contretemps. "&amp;Paramètres!$B$11&amp;", "&amp;Paramètres!$B$12,""))))</f>
        <v/>
      </c>
      <c r="T88" s="21" t="n"/>
      <c r="U88" s="26" t="n"/>
      <c r="V88" s="21" t="n"/>
    </row>
    <row r="89">
      <c r="A89" s="21" t="n"/>
      <c r="B89" s="26" t="n"/>
      <c r="C89" s="21" t="n"/>
      <c r="D89" s="25">
        <f>IF(C89="","",IFERROR(VLOOKUP(C89,Revendeurs!$A:$B,2,FALSE),"Code inconnu"))</f>
        <v/>
      </c>
      <c r="E89" s="21" t="n"/>
      <c r="F89" s="21" t="n"/>
      <c r="G89" s="22" t="n"/>
      <c r="H89" s="23">
        <f>IF(OR(F89="",G89=""),"",F89*G89)</f>
        <v/>
      </c>
      <c r="I89" s="26" t="n"/>
      <c r="J89" s="26" t="n"/>
      <c r="K89" s="25">
        <f>IF(B89="","",IF(J89&lt;&gt;"","Livrée",IF(I89="","À planifier",IF(Paramètres!$B$4&gt;I89+Paramètres!$B$8,"En retard","En cours"))))</f>
        <v/>
      </c>
      <c r="L89" s="25">
        <f>IF(K89="En retard",Paramètres!$B$4-I89,"")</f>
        <v/>
      </c>
      <c r="M89" s="27">
        <f>IF(OR(B89="",J89=""),"",J89+IFERROR(IF(VLOOKUP(C89,Revendeurs!$A:$G,7,FALSE)="",Paramètres!$B$9,VLOOKUP(C89,Revendeurs!$A:$G,7,FALSE)),Paramètres!$B$9))</f>
        <v/>
      </c>
      <c r="N89" s="22" t="n"/>
      <c r="O89" s="23">
        <f>IF(H89="","",H89-N89)</f>
        <v/>
      </c>
      <c r="P89" s="25">
        <f>IF(OR(M89="",O89=""),"",IF(O89&lt;=0,0,MAX(0,Paramètres!$B$4-M89)))</f>
        <v/>
      </c>
      <c r="Q89" s="25">
        <f>IF(H89="","",IF(O89&lt;=0,"Payée",IF(M89="","Pas encore livrée",IF(P89=0,"Non échue",IF(P89&gt;=Paramètres!$B$7,"Relance 3 : appel direction",IF(P89&gt;=Paramètres!$B$6,"Relance 2",IF(P89&gt;=Paramètres!$B$5,"Relance 1","Échue, relance à venir")))))))</f>
        <v/>
      </c>
      <c r="R89" s="25">
        <f>IF(B89="","",IF(U89=Paramètres!$B$4,"Relancé aujourd'hui",TRIM(IF(LEFT(Q89,7)="Relance",Q89&amp;" ","")&amp;IF(K89="En retard","· Prévenir du retard de livraison",""))))</f>
        <v/>
      </c>
      <c r="S89" s="28">
        <f>IF(B89="","",IF(LEFT(Q89,9)="Relance 3","Bonjour "&amp;D89&amp;", nous revenons vers vous au sujet de la commande "&amp;A89&amp;" du "&amp;TEXT(B89,"dd/mm/yyyy")&amp;" : "&amp;SUBSTITUTE(TEXT(O89,"#,##0"),","," ")&amp;" FCFA restent à régler depuis le "&amp;TEXT(M89,"dd/mm/yyyy")&amp;". Notre responsable souhaite vous appeler pour convenir ensemble d'une solution. Quel moment vous arrange cette semaine ? "&amp;Paramètres!$B$11&amp;", "&amp;Paramètres!$B$12,IF(LEFT(Q89,7)="Relance","Bonjour "&amp;D89&amp;", sauf erreur de notre part, la commande "&amp;A89&amp;" du "&amp;TEXT(B89,"dd/mm/yyyy")&amp;" ("&amp;E89&amp;") présente un reste à payer de "&amp;SUBSTITUTE(TEXT(O89,"#,##0"),","," ")&amp;" FCFA, échu depuis le "&amp;TEXT(M89,"dd/mm/yyyy")&amp;". Pouvez-vous nous indiquer la date de règlement prévue ? Si le paiement est déjà parti, merci de nous envoyer la preuve et ne tenez pas compte de ce message. "&amp;Paramètres!$B$11&amp;", "&amp;Paramètres!$B$12,IF(K89="En retard","Bonjour "&amp;D89&amp;", votre commande "&amp;A89&amp;" ("&amp;E89&amp;", "&amp;F89&amp;" pièces) prévue le "&amp;TEXT(I89,"dd/mm/yyyy")&amp;" a pris du retard. Nous vous confirmons la nouvelle date de livraison dans la journée. Toutes nos excuses pour ce contretemps. "&amp;Paramètres!$B$11&amp;", "&amp;Paramètres!$B$12,""))))</f>
        <v/>
      </c>
      <c r="T89" s="21" t="n"/>
      <c r="U89" s="26" t="n"/>
      <c r="V89" s="21" t="n"/>
    </row>
    <row r="90">
      <c r="A90" s="21" t="n"/>
      <c r="B90" s="26" t="n"/>
      <c r="C90" s="21" t="n"/>
      <c r="D90" s="25">
        <f>IF(C90="","",IFERROR(VLOOKUP(C90,Revendeurs!$A:$B,2,FALSE),"Code inconnu"))</f>
        <v/>
      </c>
      <c r="E90" s="21" t="n"/>
      <c r="F90" s="21" t="n"/>
      <c r="G90" s="22" t="n"/>
      <c r="H90" s="23">
        <f>IF(OR(F90="",G90=""),"",F90*G90)</f>
        <v/>
      </c>
      <c r="I90" s="26" t="n"/>
      <c r="J90" s="26" t="n"/>
      <c r="K90" s="25">
        <f>IF(B90="","",IF(J90&lt;&gt;"","Livrée",IF(I90="","À planifier",IF(Paramètres!$B$4&gt;I90+Paramètres!$B$8,"En retard","En cours"))))</f>
        <v/>
      </c>
      <c r="L90" s="25">
        <f>IF(K90="En retard",Paramètres!$B$4-I90,"")</f>
        <v/>
      </c>
      <c r="M90" s="27">
        <f>IF(OR(B90="",J90=""),"",J90+IFERROR(IF(VLOOKUP(C90,Revendeurs!$A:$G,7,FALSE)="",Paramètres!$B$9,VLOOKUP(C90,Revendeurs!$A:$G,7,FALSE)),Paramètres!$B$9))</f>
        <v/>
      </c>
      <c r="N90" s="22" t="n"/>
      <c r="O90" s="23">
        <f>IF(H90="","",H90-N90)</f>
        <v/>
      </c>
      <c r="P90" s="25">
        <f>IF(OR(M90="",O90=""),"",IF(O90&lt;=0,0,MAX(0,Paramètres!$B$4-M90)))</f>
        <v/>
      </c>
      <c r="Q90" s="25">
        <f>IF(H90="","",IF(O90&lt;=0,"Payée",IF(M90="","Pas encore livrée",IF(P90=0,"Non échue",IF(P90&gt;=Paramètres!$B$7,"Relance 3 : appel direction",IF(P90&gt;=Paramètres!$B$6,"Relance 2",IF(P90&gt;=Paramètres!$B$5,"Relance 1","Échue, relance à venir")))))))</f>
        <v/>
      </c>
      <c r="R90" s="25">
        <f>IF(B90="","",IF(U90=Paramètres!$B$4,"Relancé aujourd'hui",TRIM(IF(LEFT(Q90,7)="Relance",Q90&amp;" ","")&amp;IF(K90="En retard","· Prévenir du retard de livraison",""))))</f>
        <v/>
      </c>
      <c r="S90" s="28">
        <f>IF(B90="","",IF(LEFT(Q90,9)="Relance 3","Bonjour "&amp;D90&amp;", nous revenons vers vous au sujet de la commande "&amp;A90&amp;" du "&amp;TEXT(B90,"dd/mm/yyyy")&amp;" : "&amp;SUBSTITUTE(TEXT(O90,"#,##0"),","," ")&amp;" FCFA restent à régler depuis le "&amp;TEXT(M90,"dd/mm/yyyy")&amp;". Notre responsable souhaite vous appeler pour convenir ensemble d'une solution. Quel moment vous arrange cette semaine ? "&amp;Paramètres!$B$11&amp;", "&amp;Paramètres!$B$12,IF(LEFT(Q90,7)="Relance","Bonjour "&amp;D90&amp;", sauf erreur de notre part, la commande "&amp;A90&amp;" du "&amp;TEXT(B90,"dd/mm/yyyy")&amp;" ("&amp;E90&amp;") présente un reste à payer de "&amp;SUBSTITUTE(TEXT(O90,"#,##0"),","," ")&amp;" FCFA, échu depuis le "&amp;TEXT(M90,"dd/mm/yyyy")&amp;". Pouvez-vous nous indiquer la date de règlement prévue ? Si le paiement est déjà parti, merci de nous envoyer la preuve et ne tenez pas compte de ce message. "&amp;Paramètres!$B$11&amp;", "&amp;Paramètres!$B$12,IF(K90="En retard","Bonjour "&amp;D90&amp;", votre commande "&amp;A90&amp;" ("&amp;E90&amp;", "&amp;F90&amp;" pièces) prévue le "&amp;TEXT(I90,"dd/mm/yyyy")&amp;" a pris du retard. Nous vous confirmons la nouvelle date de livraison dans la journée. Toutes nos excuses pour ce contretemps. "&amp;Paramètres!$B$11&amp;", "&amp;Paramètres!$B$12,""))))</f>
        <v/>
      </c>
      <c r="T90" s="21" t="n"/>
      <c r="U90" s="26" t="n"/>
      <c r="V90" s="21" t="n"/>
    </row>
    <row r="91">
      <c r="A91" s="21" t="n"/>
      <c r="B91" s="26" t="n"/>
      <c r="C91" s="21" t="n"/>
      <c r="D91" s="25">
        <f>IF(C91="","",IFERROR(VLOOKUP(C91,Revendeurs!$A:$B,2,FALSE),"Code inconnu"))</f>
        <v/>
      </c>
      <c r="E91" s="21" t="n"/>
      <c r="F91" s="21" t="n"/>
      <c r="G91" s="22" t="n"/>
      <c r="H91" s="23">
        <f>IF(OR(F91="",G91=""),"",F91*G91)</f>
        <v/>
      </c>
      <c r="I91" s="26" t="n"/>
      <c r="J91" s="26" t="n"/>
      <c r="K91" s="25">
        <f>IF(B91="","",IF(J91&lt;&gt;"","Livrée",IF(I91="","À planifier",IF(Paramètres!$B$4&gt;I91+Paramètres!$B$8,"En retard","En cours"))))</f>
        <v/>
      </c>
      <c r="L91" s="25">
        <f>IF(K91="En retard",Paramètres!$B$4-I91,"")</f>
        <v/>
      </c>
      <c r="M91" s="27">
        <f>IF(OR(B91="",J91=""),"",J91+IFERROR(IF(VLOOKUP(C91,Revendeurs!$A:$G,7,FALSE)="",Paramètres!$B$9,VLOOKUP(C91,Revendeurs!$A:$G,7,FALSE)),Paramètres!$B$9))</f>
        <v/>
      </c>
      <c r="N91" s="22" t="n"/>
      <c r="O91" s="23">
        <f>IF(H91="","",H91-N91)</f>
        <v/>
      </c>
      <c r="P91" s="25">
        <f>IF(OR(M91="",O91=""),"",IF(O91&lt;=0,0,MAX(0,Paramètres!$B$4-M91)))</f>
        <v/>
      </c>
      <c r="Q91" s="25">
        <f>IF(H91="","",IF(O91&lt;=0,"Payée",IF(M91="","Pas encore livrée",IF(P91=0,"Non échue",IF(P91&gt;=Paramètres!$B$7,"Relance 3 : appel direction",IF(P91&gt;=Paramètres!$B$6,"Relance 2",IF(P91&gt;=Paramètres!$B$5,"Relance 1","Échue, relance à venir")))))))</f>
        <v/>
      </c>
      <c r="R91" s="25">
        <f>IF(B91="","",IF(U91=Paramètres!$B$4,"Relancé aujourd'hui",TRIM(IF(LEFT(Q91,7)="Relance",Q91&amp;" ","")&amp;IF(K91="En retard","· Prévenir du retard de livraison",""))))</f>
        <v/>
      </c>
      <c r="S91" s="28">
        <f>IF(B91="","",IF(LEFT(Q91,9)="Relance 3","Bonjour "&amp;D91&amp;", nous revenons vers vous au sujet de la commande "&amp;A91&amp;" du "&amp;TEXT(B91,"dd/mm/yyyy")&amp;" : "&amp;SUBSTITUTE(TEXT(O91,"#,##0"),","," ")&amp;" FCFA restent à régler depuis le "&amp;TEXT(M91,"dd/mm/yyyy")&amp;". Notre responsable souhaite vous appeler pour convenir ensemble d'une solution. Quel moment vous arrange cette semaine ? "&amp;Paramètres!$B$11&amp;", "&amp;Paramètres!$B$12,IF(LEFT(Q91,7)="Relance","Bonjour "&amp;D91&amp;", sauf erreur de notre part, la commande "&amp;A91&amp;" du "&amp;TEXT(B91,"dd/mm/yyyy")&amp;" ("&amp;E91&amp;") présente un reste à payer de "&amp;SUBSTITUTE(TEXT(O91,"#,##0"),","," ")&amp;" FCFA, échu depuis le "&amp;TEXT(M91,"dd/mm/yyyy")&amp;". Pouvez-vous nous indiquer la date de règlement prévue ? Si le paiement est déjà parti, merci de nous envoyer la preuve et ne tenez pas compte de ce message. "&amp;Paramètres!$B$11&amp;", "&amp;Paramètres!$B$12,IF(K91="En retard","Bonjour "&amp;D91&amp;", votre commande "&amp;A91&amp;" ("&amp;E91&amp;", "&amp;F91&amp;" pièces) prévue le "&amp;TEXT(I91,"dd/mm/yyyy")&amp;" a pris du retard. Nous vous confirmons la nouvelle date de livraison dans la journée. Toutes nos excuses pour ce contretemps. "&amp;Paramètres!$B$11&amp;", "&amp;Paramètres!$B$12,""))))</f>
        <v/>
      </c>
      <c r="T91" s="21" t="n"/>
      <c r="U91" s="26" t="n"/>
      <c r="V91" s="21" t="n"/>
    </row>
    <row r="92">
      <c r="A92" s="21" t="n"/>
      <c r="B92" s="26" t="n"/>
      <c r="C92" s="21" t="n"/>
      <c r="D92" s="25">
        <f>IF(C92="","",IFERROR(VLOOKUP(C92,Revendeurs!$A:$B,2,FALSE),"Code inconnu"))</f>
        <v/>
      </c>
      <c r="E92" s="21" t="n"/>
      <c r="F92" s="21" t="n"/>
      <c r="G92" s="22" t="n"/>
      <c r="H92" s="23">
        <f>IF(OR(F92="",G92=""),"",F92*G92)</f>
        <v/>
      </c>
      <c r="I92" s="26" t="n"/>
      <c r="J92" s="26" t="n"/>
      <c r="K92" s="25">
        <f>IF(B92="","",IF(J92&lt;&gt;"","Livrée",IF(I92="","À planifier",IF(Paramètres!$B$4&gt;I92+Paramètres!$B$8,"En retard","En cours"))))</f>
        <v/>
      </c>
      <c r="L92" s="25">
        <f>IF(K92="En retard",Paramètres!$B$4-I92,"")</f>
        <v/>
      </c>
      <c r="M92" s="27">
        <f>IF(OR(B92="",J92=""),"",J92+IFERROR(IF(VLOOKUP(C92,Revendeurs!$A:$G,7,FALSE)="",Paramètres!$B$9,VLOOKUP(C92,Revendeurs!$A:$G,7,FALSE)),Paramètres!$B$9))</f>
        <v/>
      </c>
      <c r="N92" s="22" t="n"/>
      <c r="O92" s="23">
        <f>IF(H92="","",H92-N92)</f>
        <v/>
      </c>
      <c r="P92" s="25">
        <f>IF(OR(M92="",O92=""),"",IF(O92&lt;=0,0,MAX(0,Paramètres!$B$4-M92)))</f>
        <v/>
      </c>
      <c r="Q92" s="25">
        <f>IF(H92="","",IF(O92&lt;=0,"Payée",IF(M92="","Pas encore livrée",IF(P92=0,"Non échue",IF(P92&gt;=Paramètres!$B$7,"Relance 3 : appel direction",IF(P92&gt;=Paramètres!$B$6,"Relance 2",IF(P92&gt;=Paramètres!$B$5,"Relance 1","Échue, relance à venir")))))))</f>
        <v/>
      </c>
      <c r="R92" s="25">
        <f>IF(B92="","",IF(U92=Paramètres!$B$4,"Relancé aujourd'hui",TRIM(IF(LEFT(Q92,7)="Relance",Q92&amp;" ","")&amp;IF(K92="En retard","· Prévenir du retard de livraison",""))))</f>
        <v/>
      </c>
      <c r="S92" s="28">
        <f>IF(B92="","",IF(LEFT(Q92,9)="Relance 3","Bonjour "&amp;D92&amp;", nous revenons vers vous au sujet de la commande "&amp;A92&amp;" du "&amp;TEXT(B92,"dd/mm/yyyy")&amp;" : "&amp;SUBSTITUTE(TEXT(O92,"#,##0"),","," ")&amp;" FCFA restent à régler depuis le "&amp;TEXT(M92,"dd/mm/yyyy")&amp;". Notre responsable souhaite vous appeler pour convenir ensemble d'une solution. Quel moment vous arrange cette semaine ? "&amp;Paramètres!$B$11&amp;", "&amp;Paramètres!$B$12,IF(LEFT(Q92,7)="Relance","Bonjour "&amp;D92&amp;", sauf erreur de notre part, la commande "&amp;A92&amp;" du "&amp;TEXT(B92,"dd/mm/yyyy")&amp;" ("&amp;E92&amp;") présente un reste à payer de "&amp;SUBSTITUTE(TEXT(O92,"#,##0"),","," ")&amp;" FCFA, échu depuis le "&amp;TEXT(M92,"dd/mm/yyyy")&amp;". Pouvez-vous nous indiquer la date de règlement prévue ? Si le paiement est déjà parti, merci de nous envoyer la preuve et ne tenez pas compte de ce message. "&amp;Paramètres!$B$11&amp;", "&amp;Paramètres!$B$12,IF(K92="En retard","Bonjour "&amp;D92&amp;", votre commande "&amp;A92&amp;" ("&amp;E92&amp;", "&amp;F92&amp;" pièces) prévue le "&amp;TEXT(I92,"dd/mm/yyyy")&amp;" a pris du retard. Nous vous confirmons la nouvelle date de livraison dans la journée. Toutes nos excuses pour ce contretemps. "&amp;Paramètres!$B$11&amp;", "&amp;Paramètres!$B$12,""))))</f>
        <v/>
      </c>
      <c r="T92" s="21" t="n"/>
      <c r="U92" s="26" t="n"/>
      <c r="V92" s="21" t="n"/>
    </row>
    <row r="93">
      <c r="A93" s="21" t="n"/>
      <c r="B93" s="26" t="n"/>
      <c r="C93" s="21" t="n"/>
      <c r="D93" s="25">
        <f>IF(C93="","",IFERROR(VLOOKUP(C93,Revendeurs!$A:$B,2,FALSE),"Code inconnu"))</f>
        <v/>
      </c>
      <c r="E93" s="21" t="n"/>
      <c r="F93" s="21" t="n"/>
      <c r="G93" s="22" t="n"/>
      <c r="H93" s="23">
        <f>IF(OR(F93="",G93=""),"",F93*G93)</f>
        <v/>
      </c>
      <c r="I93" s="26" t="n"/>
      <c r="J93" s="26" t="n"/>
      <c r="K93" s="25">
        <f>IF(B93="","",IF(J93&lt;&gt;"","Livrée",IF(I93="","À planifier",IF(Paramètres!$B$4&gt;I93+Paramètres!$B$8,"En retard","En cours"))))</f>
        <v/>
      </c>
      <c r="L93" s="25">
        <f>IF(K93="En retard",Paramètres!$B$4-I93,"")</f>
        <v/>
      </c>
      <c r="M93" s="27">
        <f>IF(OR(B93="",J93=""),"",J93+IFERROR(IF(VLOOKUP(C93,Revendeurs!$A:$G,7,FALSE)="",Paramètres!$B$9,VLOOKUP(C93,Revendeurs!$A:$G,7,FALSE)),Paramètres!$B$9))</f>
        <v/>
      </c>
      <c r="N93" s="22" t="n"/>
      <c r="O93" s="23">
        <f>IF(H93="","",H93-N93)</f>
        <v/>
      </c>
      <c r="P93" s="25">
        <f>IF(OR(M93="",O93=""),"",IF(O93&lt;=0,0,MAX(0,Paramètres!$B$4-M93)))</f>
        <v/>
      </c>
      <c r="Q93" s="25">
        <f>IF(H93="","",IF(O93&lt;=0,"Payée",IF(M93="","Pas encore livrée",IF(P93=0,"Non échue",IF(P93&gt;=Paramètres!$B$7,"Relance 3 : appel direction",IF(P93&gt;=Paramètres!$B$6,"Relance 2",IF(P93&gt;=Paramètres!$B$5,"Relance 1","Échue, relance à venir")))))))</f>
        <v/>
      </c>
      <c r="R93" s="25">
        <f>IF(B93="","",IF(U93=Paramètres!$B$4,"Relancé aujourd'hui",TRIM(IF(LEFT(Q93,7)="Relance",Q93&amp;" ","")&amp;IF(K93="En retard","· Prévenir du retard de livraison",""))))</f>
        <v/>
      </c>
      <c r="S93" s="28">
        <f>IF(B93="","",IF(LEFT(Q93,9)="Relance 3","Bonjour "&amp;D93&amp;", nous revenons vers vous au sujet de la commande "&amp;A93&amp;" du "&amp;TEXT(B93,"dd/mm/yyyy")&amp;" : "&amp;SUBSTITUTE(TEXT(O93,"#,##0"),","," ")&amp;" FCFA restent à régler depuis le "&amp;TEXT(M93,"dd/mm/yyyy")&amp;". Notre responsable souhaite vous appeler pour convenir ensemble d'une solution. Quel moment vous arrange cette semaine ? "&amp;Paramètres!$B$11&amp;", "&amp;Paramètres!$B$12,IF(LEFT(Q93,7)="Relance","Bonjour "&amp;D93&amp;", sauf erreur de notre part, la commande "&amp;A93&amp;" du "&amp;TEXT(B93,"dd/mm/yyyy")&amp;" ("&amp;E93&amp;") présente un reste à payer de "&amp;SUBSTITUTE(TEXT(O93,"#,##0"),","," ")&amp;" FCFA, échu depuis le "&amp;TEXT(M93,"dd/mm/yyyy")&amp;". Pouvez-vous nous indiquer la date de règlement prévue ? Si le paiement est déjà parti, merci de nous envoyer la preuve et ne tenez pas compte de ce message. "&amp;Paramètres!$B$11&amp;", "&amp;Paramètres!$B$12,IF(K93="En retard","Bonjour "&amp;D93&amp;", votre commande "&amp;A93&amp;" ("&amp;E93&amp;", "&amp;F93&amp;" pièces) prévue le "&amp;TEXT(I93,"dd/mm/yyyy")&amp;" a pris du retard. Nous vous confirmons la nouvelle date de livraison dans la journée. Toutes nos excuses pour ce contretemps. "&amp;Paramètres!$B$11&amp;", "&amp;Paramètres!$B$12,""))))</f>
        <v/>
      </c>
      <c r="T93" s="21" t="n"/>
      <c r="U93" s="26" t="n"/>
      <c r="V93" s="21" t="n"/>
    </row>
    <row r="94">
      <c r="A94" s="21" t="n"/>
      <c r="B94" s="26" t="n"/>
      <c r="C94" s="21" t="n"/>
      <c r="D94" s="25">
        <f>IF(C94="","",IFERROR(VLOOKUP(C94,Revendeurs!$A:$B,2,FALSE),"Code inconnu"))</f>
        <v/>
      </c>
      <c r="E94" s="21" t="n"/>
      <c r="F94" s="21" t="n"/>
      <c r="G94" s="22" t="n"/>
      <c r="H94" s="23">
        <f>IF(OR(F94="",G94=""),"",F94*G94)</f>
        <v/>
      </c>
      <c r="I94" s="26" t="n"/>
      <c r="J94" s="26" t="n"/>
      <c r="K94" s="25">
        <f>IF(B94="","",IF(J94&lt;&gt;"","Livrée",IF(I94="","À planifier",IF(Paramètres!$B$4&gt;I94+Paramètres!$B$8,"En retard","En cours"))))</f>
        <v/>
      </c>
      <c r="L94" s="25">
        <f>IF(K94="En retard",Paramètres!$B$4-I94,"")</f>
        <v/>
      </c>
      <c r="M94" s="27">
        <f>IF(OR(B94="",J94=""),"",J94+IFERROR(IF(VLOOKUP(C94,Revendeurs!$A:$G,7,FALSE)="",Paramètres!$B$9,VLOOKUP(C94,Revendeurs!$A:$G,7,FALSE)),Paramètres!$B$9))</f>
        <v/>
      </c>
      <c r="N94" s="22" t="n"/>
      <c r="O94" s="23">
        <f>IF(H94="","",H94-N94)</f>
        <v/>
      </c>
      <c r="P94" s="25">
        <f>IF(OR(M94="",O94=""),"",IF(O94&lt;=0,0,MAX(0,Paramètres!$B$4-M94)))</f>
        <v/>
      </c>
      <c r="Q94" s="25">
        <f>IF(H94="","",IF(O94&lt;=0,"Payée",IF(M94="","Pas encore livrée",IF(P94=0,"Non échue",IF(P94&gt;=Paramètres!$B$7,"Relance 3 : appel direction",IF(P94&gt;=Paramètres!$B$6,"Relance 2",IF(P94&gt;=Paramètres!$B$5,"Relance 1","Échue, relance à venir")))))))</f>
        <v/>
      </c>
      <c r="R94" s="25">
        <f>IF(B94="","",IF(U94=Paramètres!$B$4,"Relancé aujourd'hui",TRIM(IF(LEFT(Q94,7)="Relance",Q94&amp;" ","")&amp;IF(K94="En retard","· Prévenir du retard de livraison",""))))</f>
        <v/>
      </c>
      <c r="S94" s="28">
        <f>IF(B94="","",IF(LEFT(Q94,9)="Relance 3","Bonjour "&amp;D94&amp;", nous revenons vers vous au sujet de la commande "&amp;A94&amp;" du "&amp;TEXT(B94,"dd/mm/yyyy")&amp;" : "&amp;SUBSTITUTE(TEXT(O94,"#,##0"),","," ")&amp;" FCFA restent à régler depuis le "&amp;TEXT(M94,"dd/mm/yyyy")&amp;". Notre responsable souhaite vous appeler pour convenir ensemble d'une solution. Quel moment vous arrange cette semaine ? "&amp;Paramètres!$B$11&amp;", "&amp;Paramètres!$B$12,IF(LEFT(Q94,7)="Relance","Bonjour "&amp;D94&amp;", sauf erreur de notre part, la commande "&amp;A94&amp;" du "&amp;TEXT(B94,"dd/mm/yyyy")&amp;" ("&amp;E94&amp;") présente un reste à payer de "&amp;SUBSTITUTE(TEXT(O94,"#,##0"),","," ")&amp;" FCFA, échu depuis le "&amp;TEXT(M94,"dd/mm/yyyy")&amp;". Pouvez-vous nous indiquer la date de règlement prévue ? Si le paiement est déjà parti, merci de nous envoyer la preuve et ne tenez pas compte de ce message. "&amp;Paramètres!$B$11&amp;", "&amp;Paramètres!$B$12,IF(K94="En retard","Bonjour "&amp;D94&amp;", votre commande "&amp;A94&amp;" ("&amp;E94&amp;", "&amp;F94&amp;" pièces) prévue le "&amp;TEXT(I94,"dd/mm/yyyy")&amp;" a pris du retard. Nous vous confirmons la nouvelle date de livraison dans la journée. Toutes nos excuses pour ce contretemps. "&amp;Paramètres!$B$11&amp;", "&amp;Paramètres!$B$12,""))))</f>
        <v/>
      </c>
      <c r="T94" s="21" t="n"/>
      <c r="U94" s="26" t="n"/>
      <c r="V94" s="21" t="n"/>
    </row>
    <row r="95">
      <c r="A95" s="21" t="n"/>
      <c r="B95" s="26" t="n"/>
      <c r="C95" s="21" t="n"/>
      <c r="D95" s="25">
        <f>IF(C95="","",IFERROR(VLOOKUP(C95,Revendeurs!$A:$B,2,FALSE),"Code inconnu"))</f>
        <v/>
      </c>
      <c r="E95" s="21" t="n"/>
      <c r="F95" s="21" t="n"/>
      <c r="G95" s="22" t="n"/>
      <c r="H95" s="23">
        <f>IF(OR(F95="",G95=""),"",F95*G95)</f>
        <v/>
      </c>
      <c r="I95" s="26" t="n"/>
      <c r="J95" s="26" t="n"/>
      <c r="K95" s="25">
        <f>IF(B95="","",IF(J95&lt;&gt;"","Livrée",IF(I95="","À planifier",IF(Paramètres!$B$4&gt;I95+Paramètres!$B$8,"En retard","En cours"))))</f>
        <v/>
      </c>
      <c r="L95" s="25">
        <f>IF(K95="En retard",Paramètres!$B$4-I95,"")</f>
        <v/>
      </c>
      <c r="M95" s="27">
        <f>IF(OR(B95="",J95=""),"",J95+IFERROR(IF(VLOOKUP(C95,Revendeurs!$A:$G,7,FALSE)="",Paramètres!$B$9,VLOOKUP(C95,Revendeurs!$A:$G,7,FALSE)),Paramètres!$B$9))</f>
        <v/>
      </c>
      <c r="N95" s="22" t="n"/>
      <c r="O95" s="23">
        <f>IF(H95="","",H95-N95)</f>
        <v/>
      </c>
      <c r="P95" s="25">
        <f>IF(OR(M95="",O95=""),"",IF(O95&lt;=0,0,MAX(0,Paramètres!$B$4-M95)))</f>
        <v/>
      </c>
      <c r="Q95" s="25">
        <f>IF(H95="","",IF(O95&lt;=0,"Payée",IF(M95="","Pas encore livrée",IF(P95=0,"Non échue",IF(P95&gt;=Paramètres!$B$7,"Relance 3 : appel direction",IF(P95&gt;=Paramètres!$B$6,"Relance 2",IF(P95&gt;=Paramètres!$B$5,"Relance 1","Échue, relance à venir")))))))</f>
        <v/>
      </c>
      <c r="R95" s="25">
        <f>IF(B95="","",IF(U95=Paramètres!$B$4,"Relancé aujourd'hui",TRIM(IF(LEFT(Q95,7)="Relance",Q95&amp;" ","")&amp;IF(K95="En retard","· Prévenir du retard de livraison",""))))</f>
        <v/>
      </c>
      <c r="S95" s="28">
        <f>IF(B95="","",IF(LEFT(Q95,9)="Relance 3","Bonjour "&amp;D95&amp;", nous revenons vers vous au sujet de la commande "&amp;A95&amp;" du "&amp;TEXT(B95,"dd/mm/yyyy")&amp;" : "&amp;SUBSTITUTE(TEXT(O95,"#,##0"),","," ")&amp;" FCFA restent à régler depuis le "&amp;TEXT(M95,"dd/mm/yyyy")&amp;". Notre responsable souhaite vous appeler pour convenir ensemble d'une solution. Quel moment vous arrange cette semaine ? "&amp;Paramètres!$B$11&amp;", "&amp;Paramètres!$B$12,IF(LEFT(Q95,7)="Relance","Bonjour "&amp;D95&amp;", sauf erreur de notre part, la commande "&amp;A95&amp;" du "&amp;TEXT(B95,"dd/mm/yyyy")&amp;" ("&amp;E95&amp;") présente un reste à payer de "&amp;SUBSTITUTE(TEXT(O95,"#,##0"),","," ")&amp;" FCFA, échu depuis le "&amp;TEXT(M95,"dd/mm/yyyy")&amp;". Pouvez-vous nous indiquer la date de règlement prévue ? Si le paiement est déjà parti, merci de nous envoyer la preuve et ne tenez pas compte de ce message. "&amp;Paramètres!$B$11&amp;", "&amp;Paramètres!$B$12,IF(K95="En retard","Bonjour "&amp;D95&amp;", votre commande "&amp;A95&amp;" ("&amp;E95&amp;", "&amp;F95&amp;" pièces) prévue le "&amp;TEXT(I95,"dd/mm/yyyy")&amp;" a pris du retard. Nous vous confirmons la nouvelle date de livraison dans la journée. Toutes nos excuses pour ce contretemps. "&amp;Paramètres!$B$11&amp;", "&amp;Paramètres!$B$12,""))))</f>
        <v/>
      </c>
      <c r="T95" s="21" t="n"/>
      <c r="U95" s="26" t="n"/>
      <c r="V95" s="21" t="n"/>
    </row>
    <row r="96">
      <c r="A96" s="21" t="n"/>
      <c r="B96" s="26" t="n"/>
      <c r="C96" s="21" t="n"/>
      <c r="D96" s="25">
        <f>IF(C96="","",IFERROR(VLOOKUP(C96,Revendeurs!$A:$B,2,FALSE),"Code inconnu"))</f>
        <v/>
      </c>
      <c r="E96" s="21" t="n"/>
      <c r="F96" s="21" t="n"/>
      <c r="G96" s="22" t="n"/>
      <c r="H96" s="23">
        <f>IF(OR(F96="",G96=""),"",F96*G96)</f>
        <v/>
      </c>
      <c r="I96" s="26" t="n"/>
      <c r="J96" s="26" t="n"/>
      <c r="K96" s="25">
        <f>IF(B96="","",IF(J96&lt;&gt;"","Livrée",IF(I96="","À planifier",IF(Paramètres!$B$4&gt;I96+Paramètres!$B$8,"En retard","En cours"))))</f>
        <v/>
      </c>
      <c r="L96" s="25">
        <f>IF(K96="En retard",Paramètres!$B$4-I96,"")</f>
        <v/>
      </c>
      <c r="M96" s="27">
        <f>IF(OR(B96="",J96=""),"",J96+IFERROR(IF(VLOOKUP(C96,Revendeurs!$A:$G,7,FALSE)="",Paramètres!$B$9,VLOOKUP(C96,Revendeurs!$A:$G,7,FALSE)),Paramètres!$B$9))</f>
        <v/>
      </c>
      <c r="N96" s="22" t="n"/>
      <c r="O96" s="23">
        <f>IF(H96="","",H96-N96)</f>
        <v/>
      </c>
      <c r="P96" s="25">
        <f>IF(OR(M96="",O96=""),"",IF(O96&lt;=0,0,MAX(0,Paramètres!$B$4-M96)))</f>
        <v/>
      </c>
      <c r="Q96" s="25">
        <f>IF(H96="","",IF(O96&lt;=0,"Payée",IF(M96="","Pas encore livrée",IF(P96=0,"Non échue",IF(P96&gt;=Paramètres!$B$7,"Relance 3 : appel direction",IF(P96&gt;=Paramètres!$B$6,"Relance 2",IF(P96&gt;=Paramètres!$B$5,"Relance 1","Échue, relance à venir")))))))</f>
        <v/>
      </c>
      <c r="R96" s="25">
        <f>IF(B96="","",IF(U96=Paramètres!$B$4,"Relancé aujourd'hui",TRIM(IF(LEFT(Q96,7)="Relance",Q96&amp;" ","")&amp;IF(K96="En retard","· Prévenir du retard de livraison",""))))</f>
        <v/>
      </c>
      <c r="S96" s="28">
        <f>IF(B96="","",IF(LEFT(Q96,9)="Relance 3","Bonjour "&amp;D96&amp;", nous revenons vers vous au sujet de la commande "&amp;A96&amp;" du "&amp;TEXT(B96,"dd/mm/yyyy")&amp;" : "&amp;SUBSTITUTE(TEXT(O96,"#,##0"),","," ")&amp;" FCFA restent à régler depuis le "&amp;TEXT(M96,"dd/mm/yyyy")&amp;". Notre responsable souhaite vous appeler pour convenir ensemble d'une solution. Quel moment vous arrange cette semaine ? "&amp;Paramètres!$B$11&amp;", "&amp;Paramètres!$B$12,IF(LEFT(Q96,7)="Relance","Bonjour "&amp;D96&amp;", sauf erreur de notre part, la commande "&amp;A96&amp;" du "&amp;TEXT(B96,"dd/mm/yyyy")&amp;" ("&amp;E96&amp;") présente un reste à payer de "&amp;SUBSTITUTE(TEXT(O96,"#,##0"),","," ")&amp;" FCFA, échu depuis le "&amp;TEXT(M96,"dd/mm/yyyy")&amp;". Pouvez-vous nous indiquer la date de règlement prévue ? Si le paiement est déjà parti, merci de nous envoyer la preuve et ne tenez pas compte de ce message. "&amp;Paramètres!$B$11&amp;", "&amp;Paramètres!$B$12,IF(K96="En retard","Bonjour "&amp;D96&amp;", votre commande "&amp;A96&amp;" ("&amp;E96&amp;", "&amp;F96&amp;" pièces) prévue le "&amp;TEXT(I96,"dd/mm/yyyy")&amp;" a pris du retard. Nous vous confirmons la nouvelle date de livraison dans la journée. Toutes nos excuses pour ce contretemps. "&amp;Paramètres!$B$11&amp;", "&amp;Paramètres!$B$12,""))))</f>
        <v/>
      </c>
      <c r="T96" s="21" t="n"/>
      <c r="U96" s="26" t="n"/>
      <c r="V96" s="21" t="n"/>
    </row>
    <row r="97">
      <c r="A97" s="21" t="n"/>
      <c r="B97" s="26" t="n"/>
      <c r="C97" s="21" t="n"/>
      <c r="D97" s="25">
        <f>IF(C97="","",IFERROR(VLOOKUP(C97,Revendeurs!$A:$B,2,FALSE),"Code inconnu"))</f>
        <v/>
      </c>
      <c r="E97" s="21" t="n"/>
      <c r="F97" s="21" t="n"/>
      <c r="G97" s="22" t="n"/>
      <c r="H97" s="23">
        <f>IF(OR(F97="",G97=""),"",F97*G97)</f>
        <v/>
      </c>
      <c r="I97" s="26" t="n"/>
      <c r="J97" s="26" t="n"/>
      <c r="K97" s="25">
        <f>IF(B97="","",IF(J97&lt;&gt;"","Livrée",IF(I97="","À planifier",IF(Paramètres!$B$4&gt;I97+Paramètres!$B$8,"En retard","En cours"))))</f>
        <v/>
      </c>
      <c r="L97" s="25">
        <f>IF(K97="En retard",Paramètres!$B$4-I97,"")</f>
        <v/>
      </c>
      <c r="M97" s="27">
        <f>IF(OR(B97="",J97=""),"",J97+IFERROR(IF(VLOOKUP(C97,Revendeurs!$A:$G,7,FALSE)="",Paramètres!$B$9,VLOOKUP(C97,Revendeurs!$A:$G,7,FALSE)),Paramètres!$B$9))</f>
        <v/>
      </c>
      <c r="N97" s="22" t="n"/>
      <c r="O97" s="23">
        <f>IF(H97="","",H97-N97)</f>
        <v/>
      </c>
      <c r="P97" s="25">
        <f>IF(OR(M97="",O97=""),"",IF(O97&lt;=0,0,MAX(0,Paramètres!$B$4-M97)))</f>
        <v/>
      </c>
      <c r="Q97" s="25">
        <f>IF(H97="","",IF(O97&lt;=0,"Payée",IF(M97="","Pas encore livrée",IF(P97=0,"Non échue",IF(P97&gt;=Paramètres!$B$7,"Relance 3 : appel direction",IF(P97&gt;=Paramètres!$B$6,"Relance 2",IF(P97&gt;=Paramètres!$B$5,"Relance 1","Échue, relance à venir")))))))</f>
        <v/>
      </c>
      <c r="R97" s="25">
        <f>IF(B97="","",IF(U97=Paramètres!$B$4,"Relancé aujourd'hui",TRIM(IF(LEFT(Q97,7)="Relance",Q97&amp;" ","")&amp;IF(K97="En retard","· Prévenir du retard de livraison",""))))</f>
        <v/>
      </c>
      <c r="S97" s="28">
        <f>IF(B97="","",IF(LEFT(Q97,9)="Relance 3","Bonjour "&amp;D97&amp;", nous revenons vers vous au sujet de la commande "&amp;A97&amp;" du "&amp;TEXT(B97,"dd/mm/yyyy")&amp;" : "&amp;SUBSTITUTE(TEXT(O97,"#,##0"),","," ")&amp;" FCFA restent à régler depuis le "&amp;TEXT(M97,"dd/mm/yyyy")&amp;". Notre responsable souhaite vous appeler pour convenir ensemble d'une solution. Quel moment vous arrange cette semaine ? "&amp;Paramètres!$B$11&amp;", "&amp;Paramètres!$B$12,IF(LEFT(Q97,7)="Relance","Bonjour "&amp;D97&amp;", sauf erreur de notre part, la commande "&amp;A97&amp;" du "&amp;TEXT(B97,"dd/mm/yyyy")&amp;" ("&amp;E97&amp;") présente un reste à payer de "&amp;SUBSTITUTE(TEXT(O97,"#,##0"),","," ")&amp;" FCFA, échu depuis le "&amp;TEXT(M97,"dd/mm/yyyy")&amp;". Pouvez-vous nous indiquer la date de règlement prévue ? Si le paiement est déjà parti, merci de nous envoyer la preuve et ne tenez pas compte de ce message. "&amp;Paramètres!$B$11&amp;", "&amp;Paramètres!$B$12,IF(K97="En retard","Bonjour "&amp;D97&amp;", votre commande "&amp;A97&amp;" ("&amp;E97&amp;", "&amp;F97&amp;" pièces) prévue le "&amp;TEXT(I97,"dd/mm/yyyy")&amp;" a pris du retard. Nous vous confirmons la nouvelle date de livraison dans la journée. Toutes nos excuses pour ce contretemps. "&amp;Paramètres!$B$11&amp;", "&amp;Paramètres!$B$12,""))))</f>
        <v/>
      </c>
      <c r="T97" s="21" t="n"/>
      <c r="U97" s="26" t="n"/>
      <c r="V97" s="21" t="n"/>
    </row>
    <row r="98">
      <c r="A98" s="21" t="n"/>
      <c r="B98" s="26" t="n"/>
      <c r="C98" s="21" t="n"/>
      <c r="D98" s="25">
        <f>IF(C98="","",IFERROR(VLOOKUP(C98,Revendeurs!$A:$B,2,FALSE),"Code inconnu"))</f>
        <v/>
      </c>
      <c r="E98" s="21" t="n"/>
      <c r="F98" s="21" t="n"/>
      <c r="G98" s="22" t="n"/>
      <c r="H98" s="23">
        <f>IF(OR(F98="",G98=""),"",F98*G98)</f>
        <v/>
      </c>
      <c r="I98" s="26" t="n"/>
      <c r="J98" s="26" t="n"/>
      <c r="K98" s="25">
        <f>IF(B98="","",IF(J98&lt;&gt;"","Livrée",IF(I98="","À planifier",IF(Paramètres!$B$4&gt;I98+Paramètres!$B$8,"En retard","En cours"))))</f>
        <v/>
      </c>
      <c r="L98" s="25">
        <f>IF(K98="En retard",Paramètres!$B$4-I98,"")</f>
        <v/>
      </c>
      <c r="M98" s="27">
        <f>IF(OR(B98="",J98=""),"",J98+IFERROR(IF(VLOOKUP(C98,Revendeurs!$A:$G,7,FALSE)="",Paramètres!$B$9,VLOOKUP(C98,Revendeurs!$A:$G,7,FALSE)),Paramètres!$B$9))</f>
        <v/>
      </c>
      <c r="N98" s="22" t="n"/>
      <c r="O98" s="23">
        <f>IF(H98="","",H98-N98)</f>
        <v/>
      </c>
      <c r="P98" s="25">
        <f>IF(OR(M98="",O98=""),"",IF(O98&lt;=0,0,MAX(0,Paramètres!$B$4-M98)))</f>
        <v/>
      </c>
      <c r="Q98" s="25">
        <f>IF(H98="","",IF(O98&lt;=0,"Payée",IF(M98="","Pas encore livrée",IF(P98=0,"Non échue",IF(P98&gt;=Paramètres!$B$7,"Relance 3 : appel direction",IF(P98&gt;=Paramètres!$B$6,"Relance 2",IF(P98&gt;=Paramètres!$B$5,"Relance 1","Échue, relance à venir")))))))</f>
        <v/>
      </c>
      <c r="R98" s="25">
        <f>IF(B98="","",IF(U98=Paramètres!$B$4,"Relancé aujourd'hui",TRIM(IF(LEFT(Q98,7)="Relance",Q98&amp;" ","")&amp;IF(K98="En retard","· Prévenir du retard de livraison",""))))</f>
        <v/>
      </c>
      <c r="S98" s="28">
        <f>IF(B98="","",IF(LEFT(Q98,9)="Relance 3","Bonjour "&amp;D98&amp;", nous revenons vers vous au sujet de la commande "&amp;A98&amp;" du "&amp;TEXT(B98,"dd/mm/yyyy")&amp;" : "&amp;SUBSTITUTE(TEXT(O98,"#,##0"),","," ")&amp;" FCFA restent à régler depuis le "&amp;TEXT(M98,"dd/mm/yyyy")&amp;". Notre responsable souhaite vous appeler pour convenir ensemble d'une solution. Quel moment vous arrange cette semaine ? "&amp;Paramètres!$B$11&amp;", "&amp;Paramètres!$B$12,IF(LEFT(Q98,7)="Relance","Bonjour "&amp;D98&amp;", sauf erreur de notre part, la commande "&amp;A98&amp;" du "&amp;TEXT(B98,"dd/mm/yyyy")&amp;" ("&amp;E98&amp;") présente un reste à payer de "&amp;SUBSTITUTE(TEXT(O98,"#,##0"),","," ")&amp;" FCFA, échu depuis le "&amp;TEXT(M98,"dd/mm/yyyy")&amp;". Pouvez-vous nous indiquer la date de règlement prévue ? Si le paiement est déjà parti, merci de nous envoyer la preuve et ne tenez pas compte de ce message. "&amp;Paramètres!$B$11&amp;", "&amp;Paramètres!$B$12,IF(K98="En retard","Bonjour "&amp;D98&amp;", votre commande "&amp;A98&amp;" ("&amp;E98&amp;", "&amp;F98&amp;" pièces) prévue le "&amp;TEXT(I98,"dd/mm/yyyy")&amp;" a pris du retard. Nous vous confirmons la nouvelle date de livraison dans la journée. Toutes nos excuses pour ce contretemps. "&amp;Paramètres!$B$11&amp;", "&amp;Paramètres!$B$12,""))))</f>
        <v/>
      </c>
      <c r="T98" s="21" t="n"/>
      <c r="U98" s="26" t="n"/>
      <c r="V98" s="21" t="n"/>
    </row>
    <row r="99">
      <c r="A99" s="21" t="n"/>
      <c r="B99" s="26" t="n"/>
      <c r="C99" s="21" t="n"/>
      <c r="D99" s="25">
        <f>IF(C99="","",IFERROR(VLOOKUP(C99,Revendeurs!$A:$B,2,FALSE),"Code inconnu"))</f>
        <v/>
      </c>
      <c r="E99" s="21" t="n"/>
      <c r="F99" s="21" t="n"/>
      <c r="G99" s="22" t="n"/>
      <c r="H99" s="23">
        <f>IF(OR(F99="",G99=""),"",F99*G99)</f>
        <v/>
      </c>
      <c r="I99" s="26" t="n"/>
      <c r="J99" s="26" t="n"/>
      <c r="K99" s="25">
        <f>IF(B99="","",IF(J99&lt;&gt;"","Livrée",IF(I99="","À planifier",IF(Paramètres!$B$4&gt;I99+Paramètres!$B$8,"En retard","En cours"))))</f>
        <v/>
      </c>
      <c r="L99" s="25">
        <f>IF(K99="En retard",Paramètres!$B$4-I99,"")</f>
        <v/>
      </c>
      <c r="M99" s="27">
        <f>IF(OR(B99="",J99=""),"",J99+IFERROR(IF(VLOOKUP(C99,Revendeurs!$A:$G,7,FALSE)="",Paramètres!$B$9,VLOOKUP(C99,Revendeurs!$A:$G,7,FALSE)),Paramètres!$B$9))</f>
        <v/>
      </c>
      <c r="N99" s="22" t="n"/>
      <c r="O99" s="23">
        <f>IF(H99="","",H99-N99)</f>
        <v/>
      </c>
      <c r="P99" s="25">
        <f>IF(OR(M99="",O99=""),"",IF(O99&lt;=0,0,MAX(0,Paramètres!$B$4-M99)))</f>
        <v/>
      </c>
      <c r="Q99" s="25">
        <f>IF(H99="","",IF(O99&lt;=0,"Payée",IF(M99="","Pas encore livrée",IF(P99=0,"Non échue",IF(P99&gt;=Paramètres!$B$7,"Relance 3 : appel direction",IF(P99&gt;=Paramètres!$B$6,"Relance 2",IF(P99&gt;=Paramètres!$B$5,"Relance 1","Échue, relance à venir")))))))</f>
        <v/>
      </c>
      <c r="R99" s="25">
        <f>IF(B99="","",IF(U99=Paramètres!$B$4,"Relancé aujourd'hui",TRIM(IF(LEFT(Q99,7)="Relance",Q99&amp;" ","")&amp;IF(K99="En retard","· Prévenir du retard de livraison",""))))</f>
        <v/>
      </c>
      <c r="S99" s="28">
        <f>IF(B99="","",IF(LEFT(Q99,9)="Relance 3","Bonjour "&amp;D99&amp;", nous revenons vers vous au sujet de la commande "&amp;A99&amp;" du "&amp;TEXT(B99,"dd/mm/yyyy")&amp;" : "&amp;SUBSTITUTE(TEXT(O99,"#,##0"),","," ")&amp;" FCFA restent à régler depuis le "&amp;TEXT(M99,"dd/mm/yyyy")&amp;". Notre responsable souhaite vous appeler pour convenir ensemble d'une solution. Quel moment vous arrange cette semaine ? "&amp;Paramètres!$B$11&amp;", "&amp;Paramètres!$B$12,IF(LEFT(Q99,7)="Relance","Bonjour "&amp;D99&amp;", sauf erreur de notre part, la commande "&amp;A99&amp;" du "&amp;TEXT(B99,"dd/mm/yyyy")&amp;" ("&amp;E99&amp;") présente un reste à payer de "&amp;SUBSTITUTE(TEXT(O99,"#,##0"),","," ")&amp;" FCFA, échu depuis le "&amp;TEXT(M99,"dd/mm/yyyy")&amp;". Pouvez-vous nous indiquer la date de règlement prévue ? Si le paiement est déjà parti, merci de nous envoyer la preuve et ne tenez pas compte de ce message. "&amp;Paramètres!$B$11&amp;", "&amp;Paramètres!$B$12,IF(K99="En retard","Bonjour "&amp;D99&amp;", votre commande "&amp;A99&amp;" ("&amp;E99&amp;", "&amp;F99&amp;" pièces) prévue le "&amp;TEXT(I99,"dd/mm/yyyy")&amp;" a pris du retard. Nous vous confirmons la nouvelle date de livraison dans la journée. Toutes nos excuses pour ce contretemps. "&amp;Paramètres!$B$11&amp;", "&amp;Paramètres!$B$12,""))))</f>
        <v/>
      </c>
      <c r="T99" s="21" t="n"/>
      <c r="U99" s="26" t="n"/>
      <c r="V99" s="21" t="n"/>
    </row>
    <row r="100">
      <c r="A100" s="21" t="n"/>
      <c r="B100" s="26" t="n"/>
      <c r="C100" s="21" t="n"/>
      <c r="D100" s="25">
        <f>IF(C100="","",IFERROR(VLOOKUP(C100,Revendeurs!$A:$B,2,FALSE),"Code inconnu"))</f>
        <v/>
      </c>
      <c r="E100" s="21" t="n"/>
      <c r="F100" s="21" t="n"/>
      <c r="G100" s="22" t="n"/>
      <c r="H100" s="23">
        <f>IF(OR(F100="",G100=""),"",F100*G100)</f>
        <v/>
      </c>
      <c r="I100" s="26" t="n"/>
      <c r="J100" s="26" t="n"/>
      <c r="K100" s="25">
        <f>IF(B100="","",IF(J100&lt;&gt;"","Livrée",IF(I100="","À planifier",IF(Paramètres!$B$4&gt;I100+Paramètres!$B$8,"En retard","En cours"))))</f>
        <v/>
      </c>
      <c r="L100" s="25">
        <f>IF(K100="En retard",Paramètres!$B$4-I100,"")</f>
        <v/>
      </c>
      <c r="M100" s="27">
        <f>IF(OR(B100="",J100=""),"",J100+IFERROR(IF(VLOOKUP(C100,Revendeurs!$A:$G,7,FALSE)="",Paramètres!$B$9,VLOOKUP(C100,Revendeurs!$A:$G,7,FALSE)),Paramètres!$B$9))</f>
        <v/>
      </c>
      <c r="N100" s="22" t="n"/>
      <c r="O100" s="23">
        <f>IF(H100="","",H100-N100)</f>
        <v/>
      </c>
      <c r="P100" s="25">
        <f>IF(OR(M100="",O100=""),"",IF(O100&lt;=0,0,MAX(0,Paramètres!$B$4-M100)))</f>
        <v/>
      </c>
      <c r="Q100" s="25">
        <f>IF(H100="","",IF(O100&lt;=0,"Payée",IF(M100="","Pas encore livrée",IF(P100=0,"Non échue",IF(P100&gt;=Paramètres!$B$7,"Relance 3 : appel direction",IF(P100&gt;=Paramètres!$B$6,"Relance 2",IF(P100&gt;=Paramètres!$B$5,"Relance 1","Échue, relance à venir")))))))</f>
        <v/>
      </c>
      <c r="R100" s="25">
        <f>IF(B100="","",IF(U100=Paramètres!$B$4,"Relancé aujourd'hui",TRIM(IF(LEFT(Q100,7)="Relance",Q100&amp;" ","")&amp;IF(K100="En retard","· Prévenir du retard de livraison",""))))</f>
        <v/>
      </c>
      <c r="S100" s="28">
        <f>IF(B100="","",IF(LEFT(Q100,9)="Relance 3","Bonjour "&amp;D100&amp;", nous revenons vers vous au sujet de la commande "&amp;A100&amp;" du "&amp;TEXT(B100,"dd/mm/yyyy")&amp;" : "&amp;SUBSTITUTE(TEXT(O100,"#,##0"),","," ")&amp;" FCFA restent à régler depuis le "&amp;TEXT(M100,"dd/mm/yyyy")&amp;". Notre responsable souhaite vous appeler pour convenir ensemble d'une solution. Quel moment vous arrange cette semaine ? "&amp;Paramètres!$B$11&amp;", "&amp;Paramètres!$B$12,IF(LEFT(Q100,7)="Relance","Bonjour "&amp;D100&amp;", sauf erreur de notre part, la commande "&amp;A100&amp;" du "&amp;TEXT(B100,"dd/mm/yyyy")&amp;" ("&amp;E100&amp;") présente un reste à payer de "&amp;SUBSTITUTE(TEXT(O100,"#,##0"),","," ")&amp;" FCFA, échu depuis le "&amp;TEXT(M100,"dd/mm/yyyy")&amp;". Pouvez-vous nous indiquer la date de règlement prévue ? Si le paiement est déjà parti, merci de nous envoyer la preuve et ne tenez pas compte de ce message. "&amp;Paramètres!$B$11&amp;", "&amp;Paramètres!$B$12,IF(K100="En retard","Bonjour "&amp;D100&amp;", votre commande "&amp;A100&amp;" ("&amp;E100&amp;", "&amp;F100&amp;" pièces) prévue le "&amp;TEXT(I100,"dd/mm/yyyy")&amp;" a pris du retard. Nous vous confirmons la nouvelle date de livraison dans la journée. Toutes nos excuses pour ce contretemps. "&amp;Paramètres!$B$11&amp;", "&amp;Paramètres!$B$12,""))))</f>
        <v/>
      </c>
      <c r="T100" s="21" t="n"/>
      <c r="U100" s="26" t="n"/>
      <c r="V100" s="21" t="n"/>
    </row>
    <row r="101">
      <c r="A101" s="21" t="n"/>
      <c r="B101" s="26" t="n"/>
      <c r="C101" s="21" t="n"/>
      <c r="D101" s="25">
        <f>IF(C101="","",IFERROR(VLOOKUP(C101,Revendeurs!$A:$B,2,FALSE),"Code inconnu"))</f>
        <v/>
      </c>
      <c r="E101" s="21" t="n"/>
      <c r="F101" s="21" t="n"/>
      <c r="G101" s="22" t="n"/>
      <c r="H101" s="23">
        <f>IF(OR(F101="",G101=""),"",F101*G101)</f>
        <v/>
      </c>
      <c r="I101" s="26" t="n"/>
      <c r="J101" s="26" t="n"/>
      <c r="K101" s="25">
        <f>IF(B101="","",IF(J101&lt;&gt;"","Livrée",IF(I101="","À planifier",IF(Paramètres!$B$4&gt;I101+Paramètres!$B$8,"En retard","En cours"))))</f>
        <v/>
      </c>
      <c r="L101" s="25">
        <f>IF(K101="En retard",Paramètres!$B$4-I101,"")</f>
        <v/>
      </c>
      <c r="M101" s="27">
        <f>IF(OR(B101="",J101=""),"",J101+IFERROR(IF(VLOOKUP(C101,Revendeurs!$A:$G,7,FALSE)="",Paramètres!$B$9,VLOOKUP(C101,Revendeurs!$A:$G,7,FALSE)),Paramètres!$B$9))</f>
        <v/>
      </c>
      <c r="N101" s="22" t="n"/>
      <c r="O101" s="23">
        <f>IF(H101="","",H101-N101)</f>
        <v/>
      </c>
      <c r="P101" s="25">
        <f>IF(OR(M101="",O101=""),"",IF(O101&lt;=0,0,MAX(0,Paramètres!$B$4-M101)))</f>
        <v/>
      </c>
      <c r="Q101" s="25">
        <f>IF(H101="","",IF(O101&lt;=0,"Payée",IF(M101="","Pas encore livrée",IF(P101=0,"Non échue",IF(P101&gt;=Paramètres!$B$7,"Relance 3 : appel direction",IF(P101&gt;=Paramètres!$B$6,"Relance 2",IF(P101&gt;=Paramètres!$B$5,"Relance 1","Échue, relance à venir")))))))</f>
        <v/>
      </c>
      <c r="R101" s="25">
        <f>IF(B101="","",IF(U101=Paramètres!$B$4,"Relancé aujourd'hui",TRIM(IF(LEFT(Q101,7)="Relance",Q101&amp;" ","")&amp;IF(K101="En retard","· Prévenir du retard de livraison",""))))</f>
        <v/>
      </c>
      <c r="S101" s="28">
        <f>IF(B101="","",IF(LEFT(Q101,9)="Relance 3","Bonjour "&amp;D101&amp;", nous revenons vers vous au sujet de la commande "&amp;A101&amp;" du "&amp;TEXT(B101,"dd/mm/yyyy")&amp;" : "&amp;SUBSTITUTE(TEXT(O101,"#,##0"),","," ")&amp;" FCFA restent à régler depuis le "&amp;TEXT(M101,"dd/mm/yyyy")&amp;". Notre responsable souhaite vous appeler pour convenir ensemble d'une solution. Quel moment vous arrange cette semaine ? "&amp;Paramètres!$B$11&amp;", "&amp;Paramètres!$B$12,IF(LEFT(Q101,7)="Relance","Bonjour "&amp;D101&amp;", sauf erreur de notre part, la commande "&amp;A101&amp;" du "&amp;TEXT(B101,"dd/mm/yyyy")&amp;" ("&amp;E101&amp;") présente un reste à payer de "&amp;SUBSTITUTE(TEXT(O101,"#,##0"),","," ")&amp;" FCFA, échu depuis le "&amp;TEXT(M101,"dd/mm/yyyy")&amp;". Pouvez-vous nous indiquer la date de règlement prévue ? Si le paiement est déjà parti, merci de nous envoyer la preuve et ne tenez pas compte de ce message. "&amp;Paramètres!$B$11&amp;", "&amp;Paramètres!$B$12,IF(K101="En retard","Bonjour "&amp;D101&amp;", votre commande "&amp;A101&amp;" ("&amp;E101&amp;", "&amp;F101&amp;" pièces) prévue le "&amp;TEXT(I101,"dd/mm/yyyy")&amp;" a pris du retard. Nous vous confirmons la nouvelle date de livraison dans la journée. Toutes nos excuses pour ce contretemps. "&amp;Paramètres!$B$11&amp;", "&amp;Paramètres!$B$12,""))))</f>
        <v/>
      </c>
      <c r="T101" s="21" t="n"/>
      <c r="U101" s="26" t="n"/>
      <c r="V101" s="21" t="n"/>
    </row>
    <row r="102">
      <c r="A102" s="21" t="n"/>
      <c r="B102" s="26" t="n"/>
      <c r="C102" s="21" t="n"/>
      <c r="D102" s="25">
        <f>IF(C102="","",IFERROR(VLOOKUP(C102,Revendeurs!$A:$B,2,FALSE),"Code inconnu"))</f>
        <v/>
      </c>
      <c r="E102" s="21" t="n"/>
      <c r="F102" s="21" t="n"/>
      <c r="G102" s="22" t="n"/>
      <c r="H102" s="23">
        <f>IF(OR(F102="",G102=""),"",F102*G102)</f>
        <v/>
      </c>
      <c r="I102" s="26" t="n"/>
      <c r="J102" s="26" t="n"/>
      <c r="K102" s="25">
        <f>IF(B102="","",IF(J102&lt;&gt;"","Livrée",IF(I102="","À planifier",IF(Paramètres!$B$4&gt;I102+Paramètres!$B$8,"En retard","En cours"))))</f>
        <v/>
      </c>
      <c r="L102" s="25">
        <f>IF(K102="En retard",Paramètres!$B$4-I102,"")</f>
        <v/>
      </c>
      <c r="M102" s="27">
        <f>IF(OR(B102="",J102=""),"",J102+IFERROR(IF(VLOOKUP(C102,Revendeurs!$A:$G,7,FALSE)="",Paramètres!$B$9,VLOOKUP(C102,Revendeurs!$A:$G,7,FALSE)),Paramètres!$B$9))</f>
        <v/>
      </c>
      <c r="N102" s="22" t="n"/>
      <c r="O102" s="23">
        <f>IF(H102="","",H102-N102)</f>
        <v/>
      </c>
      <c r="P102" s="25">
        <f>IF(OR(M102="",O102=""),"",IF(O102&lt;=0,0,MAX(0,Paramètres!$B$4-M102)))</f>
        <v/>
      </c>
      <c r="Q102" s="25">
        <f>IF(H102="","",IF(O102&lt;=0,"Payée",IF(M102="","Pas encore livrée",IF(P102=0,"Non échue",IF(P102&gt;=Paramètres!$B$7,"Relance 3 : appel direction",IF(P102&gt;=Paramètres!$B$6,"Relance 2",IF(P102&gt;=Paramètres!$B$5,"Relance 1","Échue, relance à venir")))))))</f>
        <v/>
      </c>
      <c r="R102" s="25">
        <f>IF(B102="","",IF(U102=Paramètres!$B$4,"Relancé aujourd'hui",TRIM(IF(LEFT(Q102,7)="Relance",Q102&amp;" ","")&amp;IF(K102="En retard","· Prévenir du retard de livraison",""))))</f>
        <v/>
      </c>
      <c r="S102" s="28">
        <f>IF(B102="","",IF(LEFT(Q102,9)="Relance 3","Bonjour "&amp;D102&amp;", nous revenons vers vous au sujet de la commande "&amp;A102&amp;" du "&amp;TEXT(B102,"dd/mm/yyyy")&amp;" : "&amp;SUBSTITUTE(TEXT(O102,"#,##0"),","," ")&amp;" FCFA restent à régler depuis le "&amp;TEXT(M102,"dd/mm/yyyy")&amp;". Notre responsable souhaite vous appeler pour convenir ensemble d'une solution. Quel moment vous arrange cette semaine ? "&amp;Paramètres!$B$11&amp;", "&amp;Paramètres!$B$12,IF(LEFT(Q102,7)="Relance","Bonjour "&amp;D102&amp;", sauf erreur de notre part, la commande "&amp;A102&amp;" du "&amp;TEXT(B102,"dd/mm/yyyy")&amp;" ("&amp;E102&amp;") présente un reste à payer de "&amp;SUBSTITUTE(TEXT(O102,"#,##0"),","," ")&amp;" FCFA, échu depuis le "&amp;TEXT(M102,"dd/mm/yyyy")&amp;". Pouvez-vous nous indiquer la date de règlement prévue ? Si le paiement est déjà parti, merci de nous envoyer la preuve et ne tenez pas compte de ce message. "&amp;Paramètres!$B$11&amp;", "&amp;Paramètres!$B$12,IF(K102="En retard","Bonjour "&amp;D102&amp;", votre commande "&amp;A102&amp;" ("&amp;E102&amp;", "&amp;F102&amp;" pièces) prévue le "&amp;TEXT(I102,"dd/mm/yyyy")&amp;" a pris du retard. Nous vous confirmons la nouvelle date de livraison dans la journée. Toutes nos excuses pour ce contretemps. "&amp;Paramètres!$B$11&amp;", "&amp;Paramètres!$B$12,""))))</f>
        <v/>
      </c>
      <c r="T102" s="21" t="n"/>
      <c r="U102" s="26" t="n"/>
      <c r="V102" s="21" t="n"/>
    </row>
    <row r="103">
      <c r="A103" s="21" t="n"/>
      <c r="B103" s="26" t="n"/>
      <c r="C103" s="21" t="n"/>
      <c r="D103" s="25">
        <f>IF(C103="","",IFERROR(VLOOKUP(C103,Revendeurs!$A:$B,2,FALSE),"Code inconnu"))</f>
        <v/>
      </c>
      <c r="E103" s="21" t="n"/>
      <c r="F103" s="21" t="n"/>
      <c r="G103" s="22" t="n"/>
      <c r="H103" s="23">
        <f>IF(OR(F103="",G103=""),"",F103*G103)</f>
        <v/>
      </c>
      <c r="I103" s="26" t="n"/>
      <c r="J103" s="26" t="n"/>
      <c r="K103" s="25">
        <f>IF(B103="","",IF(J103&lt;&gt;"","Livrée",IF(I103="","À planifier",IF(Paramètres!$B$4&gt;I103+Paramètres!$B$8,"En retard","En cours"))))</f>
        <v/>
      </c>
      <c r="L103" s="25">
        <f>IF(K103="En retard",Paramètres!$B$4-I103,"")</f>
        <v/>
      </c>
      <c r="M103" s="27">
        <f>IF(OR(B103="",J103=""),"",J103+IFERROR(IF(VLOOKUP(C103,Revendeurs!$A:$G,7,FALSE)="",Paramètres!$B$9,VLOOKUP(C103,Revendeurs!$A:$G,7,FALSE)),Paramètres!$B$9))</f>
        <v/>
      </c>
      <c r="N103" s="22" t="n"/>
      <c r="O103" s="23">
        <f>IF(H103="","",H103-N103)</f>
        <v/>
      </c>
      <c r="P103" s="25">
        <f>IF(OR(M103="",O103=""),"",IF(O103&lt;=0,0,MAX(0,Paramètres!$B$4-M103)))</f>
        <v/>
      </c>
      <c r="Q103" s="25">
        <f>IF(H103="","",IF(O103&lt;=0,"Payée",IF(M103="","Pas encore livrée",IF(P103=0,"Non échue",IF(P103&gt;=Paramètres!$B$7,"Relance 3 : appel direction",IF(P103&gt;=Paramètres!$B$6,"Relance 2",IF(P103&gt;=Paramètres!$B$5,"Relance 1","Échue, relance à venir")))))))</f>
        <v/>
      </c>
      <c r="R103" s="25">
        <f>IF(B103="","",IF(U103=Paramètres!$B$4,"Relancé aujourd'hui",TRIM(IF(LEFT(Q103,7)="Relance",Q103&amp;" ","")&amp;IF(K103="En retard","· Prévenir du retard de livraison",""))))</f>
        <v/>
      </c>
      <c r="S103" s="28">
        <f>IF(B103="","",IF(LEFT(Q103,9)="Relance 3","Bonjour "&amp;D103&amp;", nous revenons vers vous au sujet de la commande "&amp;A103&amp;" du "&amp;TEXT(B103,"dd/mm/yyyy")&amp;" : "&amp;SUBSTITUTE(TEXT(O103,"#,##0"),","," ")&amp;" FCFA restent à régler depuis le "&amp;TEXT(M103,"dd/mm/yyyy")&amp;". Notre responsable souhaite vous appeler pour convenir ensemble d'une solution. Quel moment vous arrange cette semaine ? "&amp;Paramètres!$B$11&amp;", "&amp;Paramètres!$B$12,IF(LEFT(Q103,7)="Relance","Bonjour "&amp;D103&amp;", sauf erreur de notre part, la commande "&amp;A103&amp;" du "&amp;TEXT(B103,"dd/mm/yyyy")&amp;" ("&amp;E103&amp;") présente un reste à payer de "&amp;SUBSTITUTE(TEXT(O103,"#,##0"),","," ")&amp;" FCFA, échu depuis le "&amp;TEXT(M103,"dd/mm/yyyy")&amp;". Pouvez-vous nous indiquer la date de règlement prévue ? Si le paiement est déjà parti, merci de nous envoyer la preuve et ne tenez pas compte de ce message. "&amp;Paramètres!$B$11&amp;", "&amp;Paramètres!$B$12,IF(K103="En retard","Bonjour "&amp;D103&amp;", votre commande "&amp;A103&amp;" ("&amp;E103&amp;", "&amp;F103&amp;" pièces) prévue le "&amp;TEXT(I103,"dd/mm/yyyy")&amp;" a pris du retard. Nous vous confirmons la nouvelle date de livraison dans la journée. Toutes nos excuses pour ce contretemps. "&amp;Paramètres!$B$11&amp;", "&amp;Paramètres!$B$12,""))))</f>
        <v/>
      </c>
      <c r="T103" s="21" t="n"/>
      <c r="U103" s="26" t="n"/>
      <c r="V103" s="21" t="n"/>
    </row>
    <row r="104">
      <c r="A104" s="21" t="n"/>
      <c r="B104" s="26" t="n"/>
      <c r="C104" s="21" t="n"/>
      <c r="D104" s="25">
        <f>IF(C104="","",IFERROR(VLOOKUP(C104,Revendeurs!$A:$B,2,FALSE),"Code inconnu"))</f>
        <v/>
      </c>
      <c r="E104" s="21" t="n"/>
      <c r="F104" s="21" t="n"/>
      <c r="G104" s="22" t="n"/>
      <c r="H104" s="23">
        <f>IF(OR(F104="",G104=""),"",F104*G104)</f>
        <v/>
      </c>
      <c r="I104" s="26" t="n"/>
      <c r="J104" s="26" t="n"/>
      <c r="K104" s="25">
        <f>IF(B104="","",IF(J104&lt;&gt;"","Livrée",IF(I104="","À planifier",IF(Paramètres!$B$4&gt;I104+Paramètres!$B$8,"En retard","En cours"))))</f>
        <v/>
      </c>
      <c r="L104" s="25">
        <f>IF(K104="En retard",Paramètres!$B$4-I104,"")</f>
        <v/>
      </c>
      <c r="M104" s="27">
        <f>IF(OR(B104="",J104=""),"",J104+IFERROR(IF(VLOOKUP(C104,Revendeurs!$A:$G,7,FALSE)="",Paramètres!$B$9,VLOOKUP(C104,Revendeurs!$A:$G,7,FALSE)),Paramètres!$B$9))</f>
        <v/>
      </c>
      <c r="N104" s="22" t="n"/>
      <c r="O104" s="23">
        <f>IF(H104="","",H104-N104)</f>
        <v/>
      </c>
      <c r="P104" s="25">
        <f>IF(OR(M104="",O104=""),"",IF(O104&lt;=0,0,MAX(0,Paramètres!$B$4-M104)))</f>
        <v/>
      </c>
      <c r="Q104" s="25">
        <f>IF(H104="","",IF(O104&lt;=0,"Payée",IF(M104="","Pas encore livrée",IF(P104=0,"Non échue",IF(P104&gt;=Paramètres!$B$7,"Relance 3 : appel direction",IF(P104&gt;=Paramètres!$B$6,"Relance 2",IF(P104&gt;=Paramètres!$B$5,"Relance 1","Échue, relance à venir")))))))</f>
        <v/>
      </c>
      <c r="R104" s="25">
        <f>IF(B104="","",IF(U104=Paramètres!$B$4,"Relancé aujourd'hui",TRIM(IF(LEFT(Q104,7)="Relance",Q104&amp;" ","")&amp;IF(K104="En retard","· Prévenir du retard de livraison",""))))</f>
        <v/>
      </c>
      <c r="S104" s="28">
        <f>IF(B104="","",IF(LEFT(Q104,9)="Relance 3","Bonjour "&amp;D104&amp;", nous revenons vers vous au sujet de la commande "&amp;A104&amp;" du "&amp;TEXT(B104,"dd/mm/yyyy")&amp;" : "&amp;SUBSTITUTE(TEXT(O104,"#,##0"),","," ")&amp;" FCFA restent à régler depuis le "&amp;TEXT(M104,"dd/mm/yyyy")&amp;". Notre responsable souhaite vous appeler pour convenir ensemble d'une solution. Quel moment vous arrange cette semaine ? "&amp;Paramètres!$B$11&amp;", "&amp;Paramètres!$B$12,IF(LEFT(Q104,7)="Relance","Bonjour "&amp;D104&amp;", sauf erreur de notre part, la commande "&amp;A104&amp;" du "&amp;TEXT(B104,"dd/mm/yyyy")&amp;" ("&amp;E104&amp;") présente un reste à payer de "&amp;SUBSTITUTE(TEXT(O104,"#,##0"),","," ")&amp;" FCFA, échu depuis le "&amp;TEXT(M104,"dd/mm/yyyy")&amp;". Pouvez-vous nous indiquer la date de règlement prévue ? Si le paiement est déjà parti, merci de nous envoyer la preuve et ne tenez pas compte de ce message. "&amp;Paramètres!$B$11&amp;", "&amp;Paramètres!$B$12,IF(K104="En retard","Bonjour "&amp;D104&amp;", votre commande "&amp;A104&amp;" ("&amp;E104&amp;", "&amp;F104&amp;" pièces) prévue le "&amp;TEXT(I104,"dd/mm/yyyy")&amp;" a pris du retard. Nous vous confirmons la nouvelle date de livraison dans la journée. Toutes nos excuses pour ce contretemps. "&amp;Paramètres!$B$11&amp;", "&amp;Paramètres!$B$12,""))))</f>
        <v/>
      </c>
      <c r="T104" s="21" t="n"/>
      <c r="U104" s="26" t="n"/>
      <c r="V104" s="21" t="n"/>
    </row>
    <row r="105">
      <c r="A105" s="21" t="n"/>
      <c r="B105" s="26" t="n"/>
      <c r="C105" s="21" t="n"/>
      <c r="D105" s="25">
        <f>IF(C105="","",IFERROR(VLOOKUP(C105,Revendeurs!$A:$B,2,FALSE),"Code inconnu"))</f>
        <v/>
      </c>
      <c r="E105" s="21" t="n"/>
      <c r="F105" s="21" t="n"/>
      <c r="G105" s="22" t="n"/>
      <c r="H105" s="23">
        <f>IF(OR(F105="",G105=""),"",F105*G105)</f>
        <v/>
      </c>
      <c r="I105" s="26" t="n"/>
      <c r="J105" s="26" t="n"/>
      <c r="K105" s="25">
        <f>IF(B105="","",IF(J105&lt;&gt;"","Livrée",IF(I105="","À planifier",IF(Paramètres!$B$4&gt;I105+Paramètres!$B$8,"En retard","En cours"))))</f>
        <v/>
      </c>
      <c r="L105" s="25">
        <f>IF(K105="En retard",Paramètres!$B$4-I105,"")</f>
        <v/>
      </c>
      <c r="M105" s="27">
        <f>IF(OR(B105="",J105=""),"",J105+IFERROR(IF(VLOOKUP(C105,Revendeurs!$A:$G,7,FALSE)="",Paramètres!$B$9,VLOOKUP(C105,Revendeurs!$A:$G,7,FALSE)),Paramètres!$B$9))</f>
        <v/>
      </c>
      <c r="N105" s="22" t="n"/>
      <c r="O105" s="23">
        <f>IF(H105="","",H105-N105)</f>
        <v/>
      </c>
      <c r="P105" s="25">
        <f>IF(OR(M105="",O105=""),"",IF(O105&lt;=0,0,MAX(0,Paramètres!$B$4-M105)))</f>
        <v/>
      </c>
      <c r="Q105" s="25">
        <f>IF(H105="","",IF(O105&lt;=0,"Payée",IF(M105="","Pas encore livrée",IF(P105=0,"Non échue",IF(P105&gt;=Paramètres!$B$7,"Relance 3 : appel direction",IF(P105&gt;=Paramètres!$B$6,"Relance 2",IF(P105&gt;=Paramètres!$B$5,"Relance 1","Échue, relance à venir")))))))</f>
        <v/>
      </c>
      <c r="R105" s="25">
        <f>IF(B105="","",IF(U105=Paramètres!$B$4,"Relancé aujourd'hui",TRIM(IF(LEFT(Q105,7)="Relance",Q105&amp;" ","")&amp;IF(K105="En retard","· Prévenir du retard de livraison",""))))</f>
        <v/>
      </c>
      <c r="S105" s="28">
        <f>IF(B105="","",IF(LEFT(Q105,9)="Relance 3","Bonjour "&amp;D105&amp;", nous revenons vers vous au sujet de la commande "&amp;A105&amp;" du "&amp;TEXT(B105,"dd/mm/yyyy")&amp;" : "&amp;SUBSTITUTE(TEXT(O105,"#,##0"),","," ")&amp;" FCFA restent à régler depuis le "&amp;TEXT(M105,"dd/mm/yyyy")&amp;". Notre responsable souhaite vous appeler pour convenir ensemble d'une solution. Quel moment vous arrange cette semaine ? "&amp;Paramètres!$B$11&amp;", "&amp;Paramètres!$B$12,IF(LEFT(Q105,7)="Relance","Bonjour "&amp;D105&amp;", sauf erreur de notre part, la commande "&amp;A105&amp;" du "&amp;TEXT(B105,"dd/mm/yyyy")&amp;" ("&amp;E105&amp;") présente un reste à payer de "&amp;SUBSTITUTE(TEXT(O105,"#,##0"),","," ")&amp;" FCFA, échu depuis le "&amp;TEXT(M105,"dd/mm/yyyy")&amp;". Pouvez-vous nous indiquer la date de règlement prévue ? Si le paiement est déjà parti, merci de nous envoyer la preuve et ne tenez pas compte de ce message. "&amp;Paramètres!$B$11&amp;", "&amp;Paramètres!$B$12,IF(K105="En retard","Bonjour "&amp;D105&amp;", votre commande "&amp;A105&amp;" ("&amp;E105&amp;", "&amp;F105&amp;" pièces) prévue le "&amp;TEXT(I105,"dd/mm/yyyy")&amp;" a pris du retard. Nous vous confirmons la nouvelle date de livraison dans la journée. Toutes nos excuses pour ce contretemps. "&amp;Paramètres!$B$11&amp;", "&amp;Paramètres!$B$12,""))))</f>
        <v/>
      </c>
      <c r="T105" s="21" t="n"/>
      <c r="U105" s="26" t="n"/>
      <c r="V105" s="21" t="n"/>
    </row>
    <row r="106">
      <c r="A106" s="21" t="n"/>
      <c r="B106" s="26" t="n"/>
      <c r="C106" s="21" t="n"/>
      <c r="D106" s="25">
        <f>IF(C106="","",IFERROR(VLOOKUP(C106,Revendeurs!$A:$B,2,FALSE),"Code inconnu"))</f>
        <v/>
      </c>
      <c r="E106" s="21" t="n"/>
      <c r="F106" s="21" t="n"/>
      <c r="G106" s="22" t="n"/>
      <c r="H106" s="23">
        <f>IF(OR(F106="",G106=""),"",F106*G106)</f>
        <v/>
      </c>
      <c r="I106" s="26" t="n"/>
      <c r="J106" s="26" t="n"/>
      <c r="K106" s="25">
        <f>IF(B106="","",IF(J106&lt;&gt;"","Livrée",IF(I106="","À planifier",IF(Paramètres!$B$4&gt;I106+Paramètres!$B$8,"En retard","En cours"))))</f>
        <v/>
      </c>
      <c r="L106" s="25">
        <f>IF(K106="En retard",Paramètres!$B$4-I106,"")</f>
        <v/>
      </c>
      <c r="M106" s="27">
        <f>IF(OR(B106="",J106=""),"",J106+IFERROR(IF(VLOOKUP(C106,Revendeurs!$A:$G,7,FALSE)="",Paramètres!$B$9,VLOOKUP(C106,Revendeurs!$A:$G,7,FALSE)),Paramètres!$B$9))</f>
        <v/>
      </c>
      <c r="N106" s="22" t="n"/>
      <c r="O106" s="23">
        <f>IF(H106="","",H106-N106)</f>
        <v/>
      </c>
      <c r="P106" s="25">
        <f>IF(OR(M106="",O106=""),"",IF(O106&lt;=0,0,MAX(0,Paramètres!$B$4-M106)))</f>
        <v/>
      </c>
      <c r="Q106" s="25">
        <f>IF(H106="","",IF(O106&lt;=0,"Payée",IF(M106="","Pas encore livrée",IF(P106=0,"Non échue",IF(P106&gt;=Paramètres!$B$7,"Relance 3 : appel direction",IF(P106&gt;=Paramètres!$B$6,"Relance 2",IF(P106&gt;=Paramètres!$B$5,"Relance 1","Échue, relance à venir")))))))</f>
        <v/>
      </c>
      <c r="R106" s="25">
        <f>IF(B106="","",IF(U106=Paramètres!$B$4,"Relancé aujourd'hui",TRIM(IF(LEFT(Q106,7)="Relance",Q106&amp;" ","")&amp;IF(K106="En retard","· Prévenir du retard de livraison",""))))</f>
        <v/>
      </c>
      <c r="S106" s="28">
        <f>IF(B106="","",IF(LEFT(Q106,9)="Relance 3","Bonjour "&amp;D106&amp;", nous revenons vers vous au sujet de la commande "&amp;A106&amp;" du "&amp;TEXT(B106,"dd/mm/yyyy")&amp;" : "&amp;SUBSTITUTE(TEXT(O106,"#,##0"),","," ")&amp;" FCFA restent à régler depuis le "&amp;TEXT(M106,"dd/mm/yyyy")&amp;". Notre responsable souhaite vous appeler pour convenir ensemble d'une solution. Quel moment vous arrange cette semaine ? "&amp;Paramètres!$B$11&amp;", "&amp;Paramètres!$B$12,IF(LEFT(Q106,7)="Relance","Bonjour "&amp;D106&amp;", sauf erreur de notre part, la commande "&amp;A106&amp;" du "&amp;TEXT(B106,"dd/mm/yyyy")&amp;" ("&amp;E106&amp;") présente un reste à payer de "&amp;SUBSTITUTE(TEXT(O106,"#,##0"),","," ")&amp;" FCFA, échu depuis le "&amp;TEXT(M106,"dd/mm/yyyy")&amp;". Pouvez-vous nous indiquer la date de règlement prévue ? Si le paiement est déjà parti, merci de nous envoyer la preuve et ne tenez pas compte de ce message. "&amp;Paramètres!$B$11&amp;", "&amp;Paramètres!$B$12,IF(K106="En retard","Bonjour "&amp;D106&amp;", votre commande "&amp;A106&amp;" ("&amp;E106&amp;", "&amp;F106&amp;" pièces) prévue le "&amp;TEXT(I106,"dd/mm/yyyy")&amp;" a pris du retard. Nous vous confirmons la nouvelle date de livraison dans la journée. Toutes nos excuses pour ce contretemps. "&amp;Paramètres!$B$11&amp;", "&amp;Paramètres!$B$12,""))))</f>
        <v/>
      </c>
      <c r="T106" s="21" t="n"/>
      <c r="U106" s="26" t="n"/>
      <c r="V106" s="21" t="n"/>
    </row>
    <row r="107">
      <c r="A107" s="21" t="n"/>
      <c r="B107" s="26" t="n"/>
      <c r="C107" s="21" t="n"/>
      <c r="D107" s="25">
        <f>IF(C107="","",IFERROR(VLOOKUP(C107,Revendeurs!$A:$B,2,FALSE),"Code inconnu"))</f>
        <v/>
      </c>
      <c r="E107" s="21" t="n"/>
      <c r="F107" s="21" t="n"/>
      <c r="G107" s="22" t="n"/>
      <c r="H107" s="23">
        <f>IF(OR(F107="",G107=""),"",F107*G107)</f>
        <v/>
      </c>
      <c r="I107" s="26" t="n"/>
      <c r="J107" s="26" t="n"/>
      <c r="K107" s="25">
        <f>IF(B107="","",IF(J107&lt;&gt;"","Livrée",IF(I107="","À planifier",IF(Paramètres!$B$4&gt;I107+Paramètres!$B$8,"En retard","En cours"))))</f>
        <v/>
      </c>
      <c r="L107" s="25">
        <f>IF(K107="En retard",Paramètres!$B$4-I107,"")</f>
        <v/>
      </c>
      <c r="M107" s="27">
        <f>IF(OR(B107="",J107=""),"",J107+IFERROR(IF(VLOOKUP(C107,Revendeurs!$A:$G,7,FALSE)="",Paramètres!$B$9,VLOOKUP(C107,Revendeurs!$A:$G,7,FALSE)),Paramètres!$B$9))</f>
        <v/>
      </c>
      <c r="N107" s="22" t="n"/>
      <c r="O107" s="23">
        <f>IF(H107="","",H107-N107)</f>
        <v/>
      </c>
      <c r="P107" s="25">
        <f>IF(OR(M107="",O107=""),"",IF(O107&lt;=0,0,MAX(0,Paramètres!$B$4-M107)))</f>
        <v/>
      </c>
      <c r="Q107" s="25">
        <f>IF(H107="","",IF(O107&lt;=0,"Payée",IF(M107="","Pas encore livrée",IF(P107=0,"Non échue",IF(P107&gt;=Paramètres!$B$7,"Relance 3 : appel direction",IF(P107&gt;=Paramètres!$B$6,"Relance 2",IF(P107&gt;=Paramètres!$B$5,"Relance 1","Échue, relance à venir")))))))</f>
        <v/>
      </c>
      <c r="R107" s="25">
        <f>IF(B107="","",IF(U107=Paramètres!$B$4,"Relancé aujourd'hui",TRIM(IF(LEFT(Q107,7)="Relance",Q107&amp;" ","")&amp;IF(K107="En retard","· Prévenir du retard de livraison",""))))</f>
        <v/>
      </c>
      <c r="S107" s="28">
        <f>IF(B107="","",IF(LEFT(Q107,9)="Relance 3","Bonjour "&amp;D107&amp;", nous revenons vers vous au sujet de la commande "&amp;A107&amp;" du "&amp;TEXT(B107,"dd/mm/yyyy")&amp;" : "&amp;SUBSTITUTE(TEXT(O107,"#,##0"),","," ")&amp;" FCFA restent à régler depuis le "&amp;TEXT(M107,"dd/mm/yyyy")&amp;". Notre responsable souhaite vous appeler pour convenir ensemble d'une solution. Quel moment vous arrange cette semaine ? "&amp;Paramètres!$B$11&amp;", "&amp;Paramètres!$B$12,IF(LEFT(Q107,7)="Relance","Bonjour "&amp;D107&amp;", sauf erreur de notre part, la commande "&amp;A107&amp;" du "&amp;TEXT(B107,"dd/mm/yyyy")&amp;" ("&amp;E107&amp;") présente un reste à payer de "&amp;SUBSTITUTE(TEXT(O107,"#,##0"),","," ")&amp;" FCFA, échu depuis le "&amp;TEXT(M107,"dd/mm/yyyy")&amp;". Pouvez-vous nous indiquer la date de règlement prévue ? Si le paiement est déjà parti, merci de nous envoyer la preuve et ne tenez pas compte de ce message. "&amp;Paramètres!$B$11&amp;", "&amp;Paramètres!$B$12,IF(K107="En retard","Bonjour "&amp;D107&amp;", votre commande "&amp;A107&amp;" ("&amp;E107&amp;", "&amp;F107&amp;" pièces) prévue le "&amp;TEXT(I107,"dd/mm/yyyy")&amp;" a pris du retard. Nous vous confirmons la nouvelle date de livraison dans la journée. Toutes nos excuses pour ce contretemps. "&amp;Paramètres!$B$11&amp;", "&amp;Paramètres!$B$12,""))))</f>
        <v/>
      </c>
      <c r="T107" s="21" t="n"/>
      <c r="U107" s="26" t="n"/>
      <c r="V107" s="21" t="n"/>
    </row>
    <row r="108">
      <c r="A108" s="21" t="n"/>
      <c r="B108" s="26" t="n"/>
      <c r="C108" s="21" t="n"/>
      <c r="D108" s="25">
        <f>IF(C108="","",IFERROR(VLOOKUP(C108,Revendeurs!$A:$B,2,FALSE),"Code inconnu"))</f>
        <v/>
      </c>
      <c r="E108" s="21" t="n"/>
      <c r="F108" s="21" t="n"/>
      <c r="G108" s="22" t="n"/>
      <c r="H108" s="23">
        <f>IF(OR(F108="",G108=""),"",F108*G108)</f>
        <v/>
      </c>
      <c r="I108" s="26" t="n"/>
      <c r="J108" s="26" t="n"/>
      <c r="K108" s="25">
        <f>IF(B108="","",IF(J108&lt;&gt;"","Livrée",IF(I108="","À planifier",IF(Paramètres!$B$4&gt;I108+Paramètres!$B$8,"En retard","En cours"))))</f>
        <v/>
      </c>
      <c r="L108" s="25">
        <f>IF(K108="En retard",Paramètres!$B$4-I108,"")</f>
        <v/>
      </c>
      <c r="M108" s="27">
        <f>IF(OR(B108="",J108=""),"",J108+IFERROR(IF(VLOOKUP(C108,Revendeurs!$A:$G,7,FALSE)="",Paramètres!$B$9,VLOOKUP(C108,Revendeurs!$A:$G,7,FALSE)),Paramètres!$B$9))</f>
        <v/>
      </c>
      <c r="N108" s="22" t="n"/>
      <c r="O108" s="23">
        <f>IF(H108="","",H108-N108)</f>
        <v/>
      </c>
      <c r="P108" s="25">
        <f>IF(OR(M108="",O108=""),"",IF(O108&lt;=0,0,MAX(0,Paramètres!$B$4-M108)))</f>
        <v/>
      </c>
      <c r="Q108" s="25">
        <f>IF(H108="","",IF(O108&lt;=0,"Payée",IF(M108="","Pas encore livrée",IF(P108=0,"Non échue",IF(P108&gt;=Paramètres!$B$7,"Relance 3 : appel direction",IF(P108&gt;=Paramètres!$B$6,"Relance 2",IF(P108&gt;=Paramètres!$B$5,"Relance 1","Échue, relance à venir")))))))</f>
        <v/>
      </c>
      <c r="R108" s="25">
        <f>IF(B108="","",IF(U108=Paramètres!$B$4,"Relancé aujourd'hui",TRIM(IF(LEFT(Q108,7)="Relance",Q108&amp;" ","")&amp;IF(K108="En retard","· Prévenir du retard de livraison",""))))</f>
        <v/>
      </c>
      <c r="S108" s="28">
        <f>IF(B108="","",IF(LEFT(Q108,9)="Relance 3","Bonjour "&amp;D108&amp;", nous revenons vers vous au sujet de la commande "&amp;A108&amp;" du "&amp;TEXT(B108,"dd/mm/yyyy")&amp;" : "&amp;SUBSTITUTE(TEXT(O108,"#,##0"),","," ")&amp;" FCFA restent à régler depuis le "&amp;TEXT(M108,"dd/mm/yyyy")&amp;". Notre responsable souhaite vous appeler pour convenir ensemble d'une solution. Quel moment vous arrange cette semaine ? "&amp;Paramètres!$B$11&amp;", "&amp;Paramètres!$B$12,IF(LEFT(Q108,7)="Relance","Bonjour "&amp;D108&amp;", sauf erreur de notre part, la commande "&amp;A108&amp;" du "&amp;TEXT(B108,"dd/mm/yyyy")&amp;" ("&amp;E108&amp;") présente un reste à payer de "&amp;SUBSTITUTE(TEXT(O108,"#,##0"),","," ")&amp;" FCFA, échu depuis le "&amp;TEXT(M108,"dd/mm/yyyy")&amp;". Pouvez-vous nous indiquer la date de règlement prévue ? Si le paiement est déjà parti, merci de nous envoyer la preuve et ne tenez pas compte de ce message. "&amp;Paramètres!$B$11&amp;", "&amp;Paramètres!$B$12,IF(K108="En retard","Bonjour "&amp;D108&amp;", votre commande "&amp;A108&amp;" ("&amp;E108&amp;", "&amp;F108&amp;" pièces) prévue le "&amp;TEXT(I108,"dd/mm/yyyy")&amp;" a pris du retard. Nous vous confirmons la nouvelle date de livraison dans la journée. Toutes nos excuses pour ce contretemps. "&amp;Paramètres!$B$11&amp;", "&amp;Paramètres!$B$12,""))))</f>
        <v/>
      </c>
      <c r="T108" s="21" t="n"/>
      <c r="U108" s="26" t="n"/>
      <c r="V108" s="21" t="n"/>
    </row>
    <row r="109">
      <c r="A109" s="21" t="n"/>
      <c r="B109" s="26" t="n"/>
      <c r="C109" s="21" t="n"/>
      <c r="D109" s="25">
        <f>IF(C109="","",IFERROR(VLOOKUP(C109,Revendeurs!$A:$B,2,FALSE),"Code inconnu"))</f>
        <v/>
      </c>
      <c r="E109" s="21" t="n"/>
      <c r="F109" s="21" t="n"/>
      <c r="G109" s="22" t="n"/>
      <c r="H109" s="23">
        <f>IF(OR(F109="",G109=""),"",F109*G109)</f>
        <v/>
      </c>
      <c r="I109" s="26" t="n"/>
      <c r="J109" s="26" t="n"/>
      <c r="K109" s="25">
        <f>IF(B109="","",IF(J109&lt;&gt;"","Livrée",IF(I109="","À planifier",IF(Paramètres!$B$4&gt;I109+Paramètres!$B$8,"En retard","En cours"))))</f>
        <v/>
      </c>
      <c r="L109" s="25">
        <f>IF(K109="En retard",Paramètres!$B$4-I109,"")</f>
        <v/>
      </c>
      <c r="M109" s="27">
        <f>IF(OR(B109="",J109=""),"",J109+IFERROR(IF(VLOOKUP(C109,Revendeurs!$A:$G,7,FALSE)="",Paramètres!$B$9,VLOOKUP(C109,Revendeurs!$A:$G,7,FALSE)),Paramètres!$B$9))</f>
        <v/>
      </c>
      <c r="N109" s="22" t="n"/>
      <c r="O109" s="23">
        <f>IF(H109="","",H109-N109)</f>
        <v/>
      </c>
      <c r="P109" s="25">
        <f>IF(OR(M109="",O109=""),"",IF(O109&lt;=0,0,MAX(0,Paramètres!$B$4-M109)))</f>
        <v/>
      </c>
      <c r="Q109" s="25">
        <f>IF(H109="","",IF(O109&lt;=0,"Payée",IF(M109="","Pas encore livrée",IF(P109=0,"Non échue",IF(P109&gt;=Paramètres!$B$7,"Relance 3 : appel direction",IF(P109&gt;=Paramètres!$B$6,"Relance 2",IF(P109&gt;=Paramètres!$B$5,"Relance 1","Échue, relance à venir")))))))</f>
        <v/>
      </c>
      <c r="R109" s="25">
        <f>IF(B109="","",IF(U109=Paramètres!$B$4,"Relancé aujourd'hui",TRIM(IF(LEFT(Q109,7)="Relance",Q109&amp;" ","")&amp;IF(K109="En retard","· Prévenir du retard de livraison",""))))</f>
        <v/>
      </c>
      <c r="S109" s="28">
        <f>IF(B109="","",IF(LEFT(Q109,9)="Relance 3","Bonjour "&amp;D109&amp;", nous revenons vers vous au sujet de la commande "&amp;A109&amp;" du "&amp;TEXT(B109,"dd/mm/yyyy")&amp;" : "&amp;SUBSTITUTE(TEXT(O109,"#,##0"),","," ")&amp;" FCFA restent à régler depuis le "&amp;TEXT(M109,"dd/mm/yyyy")&amp;". Notre responsable souhaite vous appeler pour convenir ensemble d'une solution. Quel moment vous arrange cette semaine ? "&amp;Paramètres!$B$11&amp;", "&amp;Paramètres!$B$12,IF(LEFT(Q109,7)="Relance","Bonjour "&amp;D109&amp;", sauf erreur de notre part, la commande "&amp;A109&amp;" du "&amp;TEXT(B109,"dd/mm/yyyy")&amp;" ("&amp;E109&amp;") présente un reste à payer de "&amp;SUBSTITUTE(TEXT(O109,"#,##0"),","," ")&amp;" FCFA, échu depuis le "&amp;TEXT(M109,"dd/mm/yyyy")&amp;". Pouvez-vous nous indiquer la date de règlement prévue ? Si le paiement est déjà parti, merci de nous envoyer la preuve et ne tenez pas compte de ce message. "&amp;Paramètres!$B$11&amp;", "&amp;Paramètres!$B$12,IF(K109="En retard","Bonjour "&amp;D109&amp;", votre commande "&amp;A109&amp;" ("&amp;E109&amp;", "&amp;F109&amp;" pièces) prévue le "&amp;TEXT(I109,"dd/mm/yyyy")&amp;" a pris du retard. Nous vous confirmons la nouvelle date de livraison dans la journée. Toutes nos excuses pour ce contretemps. "&amp;Paramètres!$B$11&amp;", "&amp;Paramètres!$B$12,""))))</f>
        <v/>
      </c>
      <c r="T109" s="21" t="n"/>
      <c r="U109" s="26" t="n"/>
      <c r="V109" s="21" t="n"/>
    </row>
    <row r="110">
      <c r="A110" s="21" t="n"/>
      <c r="B110" s="26" t="n"/>
      <c r="C110" s="21" t="n"/>
      <c r="D110" s="25">
        <f>IF(C110="","",IFERROR(VLOOKUP(C110,Revendeurs!$A:$B,2,FALSE),"Code inconnu"))</f>
        <v/>
      </c>
      <c r="E110" s="21" t="n"/>
      <c r="F110" s="21" t="n"/>
      <c r="G110" s="22" t="n"/>
      <c r="H110" s="23">
        <f>IF(OR(F110="",G110=""),"",F110*G110)</f>
        <v/>
      </c>
      <c r="I110" s="26" t="n"/>
      <c r="J110" s="26" t="n"/>
      <c r="K110" s="25">
        <f>IF(B110="","",IF(J110&lt;&gt;"","Livrée",IF(I110="","À planifier",IF(Paramètres!$B$4&gt;I110+Paramètres!$B$8,"En retard","En cours"))))</f>
        <v/>
      </c>
      <c r="L110" s="25">
        <f>IF(K110="En retard",Paramètres!$B$4-I110,"")</f>
        <v/>
      </c>
      <c r="M110" s="27">
        <f>IF(OR(B110="",J110=""),"",J110+IFERROR(IF(VLOOKUP(C110,Revendeurs!$A:$G,7,FALSE)="",Paramètres!$B$9,VLOOKUP(C110,Revendeurs!$A:$G,7,FALSE)),Paramètres!$B$9))</f>
        <v/>
      </c>
      <c r="N110" s="22" t="n"/>
      <c r="O110" s="23">
        <f>IF(H110="","",H110-N110)</f>
        <v/>
      </c>
      <c r="P110" s="25">
        <f>IF(OR(M110="",O110=""),"",IF(O110&lt;=0,0,MAX(0,Paramètres!$B$4-M110)))</f>
        <v/>
      </c>
      <c r="Q110" s="25">
        <f>IF(H110="","",IF(O110&lt;=0,"Payée",IF(M110="","Pas encore livrée",IF(P110=0,"Non échue",IF(P110&gt;=Paramètres!$B$7,"Relance 3 : appel direction",IF(P110&gt;=Paramètres!$B$6,"Relance 2",IF(P110&gt;=Paramètres!$B$5,"Relance 1","Échue, relance à venir")))))))</f>
        <v/>
      </c>
      <c r="R110" s="25">
        <f>IF(B110="","",IF(U110=Paramètres!$B$4,"Relancé aujourd'hui",TRIM(IF(LEFT(Q110,7)="Relance",Q110&amp;" ","")&amp;IF(K110="En retard","· Prévenir du retard de livraison",""))))</f>
        <v/>
      </c>
      <c r="S110" s="28">
        <f>IF(B110="","",IF(LEFT(Q110,9)="Relance 3","Bonjour "&amp;D110&amp;", nous revenons vers vous au sujet de la commande "&amp;A110&amp;" du "&amp;TEXT(B110,"dd/mm/yyyy")&amp;" : "&amp;SUBSTITUTE(TEXT(O110,"#,##0"),","," ")&amp;" FCFA restent à régler depuis le "&amp;TEXT(M110,"dd/mm/yyyy")&amp;". Notre responsable souhaite vous appeler pour convenir ensemble d'une solution. Quel moment vous arrange cette semaine ? "&amp;Paramètres!$B$11&amp;", "&amp;Paramètres!$B$12,IF(LEFT(Q110,7)="Relance","Bonjour "&amp;D110&amp;", sauf erreur de notre part, la commande "&amp;A110&amp;" du "&amp;TEXT(B110,"dd/mm/yyyy")&amp;" ("&amp;E110&amp;") présente un reste à payer de "&amp;SUBSTITUTE(TEXT(O110,"#,##0"),","," ")&amp;" FCFA, échu depuis le "&amp;TEXT(M110,"dd/mm/yyyy")&amp;". Pouvez-vous nous indiquer la date de règlement prévue ? Si le paiement est déjà parti, merci de nous envoyer la preuve et ne tenez pas compte de ce message. "&amp;Paramètres!$B$11&amp;", "&amp;Paramètres!$B$12,IF(K110="En retard","Bonjour "&amp;D110&amp;", votre commande "&amp;A110&amp;" ("&amp;E110&amp;", "&amp;F110&amp;" pièces) prévue le "&amp;TEXT(I110,"dd/mm/yyyy")&amp;" a pris du retard. Nous vous confirmons la nouvelle date de livraison dans la journée. Toutes nos excuses pour ce contretemps. "&amp;Paramètres!$B$11&amp;", "&amp;Paramètres!$B$12,""))))</f>
        <v/>
      </c>
      <c r="T110" s="21" t="n"/>
      <c r="U110" s="26" t="n"/>
      <c r="V110" s="21" t="n"/>
    </row>
    <row r="111">
      <c r="A111" s="21" t="n"/>
      <c r="B111" s="26" t="n"/>
      <c r="C111" s="21" t="n"/>
      <c r="D111" s="25">
        <f>IF(C111="","",IFERROR(VLOOKUP(C111,Revendeurs!$A:$B,2,FALSE),"Code inconnu"))</f>
        <v/>
      </c>
      <c r="E111" s="21" t="n"/>
      <c r="F111" s="21" t="n"/>
      <c r="G111" s="22" t="n"/>
      <c r="H111" s="23">
        <f>IF(OR(F111="",G111=""),"",F111*G111)</f>
        <v/>
      </c>
      <c r="I111" s="26" t="n"/>
      <c r="J111" s="26" t="n"/>
      <c r="K111" s="25">
        <f>IF(B111="","",IF(J111&lt;&gt;"","Livrée",IF(I111="","À planifier",IF(Paramètres!$B$4&gt;I111+Paramètres!$B$8,"En retard","En cours"))))</f>
        <v/>
      </c>
      <c r="L111" s="25">
        <f>IF(K111="En retard",Paramètres!$B$4-I111,"")</f>
        <v/>
      </c>
      <c r="M111" s="27">
        <f>IF(OR(B111="",J111=""),"",J111+IFERROR(IF(VLOOKUP(C111,Revendeurs!$A:$G,7,FALSE)="",Paramètres!$B$9,VLOOKUP(C111,Revendeurs!$A:$G,7,FALSE)),Paramètres!$B$9))</f>
        <v/>
      </c>
      <c r="N111" s="22" t="n"/>
      <c r="O111" s="23">
        <f>IF(H111="","",H111-N111)</f>
        <v/>
      </c>
      <c r="P111" s="25">
        <f>IF(OR(M111="",O111=""),"",IF(O111&lt;=0,0,MAX(0,Paramètres!$B$4-M111)))</f>
        <v/>
      </c>
      <c r="Q111" s="25">
        <f>IF(H111="","",IF(O111&lt;=0,"Payée",IF(M111="","Pas encore livrée",IF(P111=0,"Non échue",IF(P111&gt;=Paramètres!$B$7,"Relance 3 : appel direction",IF(P111&gt;=Paramètres!$B$6,"Relance 2",IF(P111&gt;=Paramètres!$B$5,"Relance 1","Échue, relance à venir")))))))</f>
        <v/>
      </c>
      <c r="R111" s="25">
        <f>IF(B111="","",IF(U111=Paramètres!$B$4,"Relancé aujourd'hui",TRIM(IF(LEFT(Q111,7)="Relance",Q111&amp;" ","")&amp;IF(K111="En retard","· Prévenir du retard de livraison",""))))</f>
        <v/>
      </c>
      <c r="S111" s="28">
        <f>IF(B111="","",IF(LEFT(Q111,9)="Relance 3","Bonjour "&amp;D111&amp;", nous revenons vers vous au sujet de la commande "&amp;A111&amp;" du "&amp;TEXT(B111,"dd/mm/yyyy")&amp;" : "&amp;SUBSTITUTE(TEXT(O111,"#,##0"),","," ")&amp;" FCFA restent à régler depuis le "&amp;TEXT(M111,"dd/mm/yyyy")&amp;". Notre responsable souhaite vous appeler pour convenir ensemble d'une solution. Quel moment vous arrange cette semaine ? "&amp;Paramètres!$B$11&amp;", "&amp;Paramètres!$B$12,IF(LEFT(Q111,7)="Relance","Bonjour "&amp;D111&amp;", sauf erreur de notre part, la commande "&amp;A111&amp;" du "&amp;TEXT(B111,"dd/mm/yyyy")&amp;" ("&amp;E111&amp;") présente un reste à payer de "&amp;SUBSTITUTE(TEXT(O111,"#,##0"),","," ")&amp;" FCFA, échu depuis le "&amp;TEXT(M111,"dd/mm/yyyy")&amp;". Pouvez-vous nous indiquer la date de règlement prévue ? Si le paiement est déjà parti, merci de nous envoyer la preuve et ne tenez pas compte de ce message. "&amp;Paramètres!$B$11&amp;", "&amp;Paramètres!$B$12,IF(K111="En retard","Bonjour "&amp;D111&amp;", votre commande "&amp;A111&amp;" ("&amp;E111&amp;", "&amp;F111&amp;" pièces) prévue le "&amp;TEXT(I111,"dd/mm/yyyy")&amp;" a pris du retard. Nous vous confirmons la nouvelle date de livraison dans la journée. Toutes nos excuses pour ce contretemps. "&amp;Paramètres!$B$11&amp;", "&amp;Paramètres!$B$12,""))))</f>
        <v/>
      </c>
      <c r="T111" s="21" t="n"/>
      <c r="U111" s="26" t="n"/>
      <c r="V111" s="21" t="n"/>
    </row>
    <row r="112">
      <c r="A112" s="21" t="n"/>
      <c r="B112" s="26" t="n"/>
      <c r="C112" s="21" t="n"/>
      <c r="D112" s="25">
        <f>IF(C112="","",IFERROR(VLOOKUP(C112,Revendeurs!$A:$B,2,FALSE),"Code inconnu"))</f>
        <v/>
      </c>
      <c r="E112" s="21" t="n"/>
      <c r="F112" s="21" t="n"/>
      <c r="G112" s="22" t="n"/>
      <c r="H112" s="23">
        <f>IF(OR(F112="",G112=""),"",F112*G112)</f>
        <v/>
      </c>
      <c r="I112" s="26" t="n"/>
      <c r="J112" s="26" t="n"/>
      <c r="K112" s="25">
        <f>IF(B112="","",IF(J112&lt;&gt;"","Livrée",IF(I112="","À planifier",IF(Paramètres!$B$4&gt;I112+Paramètres!$B$8,"En retard","En cours"))))</f>
        <v/>
      </c>
      <c r="L112" s="25">
        <f>IF(K112="En retard",Paramètres!$B$4-I112,"")</f>
        <v/>
      </c>
      <c r="M112" s="27">
        <f>IF(OR(B112="",J112=""),"",J112+IFERROR(IF(VLOOKUP(C112,Revendeurs!$A:$G,7,FALSE)="",Paramètres!$B$9,VLOOKUP(C112,Revendeurs!$A:$G,7,FALSE)),Paramètres!$B$9))</f>
        <v/>
      </c>
      <c r="N112" s="22" t="n"/>
      <c r="O112" s="23">
        <f>IF(H112="","",H112-N112)</f>
        <v/>
      </c>
      <c r="P112" s="25">
        <f>IF(OR(M112="",O112=""),"",IF(O112&lt;=0,0,MAX(0,Paramètres!$B$4-M112)))</f>
        <v/>
      </c>
      <c r="Q112" s="25">
        <f>IF(H112="","",IF(O112&lt;=0,"Payée",IF(M112="","Pas encore livrée",IF(P112=0,"Non échue",IF(P112&gt;=Paramètres!$B$7,"Relance 3 : appel direction",IF(P112&gt;=Paramètres!$B$6,"Relance 2",IF(P112&gt;=Paramètres!$B$5,"Relance 1","Échue, relance à venir")))))))</f>
        <v/>
      </c>
      <c r="R112" s="25">
        <f>IF(B112="","",IF(U112=Paramètres!$B$4,"Relancé aujourd'hui",TRIM(IF(LEFT(Q112,7)="Relance",Q112&amp;" ","")&amp;IF(K112="En retard","· Prévenir du retard de livraison",""))))</f>
        <v/>
      </c>
      <c r="S112" s="28">
        <f>IF(B112="","",IF(LEFT(Q112,9)="Relance 3","Bonjour "&amp;D112&amp;", nous revenons vers vous au sujet de la commande "&amp;A112&amp;" du "&amp;TEXT(B112,"dd/mm/yyyy")&amp;" : "&amp;SUBSTITUTE(TEXT(O112,"#,##0"),","," ")&amp;" FCFA restent à régler depuis le "&amp;TEXT(M112,"dd/mm/yyyy")&amp;". Notre responsable souhaite vous appeler pour convenir ensemble d'une solution. Quel moment vous arrange cette semaine ? "&amp;Paramètres!$B$11&amp;", "&amp;Paramètres!$B$12,IF(LEFT(Q112,7)="Relance","Bonjour "&amp;D112&amp;", sauf erreur de notre part, la commande "&amp;A112&amp;" du "&amp;TEXT(B112,"dd/mm/yyyy")&amp;" ("&amp;E112&amp;") présente un reste à payer de "&amp;SUBSTITUTE(TEXT(O112,"#,##0"),","," ")&amp;" FCFA, échu depuis le "&amp;TEXT(M112,"dd/mm/yyyy")&amp;". Pouvez-vous nous indiquer la date de règlement prévue ? Si le paiement est déjà parti, merci de nous envoyer la preuve et ne tenez pas compte de ce message. "&amp;Paramètres!$B$11&amp;", "&amp;Paramètres!$B$12,IF(K112="En retard","Bonjour "&amp;D112&amp;", votre commande "&amp;A112&amp;" ("&amp;E112&amp;", "&amp;F112&amp;" pièces) prévue le "&amp;TEXT(I112,"dd/mm/yyyy")&amp;" a pris du retard. Nous vous confirmons la nouvelle date de livraison dans la journée. Toutes nos excuses pour ce contretemps. "&amp;Paramètres!$B$11&amp;", "&amp;Paramètres!$B$12,""))))</f>
        <v/>
      </c>
      <c r="T112" s="21" t="n"/>
      <c r="U112" s="26" t="n"/>
      <c r="V112" s="21" t="n"/>
    </row>
    <row r="113">
      <c r="A113" s="21" t="n"/>
      <c r="B113" s="26" t="n"/>
      <c r="C113" s="21" t="n"/>
      <c r="D113" s="25">
        <f>IF(C113="","",IFERROR(VLOOKUP(C113,Revendeurs!$A:$B,2,FALSE),"Code inconnu"))</f>
        <v/>
      </c>
      <c r="E113" s="21" t="n"/>
      <c r="F113" s="21" t="n"/>
      <c r="G113" s="22" t="n"/>
      <c r="H113" s="23">
        <f>IF(OR(F113="",G113=""),"",F113*G113)</f>
        <v/>
      </c>
      <c r="I113" s="26" t="n"/>
      <c r="J113" s="26" t="n"/>
      <c r="K113" s="25">
        <f>IF(B113="","",IF(J113&lt;&gt;"","Livrée",IF(I113="","À planifier",IF(Paramètres!$B$4&gt;I113+Paramètres!$B$8,"En retard","En cours"))))</f>
        <v/>
      </c>
      <c r="L113" s="25">
        <f>IF(K113="En retard",Paramètres!$B$4-I113,"")</f>
        <v/>
      </c>
      <c r="M113" s="27">
        <f>IF(OR(B113="",J113=""),"",J113+IFERROR(IF(VLOOKUP(C113,Revendeurs!$A:$G,7,FALSE)="",Paramètres!$B$9,VLOOKUP(C113,Revendeurs!$A:$G,7,FALSE)),Paramètres!$B$9))</f>
        <v/>
      </c>
      <c r="N113" s="22" t="n"/>
      <c r="O113" s="23">
        <f>IF(H113="","",H113-N113)</f>
        <v/>
      </c>
      <c r="P113" s="25">
        <f>IF(OR(M113="",O113=""),"",IF(O113&lt;=0,0,MAX(0,Paramètres!$B$4-M113)))</f>
        <v/>
      </c>
      <c r="Q113" s="25">
        <f>IF(H113="","",IF(O113&lt;=0,"Payée",IF(M113="","Pas encore livrée",IF(P113=0,"Non échue",IF(P113&gt;=Paramètres!$B$7,"Relance 3 : appel direction",IF(P113&gt;=Paramètres!$B$6,"Relance 2",IF(P113&gt;=Paramètres!$B$5,"Relance 1","Échue, relance à venir")))))))</f>
        <v/>
      </c>
      <c r="R113" s="25">
        <f>IF(B113="","",IF(U113=Paramètres!$B$4,"Relancé aujourd'hui",TRIM(IF(LEFT(Q113,7)="Relance",Q113&amp;" ","")&amp;IF(K113="En retard","· Prévenir du retard de livraison",""))))</f>
        <v/>
      </c>
      <c r="S113" s="28">
        <f>IF(B113="","",IF(LEFT(Q113,9)="Relance 3","Bonjour "&amp;D113&amp;", nous revenons vers vous au sujet de la commande "&amp;A113&amp;" du "&amp;TEXT(B113,"dd/mm/yyyy")&amp;" : "&amp;SUBSTITUTE(TEXT(O113,"#,##0"),","," ")&amp;" FCFA restent à régler depuis le "&amp;TEXT(M113,"dd/mm/yyyy")&amp;". Notre responsable souhaite vous appeler pour convenir ensemble d'une solution. Quel moment vous arrange cette semaine ? "&amp;Paramètres!$B$11&amp;", "&amp;Paramètres!$B$12,IF(LEFT(Q113,7)="Relance","Bonjour "&amp;D113&amp;", sauf erreur de notre part, la commande "&amp;A113&amp;" du "&amp;TEXT(B113,"dd/mm/yyyy")&amp;" ("&amp;E113&amp;") présente un reste à payer de "&amp;SUBSTITUTE(TEXT(O113,"#,##0"),","," ")&amp;" FCFA, échu depuis le "&amp;TEXT(M113,"dd/mm/yyyy")&amp;". Pouvez-vous nous indiquer la date de règlement prévue ? Si le paiement est déjà parti, merci de nous envoyer la preuve et ne tenez pas compte de ce message. "&amp;Paramètres!$B$11&amp;", "&amp;Paramètres!$B$12,IF(K113="En retard","Bonjour "&amp;D113&amp;", votre commande "&amp;A113&amp;" ("&amp;E113&amp;", "&amp;F113&amp;" pièces) prévue le "&amp;TEXT(I113,"dd/mm/yyyy")&amp;" a pris du retard. Nous vous confirmons la nouvelle date de livraison dans la journée. Toutes nos excuses pour ce contretemps. "&amp;Paramètres!$B$11&amp;", "&amp;Paramètres!$B$12,""))))</f>
        <v/>
      </c>
      <c r="T113" s="21" t="n"/>
      <c r="U113" s="26" t="n"/>
      <c r="V113" s="21" t="n"/>
    </row>
    <row r="114">
      <c r="A114" s="21" t="n"/>
      <c r="B114" s="26" t="n"/>
      <c r="C114" s="21" t="n"/>
      <c r="D114" s="25">
        <f>IF(C114="","",IFERROR(VLOOKUP(C114,Revendeurs!$A:$B,2,FALSE),"Code inconnu"))</f>
        <v/>
      </c>
      <c r="E114" s="21" t="n"/>
      <c r="F114" s="21" t="n"/>
      <c r="G114" s="22" t="n"/>
      <c r="H114" s="23">
        <f>IF(OR(F114="",G114=""),"",F114*G114)</f>
        <v/>
      </c>
      <c r="I114" s="26" t="n"/>
      <c r="J114" s="26" t="n"/>
      <c r="K114" s="25">
        <f>IF(B114="","",IF(J114&lt;&gt;"","Livrée",IF(I114="","À planifier",IF(Paramètres!$B$4&gt;I114+Paramètres!$B$8,"En retard","En cours"))))</f>
        <v/>
      </c>
      <c r="L114" s="25">
        <f>IF(K114="En retard",Paramètres!$B$4-I114,"")</f>
        <v/>
      </c>
      <c r="M114" s="27">
        <f>IF(OR(B114="",J114=""),"",J114+IFERROR(IF(VLOOKUP(C114,Revendeurs!$A:$G,7,FALSE)="",Paramètres!$B$9,VLOOKUP(C114,Revendeurs!$A:$G,7,FALSE)),Paramètres!$B$9))</f>
        <v/>
      </c>
      <c r="N114" s="22" t="n"/>
      <c r="O114" s="23">
        <f>IF(H114="","",H114-N114)</f>
        <v/>
      </c>
      <c r="P114" s="25">
        <f>IF(OR(M114="",O114=""),"",IF(O114&lt;=0,0,MAX(0,Paramètres!$B$4-M114)))</f>
        <v/>
      </c>
      <c r="Q114" s="25">
        <f>IF(H114="","",IF(O114&lt;=0,"Payée",IF(M114="","Pas encore livrée",IF(P114=0,"Non échue",IF(P114&gt;=Paramètres!$B$7,"Relance 3 : appel direction",IF(P114&gt;=Paramètres!$B$6,"Relance 2",IF(P114&gt;=Paramètres!$B$5,"Relance 1","Échue, relance à venir")))))))</f>
        <v/>
      </c>
      <c r="R114" s="25">
        <f>IF(B114="","",IF(U114=Paramètres!$B$4,"Relancé aujourd'hui",TRIM(IF(LEFT(Q114,7)="Relance",Q114&amp;" ","")&amp;IF(K114="En retard","· Prévenir du retard de livraison",""))))</f>
        <v/>
      </c>
      <c r="S114" s="28">
        <f>IF(B114="","",IF(LEFT(Q114,9)="Relance 3","Bonjour "&amp;D114&amp;", nous revenons vers vous au sujet de la commande "&amp;A114&amp;" du "&amp;TEXT(B114,"dd/mm/yyyy")&amp;" : "&amp;SUBSTITUTE(TEXT(O114,"#,##0"),","," ")&amp;" FCFA restent à régler depuis le "&amp;TEXT(M114,"dd/mm/yyyy")&amp;". Notre responsable souhaite vous appeler pour convenir ensemble d'une solution. Quel moment vous arrange cette semaine ? "&amp;Paramètres!$B$11&amp;", "&amp;Paramètres!$B$12,IF(LEFT(Q114,7)="Relance","Bonjour "&amp;D114&amp;", sauf erreur de notre part, la commande "&amp;A114&amp;" du "&amp;TEXT(B114,"dd/mm/yyyy")&amp;" ("&amp;E114&amp;") présente un reste à payer de "&amp;SUBSTITUTE(TEXT(O114,"#,##0"),","," ")&amp;" FCFA, échu depuis le "&amp;TEXT(M114,"dd/mm/yyyy")&amp;". Pouvez-vous nous indiquer la date de règlement prévue ? Si le paiement est déjà parti, merci de nous envoyer la preuve et ne tenez pas compte de ce message. "&amp;Paramètres!$B$11&amp;", "&amp;Paramètres!$B$12,IF(K114="En retard","Bonjour "&amp;D114&amp;", votre commande "&amp;A114&amp;" ("&amp;E114&amp;", "&amp;F114&amp;" pièces) prévue le "&amp;TEXT(I114,"dd/mm/yyyy")&amp;" a pris du retard. Nous vous confirmons la nouvelle date de livraison dans la journée. Toutes nos excuses pour ce contretemps. "&amp;Paramètres!$B$11&amp;", "&amp;Paramètres!$B$12,""))))</f>
        <v/>
      </c>
      <c r="T114" s="21" t="n"/>
      <c r="U114" s="26" t="n"/>
      <c r="V114" s="21" t="n"/>
    </row>
    <row r="115">
      <c r="A115" s="21" t="n"/>
      <c r="B115" s="26" t="n"/>
      <c r="C115" s="21" t="n"/>
      <c r="D115" s="25">
        <f>IF(C115="","",IFERROR(VLOOKUP(C115,Revendeurs!$A:$B,2,FALSE),"Code inconnu"))</f>
        <v/>
      </c>
      <c r="E115" s="21" t="n"/>
      <c r="F115" s="21" t="n"/>
      <c r="G115" s="22" t="n"/>
      <c r="H115" s="23">
        <f>IF(OR(F115="",G115=""),"",F115*G115)</f>
        <v/>
      </c>
      <c r="I115" s="26" t="n"/>
      <c r="J115" s="26" t="n"/>
      <c r="K115" s="25">
        <f>IF(B115="","",IF(J115&lt;&gt;"","Livrée",IF(I115="","À planifier",IF(Paramètres!$B$4&gt;I115+Paramètres!$B$8,"En retard","En cours"))))</f>
        <v/>
      </c>
      <c r="L115" s="25">
        <f>IF(K115="En retard",Paramètres!$B$4-I115,"")</f>
        <v/>
      </c>
      <c r="M115" s="27">
        <f>IF(OR(B115="",J115=""),"",J115+IFERROR(IF(VLOOKUP(C115,Revendeurs!$A:$G,7,FALSE)="",Paramètres!$B$9,VLOOKUP(C115,Revendeurs!$A:$G,7,FALSE)),Paramètres!$B$9))</f>
        <v/>
      </c>
      <c r="N115" s="22" t="n"/>
      <c r="O115" s="23">
        <f>IF(H115="","",H115-N115)</f>
        <v/>
      </c>
      <c r="P115" s="25">
        <f>IF(OR(M115="",O115=""),"",IF(O115&lt;=0,0,MAX(0,Paramètres!$B$4-M115)))</f>
        <v/>
      </c>
      <c r="Q115" s="25">
        <f>IF(H115="","",IF(O115&lt;=0,"Payée",IF(M115="","Pas encore livrée",IF(P115=0,"Non échue",IF(P115&gt;=Paramètres!$B$7,"Relance 3 : appel direction",IF(P115&gt;=Paramètres!$B$6,"Relance 2",IF(P115&gt;=Paramètres!$B$5,"Relance 1","Échue, relance à venir")))))))</f>
        <v/>
      </c>
      <c r="R115" s="25">
        <f>IF(B115="","",IF(U115=Paramètres!$B$4,"Relancé aujourd'hui",TRIM(IF(LEFT(Q115,7)="Relance",Q115&amp;" ","")&amp;IF(K115="En retard","· Prévenir du retard de livraison",""))))</f>
        <v/>
      </c>
      <c r="S115" s="28">
        <f>IF(B115="","",IF(LEFT(Q115,9)="Relance 3","Bonjour "&amp;D115&amp;", nous revenons vers vous au sujet de la commande "&amp;A115&amp;" du "&amp;TEXT(B115,"dd/mm/yyyy")&amp;" : "&amp;SUBSTITUTE(TEXT(O115,"#,##0"),","," ")&amp;" FCFA restent à régler depuis le "&amp;TEXT(M115,"dd/mm/yyyy")&amp;". Notre responsable souhaite vous appeler pour convenir ensemble d'une solution. Quel moment vous arrange cette semaine ? "&amp;Paramètres!$B$11&amp;", "&amp;Paramètres!$B$12,IF(LEFT(Q115,7)="Relance","Bonjour "&amp;D115&amp;", sauf erreur de notre part, la commande "&amp;A115&amp;" du "&amp;TEXT(B115,"dd/mm/yyyy")&amp;" ("&amp;E115&amp;") présente un reste à payer de "&amp;SUBSTITUTE(TEXT(O115,"#,##0"),","," ")&amp;" FCFA, échu depuis le "&amp;TEXT(M115,"dd/mm/yyyy")&amp;". Pouvez-vous nous indiquer la date de règlement prévue ? Si le paiement est déjà parti, merci de nous envoyer la preuve et ne tenez pas compte de ce message. "&amp;Paramètres!$B$11&amp;", "&amp;Paramètres!$B$12,IF(K115="En retard","Bonjour "&amp;D115&amp;", votre commande "&amp;A115&amp;" ("&amp;E115&amp;", "&amp;F115&amp;" pièces) prévue le "&amp;TEXT(I115,"dd/mm/yyyy")&amp;" a pris du retard. Nous vous confirmons la nouvelle date de livraison dans la journée. Toutes nos excuses pour ce contretemps. "&amp;Paramètres!$B$11&amp;", "&amp;Paramètres!$B$12,""))))</f>
        <v/>
      </c>
      <c r="T115" s="21" t="n"/>
      <c r="U115" s="26" t="n"/>
      <c r="V115" s="21" t="n"/>
    </row>
    <row r="116">
      <c r="A116" s="21" t="n"/>
      <c r="B116" s="26" t="n"/>
      <c r="C116" s="21" t="n"/>
      <c r="D116" s="25">
        <f>IF(C116="","",IFERROR(VLOOKUP(C116,Revendeurs!$A:$B,2,FALSE),"Code inconnu"))</f>
        <v/>
      </c>
      <c r="E116" s="21" t="n"/>
      <c r="F116" s="21" t="n"/>
      <c r="G116" s="22" t="n"/>
      <c r="H116" s="23">
        <f>IF(OR(F116="",G116=""),"",F116*G116)</f>
        <v/>
      </c>
      <c r="I116" s="26" t="n"/>
      <c r="J116" s="26" t="n"/>
      <c r="K116" s="25">
        <f>IF(B116="","",IF(J116&lt;&gt;"","Livrée",IF(I116="","À planifier",IF(Paramètres!$B$4&gt;I116+Paramètres!$B$8,"En retard","En cours"))))</f>
        <v/>
      </c>
      <c r="L116" s="25">
        <f>IF(K116="En retard",Paramètres!$B$4-I116,"")</f>
        <v/>
      </c>
      <c r="M116" s="27">
        <f>IF(OR(B116="",J116=""),"",J116+IFERROR(IF(VLOOKUP(C116,Revendeurs!$A:$G,7,FALSE)="",Paramètres!$B$9,VLOOKUP(C116,Revendeurs!$A:$G,7,FALSE)),Paramètres!$B$9))</f>
        <v/>
      </c>
      <c r="N116" s="22" t="n"/>
      <c r="O116" s="23">
        <f>IF(H116="","",H116-N116)</f>
        <v/>
      </c>
      <c r="P116" s="25">
        <f>IF(OR(M116="",O116=""),"",IF(O116&lt;=0,0,MAX(0,Paramètres!$B$4-M116)))</f>
        <v/>
      </c>
      <c r="Q116" s="25">
        <f>IF(H116="","",IF(O116&lt;=0,"Payée",IF(M116="","Pas encore livrée",IF(P116=0,"Non échue",IF(P116&gt;=Paramètres!$B$7,"Relance 3 : appel direction",IF(P116&gt;=Paramètres!$B$6,"Relance 2",IF(P116&gt;=Paramètres!$B$5,"Relance 1","Échue, relance à venir")))))))</f>
        <v/>
      </c>
      <c r="R116" s="25">
        <f>IF(B116="","",IF(U116=Paramètres!$B$4,"Relancé aujourd'hui",TRIM(IF(LEFT(Q116,7)="Relance",Q116&amp;" ","")&amp;IF(K116="En retard","· Prévenir du retard de livraison",""))))</f>
        <v/>
      </c>
      <c r="S116" s="28">
        <f>IF(B116="","",IF(LEFT(Q116,9)="Relance 3","Bonjour "&amp;D116&amp;", nous revenons vers vous au sujet de la commande "&amp;A116&amp;" du "&amp;TEXT(B116,"dd/mm/yyyy")&amp;" : "&amp;SUBSTITUTE(TEXT(O116,"#,##0"),","," ")&amp;" FCFA restent à régler depuis le "&amp;TEXT(M116,"dd/mm/yyyy")&amp;". Notre responsable souhaite vous appeler pour convenir ensemble d'une solution. Quel moment vous arrange cette semaine ? "&amp;Paramètres!$B$11&amp;", "&amp;Paramètres!$B$12,IF(LEFT(Q116,7)="Relance","Bonjour "&amp;D116&amp;", sauf erreur de notre part, la commande "&amp;A116&amp;" du "&amp;TEXT(B116,"dd/mm/yyyy")&amp;" ("&amp;E116&amp;") présente un reste à payer de "&amp;SUBSTITUTE(TEXT(O116,"#,##0"),","," ")&amp;" FCFA, échu depuis le "&amp;TEXT(M116,"dd/mm/yyyy")&amp;". Pouvez-vous nous indiquer la date de règlement prévue ? Si le paiement est déjà parti, merci de nous envoyer la preuve et ne tenez pas compte de ce message. "&amp;Paramètres!$B$11&amp;", "&amp;Paramètres!$B$12,IF(K116="En retard","Bonjour "&amp;D116&amp;", votre commande "&amp;A116&amp;" ("&amp;E116&amp;", "&amp;F116&amp;" pièces) prévue le "&amp;TEXT(I116,"dd/mm/yyyy")&amp;" a pris du retard. Nous vous confirmons la nouvelle date de livraison dans la journée. Toutes nos excuses pour ce contretemps. "&amp;Paramètres!$B$11&amp;", "&amp;Paramètres!$B$12,""))))</f>
        <v/>
      </c>
      <c r="T116" s="21" t="n"/>
      <c r="U116" s="26" t="n"/>
      <c r="V116" s="21" t="n"/>
    </row>
    <row r="117">
      <c r="A117" s="21" t="n"/>
      <c r="B117" s="26" t="n"/>
      <c r="C117" s="21" t="n"/>
      <c r="D117" s="25">
        <f>IF(C117="","",IFERROR(VLOOKUP(C117,Revendeurs!$A:$B,2,FALSE),"Code inconnu"))</f>
        <v/>
      </c>
      <c r="E117" s="21" t="n"/>
      <c r="F117" s="21" t="n"/>
      <c r="G117" s="22" t="n"/>
      <c r="H117" s="23">
        <f>IF(OR(F117="",G117=""),"",F117*G117)</f>
        <v/>
      </c>
      <c r="I117" s="26" t="n"/>
      <c r="J117" s="26" t="n"/>
      <c r="K117" s="25">
        <f>IF(B117="","",IF(J117&lt;&gt;"","Livrée",IF(I117="","À planifier",IF(Paramètres!$B$4&gt;I117+Paramètres!$B$8,"En retard","En cours"))))</f>
        <v/>
      </c>
      <c r="L117" s="25">
        <f>IF(K117="En retard",Paramètres!$B$4-I117,"")</f>
        <v/>
      </c>
      <c r="M117" s="27">
        <f>IF(OR(B117="",J117=""),"",J117+IFERROR(IF(VLOOKUP(C117,Revendeurs!$A:$G,7,FALSE)="",Paramètres!$B$9,VLOOKUP(C117,Revendeurs!$A:$G,7,FALSE)),Paramètres!$B$9))</f>
        <v/>
      </c>
      <c r="N117" s="22" t="n"/>
      <c r="O117" s="23">
        <f>IF(H117="","",H117-N117)</f>
        <v/>
      </c>
      <c r="P117" s="25">
        <f>IF(OR(M117="",O117=""),"",IF(O117&lt;=0,0,MAX(0,Paramètres!$B$4-M117)))</f>
        <v/>
      </c>
      <c r="Q117" s="25">
        <f>IF(H117="","",IF(O117&lt;=0,"Payée",IF(M117="","Pas encore livrée",IF(P117=0,"Non échue",IF(P117&gt;=Paramètres!$B$7,"Relance 3 : appel direction",IF(P117&gt;=Paramètres!$B$6,"Relance 2",IF(P117&gt;=Paramètres!$B$5,"Relance 1","Échue, relance à venir")))))))</f>
        <v/>
      </c>
      <c r="R117" s="25">
        <f>IF(B117="","",IF(U117=Paramètres!$B$4,"Relancé aujourd'hui",TRIM(IF(LEFT(Q117,7)="Relance",Q117&amp;" ","")&amp;IF(K117="En retard","· Prévenir du retard de livraison",""))))</f>
        <v/>
      </c>
      <c r="S117" s="28">
        <f>IF(B117="","",IF(LEFT(Q117,9)="Relance 3","Bonjour "&amp;D117&amp;", nous revenons vers vous au sujet de la commande "&amp;A117&amp;" du "&amp;TEXT(B117,"dd/mm/yyyy")&amp;" : "&amp;SUBSTITUTE(TEXT(O117,"#,##0"),","," ")&amp;" FCFA restent à régler depuis le "&amp;TEXT(M117,"dd/mm/yyyy")&amp;". Notre responsable souhaite vous appeler pour convenir ensemble d'une solution. Quel moment vous arrange cette semaine ? "&amp;Paramètres!$B$11&amp;", "&amp;Paramètres!$B$12,IF(LEFT(Q117,7)="Relance","Bonjour "&amp;D117&amp;", sauf erreur de notre part, la commande "&amp;A117&amp;" du "&amp;TEXT(B117,"dd/mm/yyyy")&amp;" ("&amp;E117&amp;") présente un reste à payer de "&amp;SUBSTITUTE(TEXT(O117,"#,##0"),","," ")&amp;" FCFA, échu depuis le "&amp;TEXT(M117,"dd/mm/yyyy")&amp;". Pouvez-vous nous indiquer la date de règlement prévue ? Si le paiement est déjà parti, merci de nous envoyer la preuve et ne tenez pas compte de ce message. "&amp;Paramètres!$B$11&amp;", "&amp;Paramètres!$B$12,IF(K117="En retard","Bonjour "&amp;D117&amp;", votre commande "&amp;A117&amp;" ("&amp;E117&amp;", "&amp;F117&amp;" pièces) prévue le "&amp;TEXT(I117,"dd/mm/yyyy")&amp;" a pris du retard. Nous vous confirmons la nouvelle date de livraison dans la journée. Toutes nos excuses pour ce contretemps. "&amp;Paramètres!$B$11&amp;", "&amp;Paramètres!$B$12,""))))</f>
        <v/>
      </c>
      <c r="T117" s="21" t="n"/>
      <c r="U117" s="26" t="n"/>
      <c r="V117" s="21" t="n"/>
    </row>
    <row r="118">
      <c r="A118" s="21" t="n"/>
      <c r="B118" s="26" t="n"/>
      <c r="C118" s="21" t="n"/>
      <c r="D118" s="25">
        <f>IF(C118="","",IFERROR(VLOOKUP(C118,Revendeurs!$A:$B,2,FALSE),"Code inconnu"))</f>
        <v/>
      </c>
      <c r="E118" s="21" t="n"/>
      <c r="F118" s="21" t="n"/>
      <c r="G118" s="22" t="n"/>
      <c r="H118" s="23">
        <f>IF(OR(F118="",G118=""),"",F118*G118)</f>
        <v/>
      </c>
      <c r="I118" s="26" t="n"/>
      <c r="J118" s="26" t="n"/>
      <c r="K118" s="25">
        <f>IF(B118="","",IF(J118&lt;&gt;"","Livrée",IF(I118="","À planifier",IF(Paramètres!$B$4&gt;I118+Paramètres!$B$8,"En retard","En cours"))))</f>
        <v/>
      </c>
      <c r="L118" s="25">
        <f>IF(K118="En retard",Paramètres!$B$4-I118,"")</f>
        <v/>
      </c>
      <c r="M118" s="27">
        <f>IF(OR(B118="",J118=""),"",J118+IFERROR(IF(VLOOKUP(C118,Revendeurs!$A:$G,7,FALSE)="",Paramètres!$B$9,VLOOKUP(C118,Revendeurs!$A:$G,7,FALSE)),Paramètres!$B$9))</f>
        <v/>
      </c>
      <c r="N118" s="22" t="n"/>
      <c r="O118" s="23">
        <f>IF(H118="","",H118-N118)</f>
        <v/>
      </c>
      <c r="P118" s="25">
        <f>IF(OR(M118="",O118=""),"",IF(O118&lt;=0,0,MAX(0,Paramètres!$B$4-M118)))</f>
        <v/>
      </c>
      <c r="Q118" s="25">
        <f>IF(H118="","",IF(O118&lt;=0,"Payée",IF(M118="","Pas encore livrée",IF(P118=0,"Non échue",IF(P118&gt;=Paramètres!$B$7,"Relance 3 : appel direction",IF(P118&gt;=Paramètres!$B$6,"Relance 2",IF(P118&gt;=Paramètres!$B$5,"Relance 1","Échue, relance à venir")))))))</f>
        <v/>
      </c>
      <c r="R118" s="25">
        <f>IF(B118="","",IF(U118=Paramètres!$B$4,"Relancé aujourd'hui",TRIM(IF(LEFT(Q118,7)="Relance",Q118&amp;" ","")&amp;IF(K118="En retard","· Prévenir du retard de livraison",""))))</f>
        <v/>
      </c>
      <c r="S118" s="28">
        <f>IF(B118="","",IF(LEFT(Q118,9)="Relance 3","Bonjour "&amp;D118&amp;", nous revenons vers vous au sujet de la commande "&amp;A118&amp;" du "&amp;TEXT(B118,"dd/mm/yyyy")&amp;" : "&amp;SUBSTITUTE(TEXT(O118,"#,##0"),","," ")&amp;" FCFA restent à régler depuis le "&amp;TEXT(M118,"dd/mm/yyyy")&amp;". Notre responsable souhaite vous appeler pour convenir ensemble d'une solution. Quel moment vous arrange cette semaine ? "&amp;Paramètres!$B$11&amp;", "&amp;Paramètres!$B$12,IF(LEFT(Q118,7)="Relance","Bonjour "&amp;D118&amp;", sauf erreur de notre part, la commande "&amp;A118&amp;" du "&amp;TEXT(B118,"dd/mm/yyyy")&amp;" ("&amp;E118&amp;") présente un reste à payer de "&amp;SUBSTITUTE(TEXT(O118,"#,##0"),","," ")&amp;" FCFA, échu depuis le "&amp;TEXT(M118,"dd/mm/yyyy")&amp;". Pouvez-vous nous indiquer la date de règlement prévue ? Si le paiement est déjà parti, merci de nous envoyer la preuve et ne tenez pas compte de ce message. "&amp;Paramètres!$B$11&amp;", "&amp;Paramètres!$B$12,IF(K118="En retard","Bonjour "&amp;D118&amp;", votre commande "&amp;A118&amp;" ("&amp;E118&amp;", "&amp;F118&amp;" pièces) prévue le "&amp;TEXT(I118,"dd/mm/yyyy")&amp;" a pris du retard. Nous vous confirmons la nouvelle date de livraison dans la journée. Toutes nos excuses pour ce contretemps. "&amp;Paramètres!$B$11&amp;", "&amp;Paramètres!$B$12,""))))</f>
        <v/>
      </c>
      <c r="T118" s="21" t="n"/>
      <c r="U118" s="26" t="n"/>
      <c r="V118" s="21" t="n"/>
    </row>
    <row r="119">
      <c r="A119" s="21" t="n"/>
      <c r="B119" s="26" t="n"/>
      <c r="C119" s="21" t="n"/>
      <c r="D119" s="25">
        <f>IF(C119="","",IFERROR(VLOOKUP(C119,Revendeurs!$A:$B,2,FALSE),"Code inconnu"))</f>
        <v/>
      </c>
      <c r="E119" s="21" t="n"/>
      <c r="F119" s="21" t="n"/>
      <c r="G119" s="22" t="n"/>
      <c r="H119" s="23">
        <f>IF(OR(F119="",G119=""),"",F119*G119)</f>
        <v/>
      </c>
      <c r="I119" s="26" t="n"/>
      <c r="J119" s="26" t="n"/>
      <c r="K119" s="25">
        <f>IF(B119="","",IF(J119&lt;&gt;"","Livrée",IF(I119="","À planifier",IF(Paramètres!$B$4&gt;I119+Paramètres!$B$8,"En retard","En cours"))))</f>
        <v/>
      </c>
      <c r="L119" s="25">
        <f>IF(K119="En retard",Paramètres!$B$4-I119,"")</f>
        <v/>
      </c>
      <c r="M119" s="27">
        <f>IF(OR(B119="",J119=""),"",J119+IFERROR(IF(VLOOKUP(C119,Revendeurs!$A:$G,7,FALSE)="",Paramètres!$B$9,VLOOKUP(C119,Revendeurs!$A:$G,7,FALSE)),Paramètres!$B$9))</f>
        <v/>
      </c>
      <c r="N119" s="22" t="n"/>
      <c r="O119" s="23">
        <f>IF(H119="","",H119-N119)</f>
        <v/>
      </c>
      <c r="P119" s="25">
        <f>IF(OR(M119="",O119=""),"",IF(O119&lt;=0,0,MAX(0,Paramètres!$B$4-M119)))</f>
        <v/>
      </c>
      <c r="Q119" s="25">
        <f>IF(H119="","",IF(O119&lt;=0,"Payée",IF(M119="","Pas encore livrée",IF(P119=0,"Non échue",IF(P119&gt;=Paramètres!$B$7,"Relance 3 : appel direction",IF(P119&gt;=Paramètres!$B$6,"Relance 2",IF(P119&gt;=Paramètres!$B$5,"Relance 1","Échue, relance à venir")))))))</f>
        <v/>
      </c>
      <c r="R119" s="25">
        <f>IF(B119="","",IF(U119=Paramètres!$B$4,"Relancé aujourd'hui",TRIM(IF(LEFT(Q119,7)="Relance",Q119&amp;" ","")&amp;IF(K119="En retard","· Prévenir du retard de livraison",""))))</f>
        <v/>
      </c>
      <c r="S119" s="28">
        <f>IF(B119="","",IF(LEFT(Q119,9)="Relance 3","Bonjour "&amp;D119&amp;", nous revenons vers vous au sujet de la commande "&amp;A119&amp;" du "&amp;TEXT(B119,"dd/mm/yyyy")&amp;" : "&amp;SUBSTITUTE(TEXT(O119,"#,##0"),","," ")&amp;" FCFA restent à régler depuis le "&amp;TEXT(M119,"dd/mm/yyyy")&amp;". Notre responsable souhaite vous appeler pour convenir ensemble d'une solution. Quel moment vous arrange cette semaine ? "&amp;Paramètres!$B$11&amp;", "&amp;Paramètres!$B$12,IF(LEFT(Q119,7)="Relance","Bonjour "&amp;D119&amp;", sauf erreur de notre part, la commande "&amp;A119&amp;" du "&amp;TEXT(B119,"dd/mm/yyyy")&amp;" ("&amp;E119&amp;") présente un reste à payer de "&amp;SUBSTITUTE(TEXT(O119,"#,##0"),","," ")&amp;" FCFA, échu depuis le "&amp;TEXT(M119,"dd/mm/yyyy")&amp;". Pouvez-vous nous indiquer la date de règlement prévue ? Si le paiement est déjà parti, merci de nous envoyer la preuve et ne tenez pas compte de ce message. "&amp;Paramètres!$B$11&amp;", "&amp;Paramètres!$B$12,IF(K119="En retard","Bonjour "&amp;D119&amp;", votre commande "&amp;A119&amp;" ("&amp;E119&amp;", "&amp;F119&amp;" pièces) prévue le "&amp;TEXT(I119,"dd/mm/yyyy")&amp;" a pris du retard. Nous vous confirmons la nouvelle date de livraison dans la journée. Toutes nos excuses pour ce contretemps. "&amp;Paramètres!$B$11&amp;", "&amp;Paramètres!$B$12,""))))</f>
        <v/>
      </c>
      <c r="T119" s="21" t="n"/>
      <c r="U119" s="26" t="n"/>
      <c r="V119" s="21" t="n"/>
    </row>
    <row r="120">
      <c r="A120" s="21" t="n"/>
      <c r="B120" s="26" t="n"/>
      <c r="C120" s="21" t="n"/>
      <c r="D120" s="25">
        <f>IF(C120="","",IFERROR(VLOOKUP(C120,Revendeurs!$A:$B,2,FALSE),"Code inconnu"))</f>
        <v/>
      </c>
      <c r="E120" s="21" t="n"/>
      <c r="F120" s="21" t="n"/>
      <c r="G120" s="22" t="n"/>
      <c r="H120" s="23">
        <f>IF(OR(F120="",G120=""),"",F120*G120)</f>
        <v/>
      </c>
      <c r="I120" s="26" t="n"/>
      <c r="J120" s="26" t="n"/>
      <c r="K120" s="25">
        <f>IF(B120="","",IF(J120&lt;&gt;"","Livrée",IF(I120="","À planifier",IF(Paramètres!$B$4&gt;I120+Paramètres!$B$8,"En retard","En cours"))))</f>
        <v/>
      </c>
      <c r="L120" s="25">
        <f>IF(K120="En retard",Paramètres!$B$4-I120,"")</f>
        <v/>
      </c>
      <c r="M120" s="27">
        <f>IF(OR(B120="",J120=""),"",J120+IFERROR(IF(VLOOKUP(C120,Revendeurs!$A:$G,7,FALSE)="",Paramètres!$B$9,VLOOKUP(C120,Revendeurs!$A:$G,7,FALSE)),Paramètres!$B$9))</f>
        <v/>
      </c>
      <c r="N120" s="22" t="n"/>
      <c r="O120" s="23">
        <f>IF(H120="","",H120-N120)</f>
        <v/>
      </c>
      <c r="P120" s="25">
        <f>IF(OR(M120="",O120=""),"",IF(O120&lt;=0,0,MAX(0,Paramètres!$B$4-M120)))</f>
        <v/>
      </c>
      <c r="Q120" s="25">
        <f>IF(H120="","",IF(O120&lt;=0,"Payée",IF(M120="","Pas encore livrée",IF(P120=0,"Non échue",IF(P120&gt;=Paramètres!$B$7,"Relance 3 : appel direction",IF(P120&gt;=Paramètres!$B$6,"Relance 2",IF(P120&gt;=Paramètres!$B$5,"Relance 1","Échue, relance à venir")))))))</f>
        <v/>
      </c>
      <c r="R120" s="25">
        <f>IF(B120="","",IF(U120=Paramètres!$B$4,"Relancé aujourd'hui",TRIM(IF(LEFT(Q120,7)="Relance",Q120&amp;" ","")&amp;IF(K120="En retard","· Prévenir du retard de livraison",""))))</f>
        <v/>
      </c>
      <c r="S120" s="28">
        <f>IF(B120="","",IF(LEFT(Q120,9)="Relance 3","Bonjour "&amp;D120&amp;", nous revenons vers vous au sujet de la commande "&amp;A120&amp;" du "&amp;TEXT(B120,"dd/mm/yyyy")&amp;" : "&amp;SUBSTITUTE(TEXT(O120,"#,##0"),","," ")&amp;" FCFA restent à régler depuis le "&amp;TEXT(M120,"dd/mm/yyyy")&amp;". Notre responsable souhaite vous appeler pour convenir ensemble d'une solution. Quel moment vous arrange cette semaine ? "&amp;Paramètres!$B$11&amp;", "&amp;Paramètres!$B$12,IF(LEFT(Q120,7)="Relance","Bonjour "&amp;D120&amp;", sauf erreur de notre part, la commande "&amp;A120&amp;" du "&amp;TEXT(B120,"dd/mm/yyyy")&amp;" ("&amp;E120&amp;") présente un reste à payer de "&amp;SUBSTITUTE(TEXT(O120,"#,##0"),","," ")&amp;" FCFA, échu depuis le "&amp;TEXT(M120,"dd/mm/yyyy")&amp;". Pouvez-vous nous indiquer la date de règlement prévue ? Si le paiement est déjà parti, merci de nous envoyer la preuve et ne tenez pas compte de ce message. "&amp;Paramètres!$B$11&amp;", "&amp;Paramètres!$B$12,IF(K120="En retard","Bonjour "&amp;D120&amp;", votre commande "&amp;A120&amp;" ("&amp;E120&amp;", "&amp;F120&amp;" pièces) prévue le "&amp;TEXT(I120,"dd/mm/yyyy")&amp;" a pris du retard. Nous vous confirmons la nouvelle date de livraison dans la journée. Toutes nos excuses pour ce contretemps. "&amp;Paramètres!$B$11&amp;", "&amp;Paramètres!$B$12,""))))</f>
        <v/>
      </c>
      <c r="T120" s="21" t="n"/>
      <c r="U120" s="26" t="n"/>
      <c r="V120" s="21" t="n"/>
    </row>
    <row r="121">
      <c r="A121" s="21" t="n"/>
      <c r="B121" s="26" t="n"/>
      <c r="C121" s="21" t="n"/>
      <c r="D121" s="25">
        <f>IF(C121="","",IFERROR(VLOOKUP(C121,Revendeurs!$A:$B,2,FALSE),"Code inconnu"))</f>
        <v/>
      </c>
      <c r="E121" s="21" t="n"/>
      <c r="F121" s="21" t="n"/>
      <c r="G121" s="22" t="n"/>
      <c r="H121" s="23">
        <f>IF(OR(F121="",G121=""),"",F121*G121)</f>
        <v/>
      </c>
      <c r="I121" s="26" t="n"/>
      <c r="J121" s="26" t="n"/>
      <c r="K121" s="25">
        <f>IF(B121="","",IF(J121&lt;&gt;"","Livrée",IF(I121="","À planifier",IF(Paramètres!$B$4&gt;I121+Paramètres!$B$8,"En retard","En cours"))))</f>
        <v/>
      </c>
      <c r="L121" s="25">
        <f>IF(K121="En retard",Paramètres!$B$4-I121,"")</f>
        <v/>
      </c>
      <c r="M121" s="27">
        <f>IF(OR(B121="",J121=""),"",J121+IFERROR(IF(VLOOKUP(C121,Revendeurs!$A:$G,7,FALSE)="",Paramètres!$B$9,VLOOKUP(C121,Revendeurs!$A:$G,7,FALSE)),Paramètres!$B$9))</f>
        <v/>
      </c>
      <c r="N121" s="22" t="n"/>
      <c r="O121" s="23">
        <f>IF(H121="","",H121-N121)</f>
        <v/>
      </c>
      <c r="P121" s="25">
        <f>IF(OR(M121="",O121=""),"",IF(O121&lt;=0,0,MAX(0,Paramètres!$B$4-M121)))</f>
        <v/>
      </c>
      <c r="Q121" s="25">
        <f>IF(H121="","",IF(O121&lt;=0,"Payée",IF(M121="","Pas encore livrée",IF(P121=0,"Non échue",IF(P121&gt;=Paramètres!$B$7,"Relance 3 : appel direction",IF(P121&gt;=Paramètres!$B$6,"Relance 2",IF(P121&gt;=Paramètres!$B$5,"Relance 1","Échue, relance à venir")))))))</f>
        <v/>
      </c>
      <c r="R121" s="25">
        <f>IF(B121="","",IF(U121=Paramètres!$B$4,"Relancé aujourd'hui",TRIM(IF(LEFT(Q121,7)="Relance",Q121&amp;" ","")&amp;IF(K121="En retard","· Prévenir du retard de livraison",""))))</f>
        <v/>
      </c>
      <c r="S121" s="28">
        <f>IF(B121="","",IF(LEFT(Q121,9)="Relance 3","Bonjour "&amp;D121&amp;", nous revenons vers vous au sujet de la commande "&amp;A121&amp;" du "&amp;TEXT(B121,"dd/mm/yyyy")&amp;" : "&amp;SUBSTITUTE(TEXT(O121,"#,##0"),","," ")&amp;" FCFA restent à régler depuis le "&amp;TEXT(M121,"dd/mm/yyyy")&amp;". Notre responsable souhaite vous appeler pour convenir ensemble d'une solution. Quel moment vous arrange cette semaine ? "&amp;Paramètres!$B$11&amp;", "&amp;Paramètres!$B$12,IF(LEFT(Q121,7)="Relance","Bonjour "&amp;D121&amp;", sauf erreur de notre part, la commande "&amp;A121&amp;" du "&amp;TEXT(B121,"dd/mm/yyyy")&amp;" ("&amp;E121&amp;") présente un reste à payer de "&amp;SUBSTITUTE(TEXT(O121,"#,##0"),","," ")&amp;" FCFA, échu depuis le "&amp;TEXT(M121,"dd/mm/yyyy")&amp;". Pouvez-vous nous indiquer la date de règlement prévue ? Si le paiement est déjà parti, merci de nous envoyer la preuve et ne tenez pas compte de ce message. "&amp;Paramètres!$B$11&amp;", "&amp;Paramètres!$B$12,IF(K121="En retard","Bonjour "&amp;D121&amp;", votre commande "&amp;A121&amp;" ("&amp;E121&amp;", "&amp;F121&amp;" pièces) prévue le "&amp;TEXT(I121,"dd/mm/yyyy")&amp;" a pris du retard. Nous vous confirmons la nouvelle date de livraison dans la journée. Toutes nos excuses pour ce contretemps. "&amp;Paramètres!$B$11&amp;", "&amp;Paramètres!$B$12,""))))</f>
        <v/>
      </c>
      <c r="T121" s="21" t="n"/>
      <c r="U121" s="26" t="n"/>
      <c r="V121" s="21" t="n"/>
    </row>
    <row r="122">
      <c r="A122" s="21" t="n"/>
      <c r="B122" s="26" t="n"/>
      <c r="C122" s="21" t="n"/>
      <c r="D122" s="25">
        <f>IF(C122="","",IFERROR(VLOOKUP(C122,Revendeurs!$A:$B,2,FALSE),"Code inconnu"))</f>
        <v/>
      </c>
      <c r="E122" s="21" t="n"/>
      <c r="F122" s="21" t="n"/>
      <c r="G122" s="22" t="n"/>
      <c r="H122" s="23">
        <f>IF(OR(F122="",G122=""),"",F122*G122)</f>
        <v/>
      </c>
      <c r="I122" s="26" t="n"/>
      <c r="J122" s="26" t="n"/>
      <c r="K122" s="25">
        <f>IF(B122="","",IF(J122&lt;&gt;"","Livrée",IF(I122="","À planifier",IF(Paramètres!$B$4&gt;I122+Paramètres!$B$8,"En retard","En cours"))))</f>
        <v/>
      </c>
      <c r="L122" s="25">
        <f>IF(K122="En retard",Paramètres!$B$4-I122,"")</f>
        <v/>
      </c>
      <c r="M122" s="27">
        <f>IF(OR(B122="",J122=""),"",J122+IFERROR(IF(VLOOKUP(C122,Revendeurs!$A:$G,7,FALSE)="",Paramètres!$B$9,VLOOKUP(C122,Revendeurs!$A:$G,7,FALSE)),Paramètres!$B$9))</f>
        <v/>
      </c>
      <c r="N122" s="22" t="n"/>
      <c r="O122" s="23">
        <f>IF(H122="","",H122-N122)</f>
        <v/>
      </c>
      <c r="P122" s="25">
        <f>IF(OR(M122="",O122=""),"",IF(O122&lt;=0,0,MAX(0,Paramètres!$B$4-M122)))</f>
        <v/>
      </c>
      <c r="Q122" s="25">
        <f>IF(H122="","",IF(O122&lt;=0,"Payée",IF(M122="","Pas encore livrée",IF(P122=0,"Non échue",IF(P122&gt;=Paramètres!$B$7,"Relance 3 : appel direction",IF(P122&gt;=Paramètres!$B$6,"Relance 2",IF(P122&gt;=Paramètres!$B$5,"Relance 1","Échue, relance à venir")))))))</f>
        <v/>
      </c>
      <c r="R122" s="25">
        <f>IF(B122="","",IF(U122=Paramètres!$B$4,"Relancé aujourd'hui",TRIM(IF(LEFT(Q122,7)="Relance",Q122&amp;" ","")&amp;IF(K122="En retard","· Prévenir du retard de livraison",""))))</f>
        <v/>
      </c>
      <c r="S122" s="28">
        <f>IF(B122="","",IF(LEFT(Q122,9)="Relance 3","Bonjour "&amp;D122&amp;", nous revenons vers vous au sujet de la commande "&amp;A122&amp;" du "&amp;TEXT(B122,"dd/mm/yyyy")&amp;" : "&amp;SUBSTITUTE(TEXT(O122,"#,##0"),","," ")&amp;" FCFA restent à régler depuis le "&amp;TEXT(M122,"dd/mm/yyyy")&amp;". Notre responsable souhaite vous appeler pour convenir ensemble d'une solution. Quel moment vous arrange cette semaine ? "&amp;Paramètres!$B$11&amp;", "&amp;Paramètres!$B$12,IF(LEFT(Q122,7)="Relance","Bonjour "&amp;D122&amp;", sauf erreur de notre part, la commande "&amp;A122&amp;" du "&amp;TEXT(B122,"dd/mm/yyyy")&amp;" ("&amp;E122&amp;") présente un reste à payer de "&amp;SUBSTITUTE(TEXT(O122,"#,##0"),","," ")&amp;" FCFA, échu depuis le "&amp;TEXT(M122,"dd/mm/yyyy")&amp;". Pouvez-vous nous indiquer la date de règlement prévue ? Si le paiement est déjà parti, merci de nous envoyer la preuve et ne tenez pas compte de ce message. "&amp;Paramètres!$B$11&amp;", "&amp;Paramètres!$B$12,IF(K122="En retard","Bonjour "&amp;D122&amp;", votre commande "&amp;A122&amp;" ("&amp;E122&amp;", "&amp;F122&amp;" pièces) prévue le "&amp;TEXT(I122,"dd/mm/yyyy")&amp;" a pris du retard. Nous vous confirmons la nouvelle date de livraison dans la journée. Toutes nos excuses pour ce contretemps. "&amp;Paramètres!$B$11&amp;", "&amp;Paramètres!$B$12,""))))</f>
        <v/>
      </c>
      <c r="T122" s="21" t="n"/>
      <c r="U122" s="26" t="n"/>
      <c r="V122" s="21" t="n"/>
    </row>
    <row r="123">
      <c r="A123" s="21" t="n"/>
      <c r="B123" s="26" t="n"/>
      <c r="C123" s="21" t="n"/>
      <c r="D123" s="25">
        <f>IF(C123="","",IFERROR(VLOOKUP(C123,Revendeurs!$A:$B,2,FALSE),"Code inconnu"))</f>
        <v/>
      </c>
      <c r="E123" s="21" t="n"/>
      <c r="F123" s="21" t="n"/>
      <c r="G123" s="22" t="n"/>
      <c r="H123" s="23">
        <f>IF(OR(F123="",G123=""),"",F123*G123)</f>
        <v/>
      </c>
      <c r="I123" s="26" t="n"/>
      <c r="J123" s="26" t="n"/>
      <c r="K123" s="25">
        <f>IF(B123="","",IF(J123&lt;&gt;"","Livrée",IF(I123="","À planifier",IF(Paramètres!$B$4&gt;I123+Paramètres!$B$8,"En retard","En cours"))))</f>
        <v/>
      </c>
      <c r="L123" s="25">
        <f>IF(K123="En retard",Paramètres!$B$4-I123,"")</f>
        <v/>
      </c>
      <c r="M123" s="27">
        <f>IF(OR(B123="",J123=""),"",J123+IFERROR(IF(VLOOKUP(C123,Revendeurs!$A:$G,7,FALSE)="",Paramètres!$B$9,VLOOKUP(C123,Revendeurs!$A:$G,7,FALSE)),Paramètres!$B$9))</f>
        <v/>
      </c>
      <c r="N123" s="22" t="n"/>
      <c r="O123" s="23">
        <f>IF(H123="","",H123-N123)</f>
        <v/>
      </c>
      <c r="P123" s="25">
        <f>IF(OR(M123="",O123=""),"",IF(O123&lt;=0,0,MAX(0,Paramètres!$B$4-M123)))</f>
        <v/>
      </c>
      <c r="Q123" s="25">
        <f>IF(H123="","",IF(O123&lt;=0,"Payée",IF(M123="","Pas encore livrée",IF(P123=0,"Non échue",IF(P123&gt;=Paramètres!$B$7,"Relance 3 : appel direction",IF(P123&gt;=Paramètres!$B$6,"Relance 2",IF(P123&gt;=Paramètres!$B$5,"Relance 1","Échue, relance à venir")))))))</f>
        <v/>
      </c>
      <c r="R123" s="25">
        <f>IF(B123="","",IF(U123=Paramètres!$B$4,"Relancé aujourd'hui",TRIM(IF(LEFT(Q123,7)="Relance",Q123&amp;" ","")&amp;IF(K123="En retard","· Prévenir du retard de livraison",""))))</f>
        <v/>
      </c>
      <c r="S123" s="28">
        <f>IF(B123="","",IF(LEFT(Q123,9)="Relance 3","Bonjour "&amp;D123&amp;", nous revenons vers vous au sujet de la commande "&amp;A123&amp;" du "&amp;TEXT(B123,"dd/mm/yyyy")&amp;" : "&amp;SUBSTITUTE(TEXT(O123,"#,##0"),","," ")&amp;" FCFA restent à régler depuis le "&amp;TEXT(M123,"dd/mm/yyyy")&amp;". Notre responsable souhaite vous appeler pour convenir ensemble d'une solution. Quel moment vous arrange cette semaine ? "&amp;Paramètres!$B$11&amp;", "&amp;Paramètres!$B$12,IF(LEFT(Q123,7)="Relance","Bonjour "&amp;D123&amp;", sauf erreur de notre part, la commande "&amp;A123&amp;" du "&amp;TEXT(B123,"dd/mm/yyyy")&amp;" ("&amp;E123&amp;") présente un reste à payer de "&amp;SUBSTITUTE(TEXT(O123,"#,##0"),","," ")&amp;" FCFA, échu depuis le "&amp;TEXT(M123,"dd/mm/yyyy")&amp;". Pouvez-vous nous indiquer la date de règlement prévue ? Si le paiement est déjà parti, merci de nous envoyer la preuve et ne tenez pas compte de ce message. "&amp;Paramètres!$B$11&amp;", "&amp;Paramètres!$B$12,IF(K123="En retard","Bonjour "&amp;D123&amp;", votre commande "&amp;A123&amp;" ("&amp;E123&amp;", "&amp;F123&amp;" pièces) prévue le "&amp;TEXT(I123,"dd/mm/yyyy")&amp;" a pris du retard. Nous vous confirmons la nouvelle date de livraison dans la journée. Toutes nos excuses pour ce contretemps. "&amp;Paramètres!$B$11&amp;", "&amp;Paramètres!$B$12,""))))</f>
        <v/>
      </c>
      <c r="T123" s="21" t="n"/>
      <c r="U123" s="26" t="n"/>
      <c r="V123" s="21" t="n"/>
    </row>
    <row r="124">
      <c r="A124" s="21" t="n"/>
      <c r="B124" s="26" t="n"/>
      <c r="C124" s="21" t="n"/>
      <c r="D124" s="25">
        <f>IF(C124="","",IFERROR(VLOOKUP(C124,Revendeurs!$A:$B,2,FALSE),"Code inconnu"))</f>
        <v/>
      </c>
      <c r="E124" s="21" t="n"/>
      <c r="F124" s="21" t="n"/>
      <c r="G124" s="22" t="n"/>
      <c r="H124" s="23">
        <f>IF(OR(F124="",G124=""),"",F124*G124)</f>
        <v/>
      </c>
      <c r="I124" s="26" t="n"/>
      <c r="J124" s="26" t="n"/>
      <c r="K124" s="25">
        <f>IF(B124="","",IF(J124&lt;&gt;"","Livrée",IF(I124="","À planifier",IF(Paramètres!$B$4&gt;I124+Paramètres!$B$8,"En retard","En cours"))))</f>
        <v/>
      </c>
      <c r="L124" s="25">
        <f>IF(K124="En retard",Paramètres!$B$4-I124,"")</f>
        <v/>
      </c>
      <c r="M124" s="27">
        <f>IF(OR(B124="",J124=""),"",J124+IFERROR(IF(VLOOKUP(C124,Revendeurs!$A:$G,7,FALSE)="",Paramètres!$B$9,VLOOKUP(C124,Revendeurs!$A:$G,7,FALSE)),Paramètres!$B$9))</f>
        <v/>
      </c>
      <c r="N124" s="22" t="n"/>
      <c r="O124" s="23">
        <f>IF(H124="","",H124-N124)</f>
        <v/>
      </c>
      <c r="P124" s="25">
        <f>IF(OR(M124="",O124=""),"",IF(O124&lt;=0,0,MAX(0,Paramètres!$B$4-M124)))</f>
        <v/>
      </c>
      <c r="Q124" s="25">
        <f>IF(H124="","",IF(O124&lt;=0,"Payée",IF(M124="","Pas encore livrée",IF(P124=0,"Non échue",IF(P124&gt;=Paramètres!$B$7,"Relance 3 : appel direction",IF(P124&gt;=Paramètres!$B$6,"Relance 2",IF(P124&gt;=Paramètres!$B$5,"Relance 1","Échue, relance à venir")))))))</f>
        <v/>
      </c>
      <c r="R124" s="25">
        <f>IF(B124="","",IF(U124=Paramètres!$B$4,"Relancé aujourd'hui",TRIM(IF(LEFT(Q124,7)="Relance",Q124&amp;" ","")&amp;IF(K124="En retard","· Prévenir du retard de livraison",""))))</f>
        <v/>
      </c>
      <c r="S124" s="28">
        <f>IF(B124="","",IF(LEFT(Q124,9)="Relance 3","Bonjour "&amp;D124&amp;", nous revenons vers vous au sujet de la commande "&amp;A124&amp;" du "&amp;TEXT(B124,"dd/mm/yyyy")&amp;" : "&amp;SUBSTITUTE(TEXT(O124,"#,##0"),","," ")&amp;" FCFA restent à régler depuis le "&amp;TEXT(M124,"dd/mm/yyyy")&amp;". Notre responsable souhaite vous appeler pour convenir ensemble d'une solution. Quel moment vous arrange cette semaine ? "&amp;Paramètres!$B$11&amp;", "&amp;Paramètres!$B$12,IF(LEFT(Q124,7)="Relance","Bonjour "&amp;D124&amp;", sauf erreur de notre part, la commande "&amp;A124&amp;" du "&amp;TEXT(B124,"dd/mm/yyyy")&amp;" ("&amp;E124&amp;") présente un reste à payer de "&amp;SUBSTITUTE(TEXT(O124,"#,##0"),","," ")&amp;" FCFA, échu depuis le "&amp;TEXT(M124,"dd/mm/yyyy")&amp;". Pouvez-vous nous indiquer la date de règlement prévue ? Si le paiement est déjà parti, merci de nous envoyer la preuve et ne tenez pas compte de ce message. "&amp;Paramètres!$B$11&amp;", "&amp;Paramètres!$B$12,IF(K124="En retard","Bonjour "&amp;D124&amp;", votre commande "&amp;A124&amp;" ("&amp;E124&amp;", "&amp;F124&amp;" pièces) prévue le "&amp;TEXT(I124,"dd/mm/yyyy")&amp;" a pris du retard. Nous vous confirmons la nouvelle date de livraison dans la journée. Toutes nos excuses pour ce contretemps. "&amp;Paramètres!$B$11&amp;", "&amp;Paramètres!$B$12,""))))</f>
        <v/>
      </c>
      <c r="T124" s="21" t="n"/>
      <c r="U124" s="26" t="n"/>
      <c r="V124" s="21" t="n"/>
    </row>
    <row r="125">
      <c r="A125" s="21" t="n"/>
      <c r="B125" s="26" t="n"/>
      <c r="C125" s="21" t="n"/>
      <c r="D125" s="25">
        <f>IF(C125="","",IFERROR(VLOOKUP(C125,Revendeurs!$A:$B,2,FALSE),"Code inconnu"))</f>
        <v/>
      </c>
      <c r="E125" s="21" t="n"/>
      <c r="F125" s="21" t="n"/>
      <c r="G125" s="22" t="n"/>
      <c r="H125" s="23">
        <f>IF(OR(F125="",G125=""),"",F125*G125)</f>
        <v/>
      </c>
      <c r="I125" s="26" t="n"/>
      <c r="J125" s="26" t="n"/>
      <c r="K125" s="25">
        <f>IF(B125="","",IF(J125&lt;&gt;"","Livrée",IF(I125="","À planifier",IF(Paramètres!$B$4&gt;I125+Paramètres!$B$8,"En retard","En cours"))))</f>
        <v/>
      </c>
      <c r="L125" s="25">
        <f>IF(K125="En retard",Paramètres!$B$4-I125,"")</f>
        <v/>
      </c>
      <c r="M125" s="27">
        <f>IF(OR(B125="",J125=""),"",J125+IFERROR(IF(VLOOKUP(C125,Revendeurs!$A:$G,7,FALSE)="",Paramètres!$B$9,VLOOKUP(C125,Revendeurs!$A:$G,7,FALSE)),Paramètres!$B$9))</f>
        <v/>
      </c>
      <c r="N125" s="22" t="n"/>
      <c r="O125" s="23">
        <f>IF(H125="","",H125-N125)</f>
        <v/>
      </c>
      <c r="P125" s="25">
        <f>IF(OR(M125="",O125=""),"",IF(O125&lt;=0,0,MAX(0,Paramètres!$B$4-M125)))</f>
        <v/>
      </c>
      <c r="Q125" s="25">
        <f>IF(H125="","",IF(O125&lt;=0,"Payée",IF(M125="","Pas encore livrée",IF(P125=0,"Non échue",IF(P125&gt;=Paramètres!$B$7,"Relance 3 : appel direction",IF(P125&gt;=Paramètres!$B$6,"Relance 2",IF(P125&gt;=Paramètres!$B$5,"Relance 1","Échue, relance à venir")))))))</f>
        <v/>
      </c>
      <c r="R125" s="25">
        <f>IF(B125="","",IF(U125=Paramètres!$B$4,"Relancé aujourd'hui",TRIM(IF(LEFT(Q125,7)="Relance",Q125&amp;" ","")&amp;IF(K125="En retard","· Prévenir du retard de livraison",""))))</f>
        <v/>
      </c>
      <c r="S125" s="28">
        <f>IF(B125="","",IF(LEFT(Q125,9)="Relance 3","Bonjour "&amp;D125&amp;", nous revenons vers vous au sujet de la commande "&amp;A125&amp;" du "&amp;TEXT(B125,"dd/mm/yyyy")&amp;" : "&amp;SUBSTITUTE(TEXT(O125,"#,##0"),","," ")&amp;" FCFA restent à régler depuis le "&amp;TEXT(M125,"dd/mm/yyyy")&amp;". Notre responsable souhaite vous appeler pour convenir ensemble d'une solution. Quel moment vous arrange cette semaine ? "&amp;Paramètres!$B$11&amp;", "&amp;Paramètres!$B$12,IF(LEFT(Q125,7)="Relance","Bonjour "&amp;D125&amp;", sauf erreur de notre part, la commande "&amp;A125&amp;" du "&amp;TEXT(B125,"dd/mm/yyyy")&amp;" ("&amp;E125&amp;") présente un reste à payer de "&amp;SUBSTITUTE(TEXT(O125,"#,##0"),","," ")&amp;" FCFA, échu depuis le "&amp;TEXT(M125,"dd/mm/yyyy")&amp;". Pouvez-vous nous indiquer la date de règlement prévue ? Si le paiement est déjà parti, merci de nous envoyer la preuve et ne tenez pas compte de ce message. "&amp;Paramètres!$B$11&amp;", "&amp;Paramètres!$B$12,IF(K125="En retard","Bonjour "&amp;D125&amp;", votre commande "&amp;A125&amp;" ("&amp;E125&amp;", "&amp;F125&amp;" pièces) prévue le "&amp;TEXT(I125,"dd/mm/yyyy")&amp;" a pris du retard. Nous vous confirmons la nouvelle date de livraison dans la journée. Toutes nos excuses pour ce contretemps. "&amp;Paramètres!$B$11&amp;", "&amp;Paramètres!$B$12,""))))</f>
        <v/>
      </c>
      <c r="T125" s="21" t="n"/>
      <c r="U125" s="26" t="n"/>
      <c r="V125" s="21" t="n"/>
    </row>
    <row r="126">
      <c r="A126" s="21" t="n"/>
      <c r="B126" s="26" t="n"/>
      <c r="C126" s="21" t="n"/>
      <c r="D126" s="25">
        <f>IF(C126="","",IFERROR(VLOOKUP(C126,Revendeurs!$A:$B,2,FALSE),"Code inconnu"))</f>
        <v/>
      </c>
      <c r="E126" s="21" t="n"/>
      <c r="F126" s="21" t="n"/>
      <c r="G126" s="22" t="n"/>
      <c r="H126" s="23">
        <f>IF(OR(F126="",G126=""),"",F126*G126)</f>
        <v/>
      </c>
      <c r="I126" s="26" t="n"/>
      <c r="J126" s="26" t="n"/>
      <c r="K126" s="25">
        <f>IF(B126="","",IF(J126&lt;&gt;"","Livrée",IF(I126="","À planifier",IF(Paramètres!$B$4&gt;I126+Paramètres!$B$8,"En retard","En cours"))))</f>
        <v/>
      </c>
      <c r="L126" s="25">
        <f>IF(K126="En retard",Paramètres!$B$4-I126,"")</f>
        <v/>
      </c>
      <c r="M126" s="27">
        <f>IF(OR(B126="",J126=""),"",J126+IFERROR(IF(VLOOKUP(C126,Revendeurs!$A:$G,7,FALSE)="",Paramètres!$B$9,VLOOKUP(C126,Revendeurs!$A:$G,7,FALSE)),Paramètres!$B$9))</f>
        <v/>
      </c>
      <c r="N126" s="22" t="n"/>
      <c r="O126" s="23">
        <f>IF(H126="","",H126-N126)</f>
        <v/>
      </c>
      <c r="P126" s="25">
        <f>IF(OR(M126="",O126=""),"",IF(O126&lt;=0,0,MAX(0,Paramètres!$B$4-M126)))</f>
        <v/>
      </c>
      <c r="Q126" s="25">
        <f>IF(H126="","",IF(O126&lt;=0,"Payée",IF(M126="","Pas encore livrée",IF(P126=0,"Non échue",IF(P126&gt;=Paramètres!$B$7,"Relance 3 : appel direction",IF(P126&gt;=Paramètres!$B$6,"Relance 2",IF(P126&gt;=Paramètres!$B$5,"Relance 1","Échue, relance à venir")))))))</f>
        <v/>
      </c>
      <c r="R126" s="25">
        <f>IF(B126="","",IF(U126=Paramètres!$B$4,"Relancé aujourd'hui",TRIM(IF(LEFT(Q126,7)="Relance",Q126&amp;" ","")&amp;IF(K126="En retard","· Prévenir du retard de livraison",""))))</f>
        <v/>
      </c>
      <c r="S126" s="28">
        <f>IF(B126="","",IF(LEFT(Q126,9)="Relance 3","Bonjour "&amp;D126&amp;", nous revenons vers vous au sujet de la commande "&amp;A126&amp;" du "&amp;TEXT(B126,"dd/mm/yyyy")&amp;" : "&amp;SUBSTITUTE(TEXT(O126,"#,##0"),","," ")&amp;" FCFA restent à régler depuis le "&amp;TEXT(M126,"dd/mm/yyyy")&amp;". Notre responsable souhaite vous appeler pour convenir ensemble d'une solution. Quel moment vous arrange cette semaine ? "&amp;Paramètres!$B$11&amp;", "&amp;Paramètres!$B$12,IF(LEFT(Q126,7)="Relance","Bonjour "&amp;D126&amp;", sauf erreur de notre part, la commande "&amp;A126&amp;" du "&amp;TEXT(B126,"dd/mm/yyyy")&amp;" ("&amp;E126&amp;") présente un reste à payer de "&amp;SUBSTITUTE(TEXT(O126,"#,##0"),","," ")&amp;" FCFA, échu depuis le "&amp;TEXT(M126,"dd/mm/yyyy")&amp;". Pouvez-vous nous indiquer la date de règlement prévue ? Si le paiement est déjà parti, merci de nous envoyer la preuve et ne tenez pas compte de ce message. "&amp;Paramètres!$B$11&amp;", "&amp;Paramètres!$B$12,IF(K126="En retard","Bonjour "&amp;D126&amp;", votre commande "&amp;A126&amp;" ("&amp;E126&amp;", "&amp;F126&amp;" pièces) prévue le "&amp;TEXT(I126,"dd/mm/yyyy")&amp;" a pris du retard. Nous vous confirmons la nouvelle date de livraison dans la journée. Toutes nos excuses pour ce contretemps. "&amp;Paramètres!$B$11&amp;", "&amp;Paramètres!$B$12,""))))</f>
        <v/>
      </c>
      <c r="T126" s="21" t="n"/>
      <c r="U126" s="26" t="n"/>
      <c r="V126" s="21" t="n"/>
    </row>
    <row r="127">
      <c r="A127" s="21" t="n"/>
      <c r="B127" s="26" t="n"/>
      <c r="C127" s="21" t="n"/>
      <c r="D127" s="25">
        <f>IF(C127="","",IFERROR(VLOOKUP(C127,Revendeurs!$A:$B,2,FALSE),"Code inconnu"))</f>
        <v/>
      </c>
      <c r="E127" s="21" t="n"/>
      <c r="F127" s="21" t="n"/>
      <c r="G127" s="22" t="n"/>
      <c r="H127" s="23">
        <f>IF(OR(F127="",G127=""),"",F127*G127)</f>
        <v/>
      </c>
      <c r="I127" s="26" t="n"/>
      <c r="J127" s="26" t="n"/>
      <c r="K127" s="25">
        <f>IF(B127="","",IF(J127&lt;&gt;"","Livrée",IF(I127="","À planifier",IF(Paramètres!$B$4&gt;I127+Paramètres!$B$8,"En retard","En cours"))))</f>
        <v/>
      </c>
      <c r="L127" s="25">
        <f>IF(K127="En retard",Paramètres!$B$4-I127,"")</f>
        <v/>
      </c>
      <c r="M127" s="27">
        <f>IF(OR(B127="",J127=""),"",J127+IFERROR(IF(VLOOKUP(C127,Revendeurs!$A:$G,7,FALSE)="",Paramètres!$B$9,VLOOKUP(C127,Revendeurs!$A:$G,7,FALSE)),Paramètres!$B$9))</f>
        <v/>
      </c>
      <c r="N127" s="22" t="n"/>
      <c r="O127" s="23">
        <f>IF(H127="","",H127-N127)</f>
        <v/>
      </c>
      <c r="P127" s="25">
        <f>IF(OR(M127="",O127=""),"",IF(O127&lt;=0,0,MAX(0,Paramètres!$B$4-M127)))</f>
        <v/>
      </c>
      <c r="Q127" s="25">
        <f>IF(H127="","",IF(O127&lt;=0,"Payée",IF(M127="","Pas encore livrée",IF(P127=0,"Non échue",IF(P127&gt;=Paramètres!$B$7,"Relance 3 : appel direction",IF(P127&gt;=Paramètres!$B$6,"Relance 2",IF(P127&gt;=Paramètres!$B$5,"Relance 1","Échue, relance à venir")))))))</f>
        <v/>
      </c>
      <c r="R127" s="25">
        <f>IF(B127="","",IF(U127=Paramètres!$B$4,"Relancé aujourd'hui",TRIM(IF(LEFT(Q127,7)="Relance",Q127&amp;" ","")&amp;IF(K127="En retard","· Prévenir du retard de livraison",""))))</f>
        <v/>
      </c>
      <c r="S127" s="28">
        <f>IF(B127="","",IF(LEFT(Q127,9)="Relance 3","Bonjour "&amp;D127&amp;", nous revenons vers vous au sujet de la commande "&amp;A127&amp;" du "&amp;TEXT(B127,"dd/mm/yyyy")&amp;" : "&amp;SUBSTITUTE(TEXT(O127,"#,##0"),","," ")&amp;" FCFA restent à régler depuis le "&amp;TEXT(M127,"dd/mm/yyyy")&amp;". Notre responsable souhaite vous appeler pour convenir ensemble d'une solution. Quel moment vous arrange cette semaine ? "&amp;Paramètres!$B$11&amp;", "&amp;Paramètres!$B$12,IF(LEFT(Q127,7)="Relance","Bonjour "&amp;D127&amp;", sauf erreur de notre part, la commande "&amp;A127&amp;" du "&amp;TEXT(B127,"dd/mm/yyyy")&amp;" ("&amp;E127&amp;") présente un reste à payer de "&amp;SUBSTITUTE(TEXT(O127,"#,##0"),","," ")&amp;" FCFA, échu depuis le "&amp;TEXT(M127,"dd/mm/yyyy")&amp;". Pouvez-vous nous indiquer la date de règlement prévue ? Si le paiement est déjà parti, merci de nous envoyer la preuve et ne tenez pas compte de ce message. "&amp;Paramètres!$B$11&amp;", "&amp;Paramètres!$B$12,IF(K127="En retard","Bonjour "&amp;D127&amp;", votre commande "&amp;A127&amp;" ("&amp;E127&amp;", "&amp;F127&amp;" pièces) prévue le "&amp;TEXT(I127,"dd/mm/yyyy")&amp;" a pris du retard. Nous vous confirmons la nouvelle date de livraison dans la journée. Toutes nos excuses pour ce contretemps. "&amp;Paramètres!$B$11&amp;", "&amp;Paramètres!$B$12,""))))</f>
        <v/>
      </c>
      <c r="T127" s="21" t="n"/>
      <c r="U127" s="26" t="n"/>
      <c r="V127" s="21" t="n"/>
    </row>
    <row r="128">
      <c r="A128" s="21" t="n"/>
      <c r="B128" s="26" t="n"/>
      <c r="C128" s="21" t="n"/>
      <c r="D128" s="25">
        <f>IF(C128="","",IFERROR(VLOOKUP(C128,Revendeurs!$A:$B,2,FALSE),"Code inconnu"))</f>
        <v/>
      </c>
      <c r="E128" s="21" t="n"/>
      <c r="F128" s="21" t="n"/>
      <c r="G128" s="22" t="n"/>
      <c r="H128" s="23">
        <f>IF(OR(F128="",G128=""),"",F128*G128)</f>
        <v/>
      </c>
      <c r="I128" s="26" t="n"/>
      <c r="J128" s="26" t="n"/>
      <c r="K128" s="25">
        <f>IF(B128="","",IF(J128&lt;&gt;"","Livrée",IF(I128="","À planifier",IF(Paramètres!$B$4&gt;I128+Paramètres!$B$8,"En retard","En cours"))))</f>
        <v/>
      </c>
      <c r="L128" s="25">
        <f>IF(K128="En retard",Paramètres!$B$4-I128,"")</f>
        <v/>
      </c>
      <c r="M128" s="27">
        <f>IF(OR(B128="",J128=""),"",J128+IFERROR(IF(VLOOKUP(C128,Revendeurs!$A:$G,7,FALSE)="",Paramètres!$B$9,VLOOKUP(C128,Revendeurs!$A:$G,7,FALSE)),Paramètres!$B$9))</f>
        <v/>
      </c>
      <c r="N128" s="22" t="n"/>
      <c r="O128" s="23">
        <f>IF(H128="","",H128-N128)</f>
        <v/>
      </c>
      <c r="P128" s="25">
        <f>IF(OR(M128="",O128=""),"",IF(O128&lt;=0,0,MAX(0,Paramètres!$B$4-M128)))</f>
        <v/>
      </c>
      <c r="Q128" s="25">
        <f>IF(H128="","",IF(O128&lt;=0,"Payée",IF(M128="","Pas encore livrée",IF(P128=0,"Non échue",IF(P128&gt;=Paramètres!$B$7,"Relance 3 : appel direction",IF(P128&gt;=Paramètres!$B$6,"Relance 2",IF(P128&gt;=Paramètres!$B$5,"Relance 1","Échue, relance à venir")))))))</f>
        <v/>
      </c>
      <c r="R128" s="25">
        <f>IF(B128="","",IF(U128=Paramètres!$B$4,"Relancé aujourd'hui",TRIM(IF(LEFT(Q128,7)="Relance",Q128&amp;" ","")&amp;IF(K128="En retard","· Prévenir du retard de livraison",""))))</f>
        <v/>
      </c>
      <c r="S128" s="28">
        <f>IF(B128="","",IF(LEFT(Q128,9)="Relance 3","Bonjour "&amp;D128&amp;", nous revenons vers vous au sujet de la commande "&amp;A128&amp;" du "&amp;TEXT(B128,"dd/mm/yyyy")&amp;" : "&amp;SUBSTITUTE(TEXT(O128,"#,##0"),","," ")&amp;" FCFA restent à régler depuis le "&amp;TEXT(M128,"dd/mm/yyyy")&amp;". Notre responsable souhaite vous appeler pour convenir ensemble d'une solution. Quel moment vous arrange cette semaine ? "&amp;Paramètres!$B$11&amp;", "&amp;Paramètres!$B$12,IF(LEFT(Q128,7)="Relance","Bonjour "&amp;D128&amp;", sauf erreur de notre part, la commande "&amp;A128&amp;" du "&amp;TEXT(B128,"dd/mm/yyyy")&amp;" ("&amp;E128&amp;") présente un reste à payer de "&amp;SUBSTITUTE(TEXT(O128,"#,##0"),","," ")&amp;" FCFA, échu depuis le "&amp;TEXT(M128,"dd/mm/yyyy")&amp;". Pouvez-vous nous indiquer la date de règlement prévue ? Si le paiement est déjà parti, merci de nous envoyer la preuve et ne tenez pas compte de ce message. "&amp;Paramètres!$B$11&amp;", "&amp;Paramètres!$B$12,IF(K128="En retard","Bonjour "&amp;D128&amp;", votre commande "&amp;A128&amp;" ("&amp;E128&amp;", "&amp;F128&amp;" pièces) prévue le "&amp;TEXT(I128,"dd/mm/yyyy")&amp;" a pris du retard. Nous vous confirmons la nouvelle date de livraison dans la journée. Toutes nos excuses pour ce contretemps. "&amp;Paramètres!$B$11&amp;", "&amp;Paramètres!$B$12,""))))</f>
        <v/>
      </c>
      <c r="T128" s="21" t="n"/>
      <c r="U128" s="26" t="n"/>
      <c r="V128" s="21" t="n"/>
    </row>
    <row r="129">
      <c r="A129" s="21" t="n"/>
      <c r="B129" s="26" t="n"/>
      <c r="C129" s="21" t="n"/>
      <c r="D129" s="25">
        <f>IF(C129="","",IFERROR(VLOOKUP(C129,Revendeurs!$A:$B,2,FALSE),"Code inconnu"))</f>
        <v/>
      </c>
      <c r="E129" s="21" t="n"/>
      <c r="F129" s="21" t="n"/>
      <c r="G129" s="22" t="n"/>
      <c r="H129" s="23">
        <f>IF(OR(F129="",G129=""),"",F129*G129)</f>
        <v/>
      </c>
      <c r="I129" s="26" t="n"/>
      <c r="J129" s="26" t="n"/>
      <c r="K129" s="25">
        <f>IF(B129="","",IF(J129&lt;&gt;"","Livrée",IF(I129="","À planifier",IF(Paramètres!$B$4&gt;I129+Paramètres!$B$8,"En retard","En cours"))))</f>
        <v/>
      </c>
      <c r="L129" s="25">
        <f>IF(K129="En retard",Paramètres!$B$4-I129,"")</f>
        <v/>
      </c>
      <c r="M129" s="27">
        <f>IF(OR(B129="",J129=""),"",J129+IFERROR(IF(VLOOKUP(C129,Revendeurs!$A:$G,7,FALSE)="",Paramètres!$B$9,VLOOKUP(C129,Revendeurs!$A:$G,7,FALSE)),Paramètres!$B$9))</f>
        <v/>
      </c>
      <c r="N129" s="22" t="n"/>
      <c r="O129" s="23">
        <f>IF(H129="","",H129-N129)</f>
        <v/>
      </c>
      <c r="P129" s="25">
        <f>IF(OR(M129="",O129=""),"",IF(O129&lt;=0,0,MAX(0,Paramètres!$B$4-M129)))</f>
        <v/>
      </c>
      <c r="Q129" s="25">
        <f>IF(H129="","",IF(O129&lt;=0,"Payée",IF(M129="","Pas encore livrée",IF(P129=0,"Non échue",IF(P129&gt;=Paramètres!$B$7,"Relance 3 : appel direction",IF(P129&gt;=Paramètres!$B$6,"Relance 2",IF(P129&gt;=Paramètres!$B$5,"Relance 1","Échue, relance à venir")))))))</f>
        <v/>
      </c>
      <c r="R129" s="25">
        <f>IF(B129="","",IF(U129=Paramètres!$B$4,"Relancé aujourd'hui",TRIM(IF(LEFT(Q129,7)="Relance",Q129&amp;" ","")&amp;IF(K129="En retard","· Prévenir du retard de livraison",""))))</f>
        <v/>
      </c>
      <c r="S129" s="28">
        <f>IF(B129="","",IF(LEFT(Q129,9)="Relance 3","Bonjour "&amp;D129&amp;", nous revenons vers vous au sujet de la commande "&amp;A129&amp;" du "&amp;TEXT(B129,"dd/mm/yyyy")&amp;" : "&amp;SUBSTITUTE(TEXT(O129,"#,##0"),","," ")&amp;" FCFA restent à régler depuis le "&amp;TEXT(M129,"dd/mm/yyyy")&amp;". Notre responsable souhaite vous appeler pour convenir ensemble d'une solution. Quel moment vous arrange cette semaine ? "&amp;Paramètres!$B$11&amp;", "&amp;Paramètres!$B$12,IF(LEFT(Q129,7)="Relance","Bonjour "&amp;D129&amp;", sauf erreur de notre part, la commande "&amp;A129&amp;" du "&amp;TEXT(B129,"dd/mm/yyyy")&amp;" ("&amp;E129&amp;") présente un reste à payer de "&amp;SUBSTITUTE(TEXT(O129,"#,##0"),","," ")&amp;" FCFA, échu depuis le "&amp;TEXT(M129,"dd/mm/yyyy")&amp;". Pouvez-vous nous indiquer la date de règlement prévue ? Si le paiement est déjà parti, merci de nous envoyer la preuve et ne tenez pas compte de ce message. "&amp;Paramètres!$B$11&amp;", "&amp;Paramètres!$B$12,IF(K129="En retard","Bonjour "&amp;D129&amp;", votre commande "&amp;A129&amp;" ("&amp;E129&amp;", "&amp;F129&amp;" pièces) prévue le "&amp;TEXT(I129,"dd/mm/yyyy")&amp;" a pris du retard. Nous vous confirmons la nouvelle date de livraison dans la journée. Toutes nos excuses pour ce contretemps. "&amp;Paramètres!$B$11&amp;", "&amp;Paramètres!$B$12,""))))</f>
        <v/>
      </c>
      <c r="T129" s="21" t="n"/>
      <c r="U129" s="26" t="n"/>
      <c r="V129" s="21" t="n"/>
    </row>
    <row r="130">
      <c r="A130" s="21" t="n"/>
      <c r="B130" s="26" t="n"/>
      <c r="C130" s="21" t="n"/>
      <c r="D130" s="25">
        <f>IF(C130="","",IFERROR(VLOOKUP(C130,Revendeurs!$A:$B,2,FALSE),"Code inconnu"))</f>
        <v/>
      </c>
      <c r="E130" s="21" t="n"/>
      <c r="F130" s="21" t="n"/>
      <c r="G130" s="22" t="n"/>
      <c r="H130" s="23">
        <f>IF(OR(F130="",G130=""),"",F130*G130)</f>
        <v/>
      </c>
      <c r="I130" s="26" t="n"/>
      <c r="J130" s="26" t="n"/>
      <c r="K130" s="25">
        <f>IF(B130="","",IF(J130&lt;&gt;"","Livrée",IF(I130="","À planifier",IF(Paramètres!$B$4&gt;I130+Paramètres!$B$8,"En retard","En cours"))))</f>
        <v/>
      </c>
      <c r="L130" s="25">
        <f>IF(K130="En retard",Paramètres!$B$4-I130,"")</f>
        <v/>
      </c>
      <c r="M130" s="27">
        <f>IF(OR(B130="",J130=""),"",J130+IFERROR(IF(VLOOKUP(C130,Revendeurs!$A:$G,7,FALSE)="",Paramètres!$B$9,VLOOKUP(C130,Revendeurs!$A:$G,7,FALSE)),Paramètres!$B$9))</f>
        <v/>
      </c>
      <c r="N130" s="22" t="n"/>
      <c r="O130" s="23">
        <f>IF(H130="","",H130-N130)</f>
        <v/>
      </c>
      <c r="P130" s="25">
        <f>IF(OR(M130="",O130=""),"",IF(O130&lt;=0,0,MAX(0,Paramètres!$B$4-M130)))</f>
        <v/>
      </c>
      <c r="Q130" s="25">
        <f>IF(H130="","",IF(O130&lt;=0,"Payée",IF(M130="","Pas encore livrée",IF(P130=0,"Non échue",IF(P130&gt;=Paramètres!$B$7,"Relance 3 : appel direction",IF(P130&gt;=Paramètres!$B$6,"Relance 2",IF(P130&gt;=Paramètres!$B$5,"Relance 1","Échue, relance à venir")))))))</f>
        <v/>
      </c>
      <c r="R130" s="25">
        <f>IF(B130="","",IF(U130=Paramètres!$B$4,"Relancé aujourd'hui",TRIM(IF(LEFT(Q130,7)="Relance",Q130&amp;" ","")&amp;IF(K130="En retard","· Prévenir du retard de livraison",""))))</f>
        <v/>
      </c>
      <c r="S130" s="28">
        <f>IF(B130="","",IF(LEFT(Q130,9)="Relance 3","Bonjour "&amp;D130&amp;", nous revenons vers vous au sujet de la commande "&amp;A130&amp;" du "&amp;TEXT(B130,"dd/mm/yyyy")&amp;" : "&amp;SUBSTITUTE(TEXT(O130,"#,##0"),","," ")&amp;" FCFA restent à régler depuis le "&amp;TEXT(M130,"dd/mm/yyyy")&amp;". Notre responsable souhaite vous appeler pour convenir ensemble d'une solution. Quel moment vous arrange cette semaine ? "&amp;Paramètres!$B$11&amp;", "&amp;Paramètres!$B$12,IF(LEFT(Q130,7)="Relance","Bonjour "&amp;D130&amp;", sauf erreur de notre part, la commande "&amp;A130&amp;" du "&amp;TEXT(B130,"dd/mm/yyyy")&amp;" ("&amp;E130&amp;") présente un reste à payer de "&amp;SUBSTITUTE(TEXT(O130,"#,##0"),","," ")&amp;" FCFA, échu depuis le "&amp;TEXT(M130,"dd/mm/yyyy")&amp;". Pouvez-vous nous indiquer la date de règlement prévue ? Si le paiement est déjà parti, merci de nous envoyer la preuve et ne tenez pas compte de ce message. "&amp;Paramètres!$B$11&amp;", "&amp;Paramètres!$B$12,IF(K130="En retard","Bonjour "&amp;D130&amp;", votre commande "&amp;A130&amp;" ("&amp;E130&amp;", "&amp;F130&amp;" pièces) prévue le "&amp;TEXT(I130,"dd/mm/yyyy")&amp;" a pris du retard. Nous vous confirmons la nouvelle date de livraison dans la journée. Toutes nos excuses pour ce contretemps. "&amp;Paramètres!$B$11&amp;", "&amp;Paramètres!$B$12,""))))</f>
        <v/>
      </c>
      <c r="T130" s="21" t="n"/>
      <c r="U130" s="26" t="n"/>
      <c r="V130" s="21" t="n"/>
    </row>
    <row r="131">
      <c r="A131" s="21" t="n"/>
      <c r="B131" s="26" t="n"/>
      <c r="C131" s="21" t="n"/>
      <c r="D131" s="25">
        <f>IF(C131="","",IFERROR(VLOOKUP(C131,Revendeurs!$A:$B,2,FALSE),"Code inconnu"))</f>
        <v/>
      </c>
      <c r="E131" s="21" t="n"/>
      <c r="F131" s="21" t="n"/>
      <c r="G131" s="22" t="n"/>
      <c r="H131" s="23">
        <f>IF(OR(F131="",G131=""),"",F131*G131)</f>
        <v/>
      </c>
      <c r="I131" s="26" t="n"/>
      <c r="J131" s="26" t="n"/>
      <c r="K131" s="25">
        <f>IF(B131="","",IF(J131&lt;&gt;"","Livrée",IF(I131="","À planifier",IF(Paramètres!$B$4&gt;I131+Paramètres!$B$8,"En retard","En cours"))))</f>
        <v/>
      </c>
      <c r="L131" s="25">
        <f>IF(K131="En retard",Paramètres!$B$4-I131,"")</f>
        <v/>
      </c>
      <c r="M131" s="27">
        <f>IF(OR(B131="",J131=""),"",J131+IFERROR(IF(VLOOKUP(C131,Revendeurs!$A:$G,7,FALSE)="",Paramètres!$B$9,VLOOKUP(C131,Revendeurs!$A:$G,7,FALSE)),Paramètres!$B$9))</f>
        <v/>
      </c>
      <c r="N131" s="22" t="n"/>
      <c r="O131" s="23">
        <f>IF(H131="","",H131-N131)</f>
        <v/>
      </c>
      <c r="P131" s="25">
        <f>IF(OR(M131="",O131=""),"",IF(O131&lt;=0,0,MAX(0,Paramètres!$B$4-M131)))</f>
        <v/>
      </c>
      <c r="Q131" s="25">
        <f>IF(H131="","",IF(O131&lt;=0,"Payée",IF(M131="","Pas encore livrée",IF(P131=0,"Non échue",IF(P131&gt;=Paramètres!$B$7,"Relance 3 : appel direction",IF(P131&gt;=Paramètres!$B$6,"Relance 2",IF(P131&gt;=Paramètres!$B$5,"Relance 1","Échue, relance à venir")))))))</f>
        <v/>
      </c>
      <c r="R131" s="25">
        <f>IF(B131="","",IF(U131=Paramètres!$B$4,"Relancé aujourd'hui",TRIM(IF(LEFT(Q131,7)="Relance",Q131&amp;" ","")&amp;IF(K131="En retard","· Prévenir du retard de livraison",""))))</f>
        <v/>
      </c>
      <c r="S131" s="28">
        <f>IF(B131="","",IF(LEFT(Q131,9)="Relance 3","Bonjour "&amp;D131&amp;", nous revenons vers vous au sujet de la commande "&amp;A131&amp;" du "&amp;TEXT(B131,"dd/mm/yyyy")&amp;" : "&amp;SUBSTITUTE(TEXT(O131,"#,##0"),","," ")&amp;" FCFA restent à régler depuis le "&amp;TEXT(M131,"dd/mm/yyyy")&amp;". Notre responsable souhaite vous appeler pour convenir ensemble d'une solution. Quel moment vous arrange cette semaine ? "&amp;Paramètres!$B$11&amp;", "&amp;Paramètres!$B$12,IF(LEFT(Q131,7)="Relance","Bonjour "&amp;D131&amp;", sauf erreur de notre part, la commande "&amp;A131&amp;" du "&amp;TEXT(B131,"dd/mm/yyyy")&amp;" ("&amp;E131&amp;") présente un reste à payer de "&amp;SUBSTITUTE(TEXT(O131,"#,##0"),","," ")&amp;" FCFA, échu depuis le "&amp;TEXT(M131,"dd/mm/yyyy")&amp;". Pouvez-vous nous indiquer la date de règlement prévue ? Si le paiement est déjà parti, merci de nous envoyer la preuve et ne tenez pas compte de ce message. "&amp;Paramètres!$B$11&amp;", "&amp;Paramètres!$B$12,IF(K131="En retard","Bonjour "&amp;D131&amp;", votre commande "&amp;A131&amp;" ("&amp;E131&amp;", "&amp;F131&amp;" pièces) prévue le "&amp;TEXT(I131,"dd/mm/yyyy")&amp;" a pris du retard. Nous vous confirmons la nouvelle date de livraison dans la journée. Toutes nos excuses pour ce contretemps. "&amp;Paramètres!$B$11&amp;", "&amp;Paramètres!$B$12,""))))</f>
        <v/>
      </c>
      <c r="T131" s="21" t="n"/>
      <c r="U131" s="26" t="n"/>
      <c r="V131" s="21" t="n"/>
    </row>
    <row r="132">
      <c r="A132" s="21" t="n"/>
      <c r="B132" s="26" t="n"/>
      <c r="C132" s="21" t="n"/>
      <c r="D132" s="25">
        <f>IF(C132="","",IFERROR(VLOOKUP(C132,Revendeurs!$A:$B,2,FALSE),"Code inconnu"))</f>
        <v/>
      </c>
      <c r="E132" s="21" t="n"/>
      <c r="F132" s="21" t="n"/>
      <c r="G132" s="22" t="n"/>
      <c r="H132" s="23">
        <f>IF(OR(F132="",G132=""),"",F132*G132)</f>
        <v/>
      </c>
      <c r="I132" s="26" t="n"/>
      <c r="J132" s="26" t="n"/>
      <c r="K132" s="25">
        <f>IF(B132="","",IF(J132&lt;&gt;"","Livrée",IF(I132="","À planifier",IF(Paramètres!$B$4&gt;I132+Paramètres!$B$8,"En retard","En cours"))))</f>
        <v/>
      </c>
      <c r="L132" s="25">
        <f>IF(K132="En retard",Paramètres!$B$4-I132,"")</f>
        <v/>
      </c>
      <c r="M132" s="27">
        <f>IF(OR(B132="",J132=""),"",J132+IFERROR(IF(VLOOKUP(C132,Revendeurs!$A:$G,7,FALSE)="",Paramètres!$B$9,VLOOKUP(C132,Revendeurs!$A:$G,7,FALSE)),Paramètres!$B$9))</f>
        <v/>
      </c>
      <c r="N132" s="22" t="n"/>
      <c r="O132" s="23">
        <f>IF(H132="","",H132-N132)</f>
        <v/>
      </c>
      <c r="P132" s="25">
        <f>IF(OR(M132="",O132=""),"",IF(O132&lt;=0,0,MAX(0,Paramètres!$B$4-M132)))</f>
        <v/>
      </c>
      <c r="Q132" s="25">
        <f>IF(H132="","",IF(O132&lt;=0,"Payée",IF(M132="","Pas encore livrée",IF(P132=0,"Non échue",IF(P132&gt;=Paramètres!$B$7,"Relance 3 : appel direction",IF(P132&gt;=Paramètres!$B$6,"Relance 2",IF(P132&gt;=Paramètres!$B$5,"Relance 1","Échue, relance à venir")))))))</f>
        <v/>
      </c>
      <c r="R132" s="25">
        <f>IF(B132="","",IF(U132=Paramètres!$B$4,"Relancé aujourd'hui",TRIM(IF(LEFT(Q132,7)="Relance",Q132&amp;" ","")&amp;IF(K132="En retard","· Prévenir du retard de livraison",""))))</f>
        <v/>
      </c>
      <c r="S132" s="28">
        <f>IF(B132="","",IF(LEFT(Q132,9)="Relance 3","Bonjour "&amp;D132&amp;", nous revenons vers vous au sujet de la commande "&amp;A132&amp;" du "&amp;TEXT(B132,"dd/mm/yyyy")&amp;" : "&amp;SUBSTITUTE(TEXT(O132,"#,##0"),","," ")&amp;" FCFA restent à régler depuis le "&amp;TEXT(M132,"dd/mm/yyyy")&amp;". Notre responsable souhaite vous appeler pour convenir ensemble d'une solution. Quel moment vous arrange cette semaine ? "&amp;Paramètres!$B$11&amp;", "&amp;Paramètres!$B$12,IF(LEFT(Q132,7)="Relance","Bonjour "&amp;D132&amp;", sauf erreur de notre part, la commande "&amp;A132&amp;" du "&amp;TEXT(B132,"dd/mm/yyyy")&amp;" ("&amp;E132&amp;") présente un reste à payer de "&amp;SUBSTITUTE(TEXT(O132,"#,##0"),","," ")&amp;" FCFA, échu depuis le "&amp;TEXT(M132,"dd/mm/yyyy")&amp;". Pouvez-vous nous indiquer la date de règlement prévue ? Si le paiement est déjà parti, merci de nous envoyer la preuve et ne tenez pas compte de ce message. "&amp;Paramètres!$B$11&amp;", "&amp;Paramètres!$B$12,IF(K132="En retard","Bonjour "&amp;D132&amp;", votre commande "&amp;A132&amp;" ("&amp;E132&amp;", "&amp;F132&amp;" pièces) prévue le "&amp;TEXT(I132,"dd/mm/yyyy")&amp;" a pris du retard. Nous vous confirmons la nouvelle date de livraison dans la journée. Toutes nos excuses pour ce contretemps. "&amp;Paramètres!$B$11&amp;", "&amp;Paramètres!$B$12,""))))</f>
        <v/>
      </c>
      <c r="T132" s="21" t="n"/>
      <c r="U132" s="26" t="n"/>
      <c r="V132" s="21" t="n"/>
    </row>
    <row r="133">
      <c r="A133" s="21" t="n"/>
      <c r="B133" s="26" t="n"/>
      <c r="C133" s="21" t="n"/>
      <c r="D133" s="25">
        <f>IF(C133="","",IFERROR(VLOOKUP(C133,Revendeurs!$A:$B,2,FALSE),"Code inconnu"))</f>
        <v/>
      </c>
      <c r="E133" s="21" t="n"/>
      <c r="F133" s="21" t="n"/>
      <c r="G133" s="22" t="n"/>
      <c r="H133" s="23">
        <f>IF(OR(F133="",G133=""),"",F133*G133)</f>
        <v/>
      </c>
      <c r="I133" s="26" t="n"/>
      <c r="J133" s="26" t="n"/>
      <c r="K133" s="25">
        <f>IF(B133="","",IF(J133&lt;&gt;"","Livrée",IF(I133="","À planifier",IF(Paramètres!$B$4&gt;I133+Paramètres!$B$8,"En retard","En cours"))))</f>
        <v/>
      </c>
      <c r="L133" s="25">
        <f>IF(K133="En retard",Paramètres!$B$4-I133,"")</f>
        <v/>
      </c>
      <c r="M133" s="27">
        <f>IF(OR(B133="",J133=""),"",J133+IFERROR(IF(VLOOKUP(C133,Revendeurs!$A:$G,7,FALSE)="",Paramètres!$B$9,VLOOKUP(C133,Revendeurs!$A:$G,7,FALSE)),Paramètres!$B$9))</f>
        <v/>
      </c>
      <c r="N133" s="22" t="n"/>
      <c r="O133" s="23">
        <f>IF(H133="","",H133-N133)</f>
        <v/>
      </c>
      <c r="P133" s="25">
        <f>IF(OR(M133="",O133=""),"",IF(O133&lt;=0,0,MAX(0,Paramètres!$B$4-M133)))</f>
        <v/>
      </c>
      <c r="Q133" s="25">
        <f>IF(H133="","",IF(O133&lt;=0,"Payée",IF(M133="","Pas encore livrée",IF(P133=0,"Non échue",IF(P133&gt;=Paramètres!$B$7,"Relance 3 : appel direction",IF(P133&gt;=Paramètres!$B$6,"Relance 2",IF(P133&gt;=Paramètres!$B$5,"Relance 1","Échue, relance à venir")))))))</f>
        <v/>
      </c>
      <c r="R133" s="25">
        <f>IF(B133="","",IF(U133=Paramètres!$B$4,"Relancé aujourd'hui",TRIM(IF(LEFT(Q133,7)="Relance",Q133&amp;" ","")&amp;IF(K133="En retard","· Prévenir du retard de livraison",""))))</f>
        <v/>
      </c>
      <c r="S133" s="28">
        <f>IF(B133="","",IF(LEFT(Q133,9)="Relance 3","Bonjour "&amp;D133&amp;", nous revenons vers vous au sujet de la commande "&amp;A133&amp;" du "&amp;TEXT(B133,"dd/mm/yyyy")&amp;" : "&amp;SUBSTITUTE(TEXT(O133,"#,##0"),","," ")&amp;" FCFA restent à régler depuis le "&amp;TEXT(M133,"dd/mm/yyyy")&amp;". Notre responsable souhaite vous appeler pour convenir ensemble d'une solution. Quel moment vous arrange cette semaine ? "&amp;Paramètres!$B$11&amp;", "&amp;Paramètres!$B$12,IF(LEFT(Q133,7)="Relance","Bonjour "&amp;D133&amp;", sauf erreur de notre part, la commande "&amp;A133&amp;" du "&amp;TEXT(B133,"dd/mm/yyyy")&amp;" ("&amp;E133&amp;") présente un reste à payer de "&amp;SUBSTITUTE(TEXT(O133,"#,##0"),","," ")&amp;" FCFA, échu depuis le "&amp;TEXT(M133,"dd/mm/yyyy")&amp;". Pouvez-vous nous indiquer la date de règlement prévue ? Si le paiement est déjà parti, merci de nous envoyer la preuve et ne tenez pas compte de ce message. "&amp;Paramètres!$B$11&amp;", "&amp;Paramètres!$B$12,IF(K133="En retard","Bonjour "&amp;D133&amp;", votre commande "&amp;A133&amp;" ("&amp;E133&amp;", "&amp;F133&amp;" pièces) prévue le "&amp;TEXT(I133,"dd/mm/yyyy")&amp;" a pris du retard. Nous vous confirmons la nouvelle date de livraison dans la journée. Toutes nos excuses pour ce contretemps. "&amp;Paramètres!$B$11&amp;", "&amp;Paramètres!$B$12,""))))</f>
        <v/>
      </c>
      <c r="T133" s="21" t="n"/>
      <c r="U133" s="26" t="n"/>
      <c r="V133" s="21" t="n"/>
    </row>
    <row r="134">
      <c r="A134" s="21" t="n"/>
      <c r="B134" s="26" t="n"/>
      <c r="C134" s="21" t="n"/>
      <c r="D134" s="25">
        <f>IF(C134="","",IFERROR(VLOOKUP(C134,Revendeurs!$A:$B,2,FALSE),"Code inconnu"))</f>
        <v/>
      </c>
      <c r="E134" s="21" t="n"/>
      <c r="F134" s="21" t="n"/>
      <c r="G134" s="22" t="n"/>
      <c r="H134" s="23">
        <f>IF(OR(F134="",G134=""),"",F134*G134)</f>
        <v/>
      </c>
      <c r="I134" s="26" t="n"/>
      <c r="J134" s="26" t="n"/>
      <c r="K134" s="25">
        <f>IF(B134="","",IF(J134&lt;&gt;"","Livrée",IF(I134="","À planifier",IF(Paramètres!$B$4&gt;I134+Paramètres!$B$8,"En retard","En cours"))))</f>
        <v/>
      </c>
      <c r="L134" s="25">
        <f>IF(K134="En retard",Paramètres!$B$4-I134,"")</f>
        <v/>
      </c>
      <c r="M134" s="27">
        <f>IF(OR(B134="",J134=""),"",J134+IFERROR(IF(VLOOKUP(C134,Revendeurs!$A:$G,7,FALSE)="",Paramètres!$B$9,VLOOKUP(C134,Revendeurs!$A:$G,7,FALSE)),Paramètres!$B$9))</f>
        <v/>
      </c>
      <c r="N134" s="22" t="n"/>
      <c r="O134" s="23">
        <f>IF(H134="","",H134-N134)</f>
        <v/>
      </c>
      <c r="P134" s="25">
        <f>IF(OR(M134="",O134=""),"",IF(O134&lt;=0,0,MAX(0,Paramètres!$B$4-M134)))</f>
        <v/>
      </c>
      <c r="Q134" s="25">
        <f>IF(H134="","",IF(O134&lt;=0,"Payée",IF(M134="","Pas encore livrée",IF(P134=0,"Non échue",IF(P134&gt;=Paramètres!$B$7,"Relance 3 : appel direction",IF(P134&gt;=Paramètres!$B$6,"Relance 2",IF(P134&gt;=Paramètres!$B$5,"Relance 1","Échue, relance à venir")))))))</f>
        <v/>
      </c>
      <c r="R134" s="25">
        <f>IF(B134="","",IF(U134=Paramètres!$B$4,"Relancé aujourd'hui",TRIM(IF(LEFT(Q134,7)="Relance",Q134&amp;" ","")&amp;IF(K134="En retard","· Prévenir du retard de livraison",""))))</f>
        <v/>
      </c>
      <c r="S134" s="28">
        <f>IF(B134="","",IF(LEFT(Q134,9)="Relance 3","Bonjour "&amp;D134&amp;", nous revenons vers vous au sujet de la commande "&amp;A134&amp;" du "&amp;TEXT(B134,"dd/mm/yyyy")&amp;" : "&amp;SUBSTITUTE(TEXT(O134,"#,##0"),","," ")&amp;" FCFA restent à régler depuis le "&amp;TEXT(M134,"dd/mm/yyyy")&amp;". Notre responsable souhaite vous appeler pour convenir ensemble d'une solution. Quel moment vous arrange cette semaine ? "&amp;Paramètres!$B$11&amp;", "&amp;Paramètres!$B$12,IF(LEFT(Q134,7)="Relance","Bonjour "&amp;D134&amp;", sauf erreur de notre part, la commande "&amp;A134&amp;" du "&amp;TEXT(B134,"dd/mm/yyyy")&amp;" ("&amp;E134&amp;") présente un reste à payer de "&amp;SUBSTITUTE(TEXT(O134,"#,##0"),","," ")&amp;" FCFA, échu depuis le "&amp;TEXT(M134,"dd/mm/yyyy")&amp;". Pouvez-vous nous indiquer la date de règlement prévue ? Si le paiement est déjà parti, merci de nous envoyer la preuve et ne tenez pas compte de ce message. "&amp;Paramètres!$B$11&amp;", "&amp;Paramètres!$B$12,IF(K134="En retard","Bonjour "&amp;D134&amp;", votre commande "&amp;A134&amp;" ("&amp;E134&amp;", "&amp;F134&amp;" pièces) prévue le "&amp;TEXT(I134,"dd/mm/yyyy")&amp;" a pris du retard. Nous vous confirmons la nouvelle date de livraison dans la journée. Toutes nos excuses pour ce contretemps. "&amp;Paramètres!$B$11&amp;", "&amp;Paramètres!$B$12,""))))</f>
        <v/>
      </c>
      <c r="T134" s="21" t="n"/>
      <c r="U134" s="26" t="n"/>
      <c r="V134" s="21" t="n"/>
    </row>
    <row r="135">
      <c r="A135" s="21" t="n"/>
      <c r="B135" s="26" t="n"/>
      <c r="C135" s="21" t="n"/>
      <c r="D135" s="25">
        <f>IF(C135="","",IFERROR(VLOOKUP(C135,Revendeurs!$A:$B,2,FALSE),"Code inconnu"))</f>
        <v/>
      </c>
      <c r="E135" s="21" t="n"/>
      <c r="F135" s="21" t="n"/>
      <c r="G135" s="22" t="n"/>
      <c r="H135" s="23">
        <f>IF(OR(F135="",G135=""),"",F135*G135)</f>
        <v/>
      </c>
      <c r="I135" s="26" t="n"/>
      <c r="J135" s="26" t="n"/>
      <c r="K135" s="25">
        <f>IF(B135="","",IF(J135&lt;&gt;"","Livrée",IF(I135="","À planifier",IF(Paramètres!$B$4&gt;I135+Paramètres!$B$8,"En retard","En cours"))))</f>
        <v/>
      </c>
      <c r="L135" s="25">
        <f>IF(K135="En retard",Paramètres!$B$4-I135,"")</f>
        <v/>
      </c>
      <c r="M135" s="27">
        <f>IF(OR(B135="",J135=""),"",J135+IFERROR(IF(VLOOKUP(C135,Revendeurs!$A:$G,7,FALSE)="",Paramètres!$B$9,VLOOKUP(C135,Revendeurs!$A:$G,7,FALSE)),Paramètres!$B$9))</f>
        <v/>
      </c>
      <c r="N135" s="22" t="n"/>
      <c r="O135" s="23">
        <f>IF(H135="","",H135-N135)</f>
        <v/>
      </c>
      <c r="P135" s="25">
        <f>IF(OR(M135="",O135=""),"",IF(O135&lt;=0,0,MAX(0,Paramètres!$B$4-M135)))</f>
        <v/>
      </c>
      <c r="Q135" s="25">
        <f>IF(H135="","",IF(O135&lt;=0,"Payée",IF(M135="","Pas encore livrée",IF(P135=0,"Non échue",IF(P135&gt;=Paramètres!$B$7,"Relance 3 : appel direction",IF(P135&gt;=Paramètres!$B$6,"Relance 2",IF(P135&gt;=Paramètres!$B$5,"Relance 1","Échue, relance à venir")))))))</f>
        <v/>
      </c>
      <c r="R135" s="25">
        <f>IF(B135="","",IF(U135=Paramètres!$B$4,"Relancé aujourd'hui",TRIM(IF(LEFT(Q135,7)="Relance",Q135&amp;" ","")&amp;IF(K135="En retard","· Prévenir du retard de livraison",""))))</f>
        <v/>
      </c>
      <c r="S135" s="28">
        <f>IF(B135="","",IF(LEFT(Q135,9)="Relance 3","Bonjour "&amp;D135&amp;", nous revenons vers vous au sujet de la commande "&amp;A135&amp;" du "&amp;TEXT(B135,"dd/mm/yyyy")&amp;" : "&amp;SUBSTITUTE(TEXT(O135,"#,##0"),","," ")&amp;" FCFA restent à régler depuis le "&amp;TEXT(M135,"dd/mm/yyyy")&amp;". Notre responsable souhaite vous appeler pour convenir ensemble d'une solution. Quel moment vous arrange cette semaine ? "&amp;Paramètres!$B$11&amp;", "&amp;Paramètres!$B$12,IF(LEFT(Q135,7)="Relance","Bonjour "&amp;D135&amp;", sauf erreur de notre part, la commande "&amp;A135&amp;" du "&amp;TEXT(B135,"dd/mm/yyyy")&amp;" ("&amp;E135&amp;") présente un reste à payer de "&amp;SUBSTITUTE(TEXT(O135,"#,##0"),","," ")&amp;" FCFA, échu depuis le "&amp;TEXT(M135,"dd/mm/yyyy")&amp;". Pouvez-vous nous indiquer la date de règlement prévue ? Si le paiement est déjà parti, merci de nous envoyer la preuve et ne tenez pas compte de ce message. "&amp;Paramètres!$B$11&amp;", "&amp;Paramètres!$B$12,IF(K135="En retard","Bonjour "&amp;D135&amp;", votre commande "&amp;A135&amp;" ("&amp;E135&amp;", "&amp;F135&amp;" pièces) prévue le "&amp;TEXT(I135,"dd/mm/yyyy")&amp;" a pris du retard. Nous vous confirmons la nouvelle date de livraison dans la journée. Toutes nos excuses pour ce contretemps. "&amp;Paramètres!$B$11&amp;", "&amp;Paramètres!$B$12,""))))</f>
        <v/>
      </c>
      <c r="T135" s="21" t="n"/>
      <c r="U135" s="26" t="n"/>
      <c r="V135" s="21" t="n"/>
    </row>
    <row r="136">
      <c r="A136" s="21" t="n"/>
      <c r="B136" s="26" t="n"/>
      <c r="C136" s="21" t="n"/>
      <c r="D136" s="25">
        <f>IF(C136="","",IFERROR(VLOOKUP(C136,Revendeurs!$A:$B,2,FALSE),"Code inconnu"))</f>
        <v/>
      </c>
      <c r="E136" s="21" t="n"/>
      <c r="F136" s="21" t="n"/>
      <c r="G136" s="22" t="n"/>
      <c r="H136" s="23">
        <f>IF(OR(F136="",G136=""),"",F136*G136)</f>
        <v/>
      </c>
      <c r="I136" s="26" t="n"/>
      <c r="J136" s="26" t="n"/>
      <c r="K136" s="25">
        <f>IF(B136="","",IF(J136&lt;&gt;"","Livrée",IF(I136="","À planifier",IF(Paramètres!$B$4&gt;I136+Paramètres!$B$8,"En retard","En cours"))))</f>
        <v/>
      </c>
      <c r="L136" s="25">
        <f>IF(K136="En retard",Paramètres!$B$4-I136,"")</f>
        <v/>
      </c>
      <c r="M136" s="27">
        <f>IF(OR(B136="",J136=""),"",J136+IFERROR(IF(VLOOKUP(C136,Revendeurs!$A:$G,7,FALSE)="",Paramètres!$B$9,VLOOKUP(C136,Revendeurs!$A:$G,7,FALSE)),Paramètres!$B$9))</f>
        <v/>
      </c>
      <c r="N136" s="22" t="n"/>
      <c r="O136" s="23">
        <f>IF(H136="","",H136-N136)</f>
        <v/>
      </c>
      <c r="P136" s="25">
        <f>IF(OR(M136="",O136=""),"",IF(O136&lt;=0,0,MAX(0,Paramètres!$B$4-M136)))</f>
        <v/>
      </c>
      <c r="Q136" s="25">
        <f>IF(H136="","",IF(O136&lt;=0,"Payée",IF(M136="","Pas encore livrée",IF(P136=0,"Non échue",IF(P136&gt;=Paramètres!$B$7,"Relance 3 : appel direction",IF(P136&gt;=Paramètres!$B$6,"Relance 2",IF(P136&gt;=Paramètres!$B$5,"Relance 1","Échue, relance à venir")))))))</f>
        <v/>
      </c>
      <c r="R136" s="25">
        <f>IF(B136="","",IF(U136=Paramètres!$B$4,"Relancé aujourd'hui",TRIM(IF(LEFT(Q136,7)="Relance",Q136&amp;" ","")&amp;IF(K136="En retard","· Prévenir du retard de livraison",""))))</f>
        <v/>
      </c>
      <c r="S136" s="28">
        <f>IF(B136="","",IF(LEFT(Q136,9)="Relance 3","Bonjour "&amp;D136&amp;", nous revenons vers vous au sujet de la commande "&amp;A136&amp;" du "&amp;TEXT(B136,"dd/mm/yyyy")&amp;" : "&amp;SUBSTITUTE(TEXT(O136,"#,##0"),","," ")&amp;" FCFA restent à régler depuis le "&amp;TEXT(M136,"dd/mm/yyyy")&amp;". Notre responsable souhaite vous appeler pour convenir ensemble d'une solution. Quel moment vous arrange cette semaine ? "&amp;Paramètres!$B$11&amp;", "&amp;Paramètres!$B$12,IF(LEFT(Q136,7)="Relance","Bonjour "&amp;D136&amp;", sauf erreur de notre part, la commande "&amp;A136&amp;" du "&amp;TEXT(B136,"dd/mm/yyyy")&amp;" ("&amp;E136&amp;") présente un reste à payer de "&amp;SUBSTITUTE(TEXT(O136,"#,##0"),","," ")&amp;" FCFA, échu depuis le "&amp;TEXT(M136,"dd/mm/yyyy")&amp;". Pouvez-vous nous indiquer la date de règlement prévue ? Si le paiement est déjà parti, merci de nous envoyer la preuve et ne tenez pas compte de ce message. "&amp;Paramètres!$B$11&amp;", "&amp;Paramètres!$B$12,IF(K136="En retard","Bonjour "&amp;D136&amp;", votre commande "&amp;A136&amp;" ("&amp;E136&amp;", "&amp;F136&amp;" pièces) prévue le "&amp;TEXT(I136,"dd/mm/yyyy")&amp;" a pris du retard. Nous vous confirmons la nouvelle date de livraison dans la journée. Toutes nos excuses pour ce contretemps. "&amp;Paramètres!$B$11&amp;", "&amp;Paramètres!$B$12,""))))</f>
        <v/>
      </c>
      <c r="T136" s="21" t="n"/>
      <c r="U136" s="26" t="n"/>
      <c r="V136" s="21" t="n"/>
    </row>
    <row r="137">
      <c r="A137" s="21" t="n"/>
      <c r="B137" s="26" t="n"/>
      <c r="C137" s="21" t="n"/>
      <c r="D137" s="25">
        <f>IF(C137="","",IFERROR(VLOOKUP(C137,Revendeurs!$A:$B,2,FALSE),"Code inconnu"))</f>
        <v/>
      </c>
      <c r="E137" s="21" t="n"/>
      <c r="F137" s="21" t="n"/>
      <c r="G137" s="22" t="n"/>
      <c r="H137" s="23">
        <f>IF(OR(F137="",G137=""),"",F137*G137)</f>
        <v/>
      </c>
      <c r="I137" s="26" t="n"/>
      <c r="J137" s="26" t="n"/>
      <c r="K137" s="25">
        <f>IF(B137="","",IF(J137&lt;&gt;"","Livrée",IF(I137="","À planifier",IF(Paramètres!$B$4&gt;I137+Paramètres!$B$8,"En retard","En cours"))))</f>
        <v/>
      </c>
      <c r="L137" s="25">
        <f>IF(K137="En retard",Paramètres!$B$4-I137,"")</f>
        <v/>
      </c>
      <c r="M137" s="27">
        <f>IF(OR(B137="",J137=""),"",J137+IFERROR(IF(VLOOKUP(C137,Revendeurs!$A:$G,7,FALSE)="",Paramètres!$B$9,VLOOKUP(C137,Revendeurs!$A:$G,7,FALSE)),Paramètres!$B$9))</f>
        <v/>
      </c>
      <c r="N137" s="22" t="n"/>
      <c r="O137" s="23">
        <f>IF(H137="","",H137-N137)</f>
        <v/>
      </c>
      <c r="P137" s="25">
        <f>IF(OR(M137="",O137=""),"",IF(O137&lt;=0,0,MAX(0,Paramètres!$B$4-M137)))</f>
        <v/>
      </c>
      <c r="Q137" s="25">
        <f>IF(H137="","",IF(O137&lt;=0,"Payée",IF(M137="","Pas encore livrée",IF(P137=0,"Non échue",IF(P137&gt;=Paramètres!$B$7,"Relance 3 : appel direction",IF(P137&gt;=Paramètres!$B$6,"Relance 2",IF(P137&gt;=Paramètres!$B$5,"Relance 1","Échue, relance à venir")))))))</f>
        <v/>
      </c>
      <c r="R137" s="25">
        <f>IF(B137="","",IF(U137=Paramètres!$B$4,"Relancé aujourd'hui",TRIM(IF(LEFT(Q137,7)="Relance",Q137&amp;" ","")&amp;IF(K137="En retard","· Prévenir du retard de livraison",""))))</f>
        <v/>
      </c>
      <c r="S137" s="28">
        <f>IF(B137="","",IF(LEFT(Q137,9)="Relance 3","Bonjour "&amp;D137&amp;", nous revenons vers vous au sujet de la commande "&amp;A137&amp;" du "&amp;TEXT(B137,"dd/mm/yyyy")&amp;" : "&amp;SUBSTITUTE(TEXT(O137,"#,##0"),","," ")&amp;" FCFA restent à régler depuis le "&amp;TEXT(M137,"dd/mm/yyyy")&amp;". Notre responsable souhaite vous appeler pour convenir ensemble d'une solution. Quel moment vous arrange cette semaine ? "&amp;Paramètres!$B$11&amp;", "&amp;Paramètres!$B$12,IF(LEFT(Q137,7)="Relance","Bonjour "&amp;D137&amp;", sauf erreur de notre part, la commande "&amp;A137&amp;" du "&amp;TEXT(B137,"dd/mm/yyyy")&amp;" ("&amp;E137&amp;") présente un reste à payer de "&amp;SUBSTITUTE(TEXT(O137,"#,##0"),","," ")&amp;" FCFA, échu depuis le "&amp;TEXT(M137,"dd/mm/yyyy")&amp;". Pouvez-vous nous indiquer la date de règlement prévue ? Si le paiement est déjà parti, merci de nous envoyer la preuve et ne tenez pas compte de ce message. "&amp;Paramètres!$B$11&amp;", "&amp;Paramètres!$B$12,IF(K137="En retard","Bonjour "&amp;D137&amp;", votre commande "&amp;A137&amp;" ("&amp;E137&amp;", "&amp;F137&amp;" pièces) prévue le "&amp;TEXT(I137,"dd/mm/yyyy")&amp;" a pris du retard. Nous vous confirmons la nouvelle date de livraison dans la journée. Toutes nos excuses pour ce contretemps. "&amp;Paramètres!$B$11&amp;", "&amp;Paramètres!$B$12,""))))</f>
        <v/>
      </c>
      <c r="T137" s="21" t="n"/>
      <c r="U137" s="26" t="n"/>
      <c r="V137" s="21" t="n"/>
    </row>
    <row r="138">
      <c r="A138" s="21" t="n"/>
      <c r="B138" s="26" t="n"/>
      <c r="C138" s="21" t="n"/>
      <c r="D138" s="25">
        <f>IF(C138="","",IFERROR(VLOOKUP(C138,Revendeurs!$A:$B,2,FALSE),"Code inconnu"))</f>
        <v/>
      </c>
      <c r="E138" s="21" t="n"/>
      <c r="F138" s="21" t="n"/>
      <c r="G138" s="22" t="n"/>
      <c r="H138" s="23">
        <f>IF(OR(F138="",G138=""),"",F138*G138)</f>
        <v/>
      </c>
      <c r="I138" s="26" t="n"/>
      <c r="J138" s="26" t="n"/>
      <c r="K138" s="25">
        <f>IF(B138="","",IF(J138&lt;&gt;"","Livrée",IF(I138="","À planifier",IF(Paramètres!$B$4&gt;I138+Paramètres!$B$8,"En retard","En cours"))))</f>
        <v/>
      </c>
      <c r="L138" s="25">
        <f>IF(K138="En retard",Paramètres!$B$4-I138,"")</f>
        <v/>
      </c>
      <c r="M138" s="27">
        <f>IF(OR(B138="",J138=""),"",J138+IFERROR(IF(VLOOKUP(C138,Revendeurs!$A:$G,7,FALSE)="",Paramètres!$B$9,VLOOKUP(C138,Revendeurs!$A:$G,7,FALSE)),Paramètres!$B$9))</f>
        <v/>
      </c>
      <c r="N138" s="22" t="n"/>
      <c r="O138" s="23">
        <f>IF(H138="","",H138-N138)</f>
        <v/>
      </c>
      <c r="P138" s="25">
        <f>IF(OR(M138="",O138=""),"",IF(O138&lt;=0,0,MAX(0,Paramètres!$B$4-M138)))</f>
        <v/>
      </c>
      <c r="Q138" s="25">
        <f>IF(H138="","",IF(O138&lt;=0,"Payée",IF(M138="","Pas encore livrée",IF(P138=0,"Non échue",IF(P138&gt;=Paramètres!$B$7,"Relance 3 : appel direction",IF(P138&gt;=Paramètres!$B$6,"Relance 2",IF(P138&gt;=Paramètres!$B$5,"Relance 1","Échue, relance à venir")))))))</f>
        <v/>
      </c>
      <c r="R138" s="25">
        <f>IF(B138="","",IF(U138=Paramètres!$B$4,"Relancé aujourd'hui",TRIM(IF(LEFT(Q138,7)="Relance",Q138&amp;" ","")&amp;IF(K138="En retard","· Prévenir du retard de livraison",""))))</f>
        <v/>
      </c>
      <c r="S138" s="28">
        <f>IF(B138="","",IF(LEFT(Q138,9)="Relance 3","Bonjour "&amp;D138&amp;", nous revenons vers vous au sujet de la commande "&amp;A138&amp;" du "&amp;TEXT(B138,"dd/mm/yyyy")&amp;" : "&amp;SUBSTITUTE(TEXT(O138,"#,##0"),","," ")&amp;" FCFA restent à régler depuis le "&amp;TEXT(M138,"dd/mm/yyyy")&amp;". Notre responsable souhaite vous appeler pour convenir ensemble d'une solution. Quel moment vous arrange cette semaine ? "&amp;Paramètres!$B$11&amp;", "&amp;Paramètres!$B$12,IF(LEFT(Q138,7)="Relance","Bonjour "&amp;D138&amp;", sauf erreur de notre part, la commande "&amp;A138&amp;" du "&amp;TEXT(B138,"dd/mm/yyyy")&amp;" ("&amp;E138&amp;") présente un reste à payer de "&amp;SUBSTITUTE(TEXT(O138,"#,##0"),","," ")&amp;" FCFA, échu depuis le "&amp;TEXT(M138,"dd/mm/yyyy")&amp;". Pouvez-vous nous indiquer la date de règlement prévue ? Si le paiement est déjà parti, merci de nous envoyer la preuve et ne tenez pas compte de ce message. "&amp;Paramètres!$B$11&amp;", "&amp;Paramètres!$B$12,IF(K138="En retard","Bonjour "&amp;D138&amp;", votre commande "&amp;A138&amp;" ("&amp;E138&amp;", "&amp;F138&amp;" pièces) prévue le "&amp;TEXT(I138,"dd/mm/yyyy")&amp;" a pris du retard. Nous vous confirmons la nouvelle date de livraison dans la journée. Toutes nos excuses pour ce contretemps. "&amp;Paramètres!$B$11&amp;", "&amp;Paramètres!$B$12,""))))</f>
        <v/>
      </c>
      <c r="T138" s="21" t="n"/>
      <c r="U138" s="26" t="n"/>
      <c r="V138" s="21" t="n"/>
    </row>
    <row r="139">
      <c r="A139" s="21" t="n"/>
      <c r="B139" s="26" t="n"/>
      <c r="C139" s="21" t="n"/>
      <c r="D139" s="25">
        <f>IF(C139="","",IFERROR(VLOOKUP(C139,Revendeurs!$A:$B,2,FALSE),"Code inconnu"))</f>
        <v/>
      </c>
      <c r="E139" s="21" t="n"/>
      <c r="F139" s="21" t="n"/>
      <c r="G139" s="22" t="n"/>
      <c r="H139" s="23">
        <f>IF(OR(F139="",G139=""),"",F139*G139)</f>
        <v/>
      </c>
      <c r="I139" s="26" t="n"/>
      <c r="J139" s="26" t="n"/>
      <c r="K139" s="25">
        <f>IF(B139="","",IF(J139&lt;&gt;"","Livrée",IF(I139="","À planifier",IF(Paramètres!$B$4&gt;I139+Paramètres!$B$8,"En retard","En cours"))))</f>
        <v/>
      </c>
      <c r="L139" s="25">
        <f>IF(K139="En retard",Paramètres!$B$4-I139,"")</f>
        <v/>
      </c>
      <c r="M139" s="27">
        <f>IF(OR(B139="",J139=""),"",J139+IFERROR(IF(VLOOKUP(C139,Revendeurs!$A:$G,7,FALSE)="",Paramètres!$B$9,VLOOKUP(C139,Revendeurs!$A:$G,7,FALSE)),Paramètres!$B$9))</f>
        <v/>
      </c>
      <c r="N139" s="22" t="n"/>
      <c r="O139" s="23">
        <f>IF(H139="","",H139-N139)</f>
        <v/>
      </c>
      <c r="P139" s="25">
        <f>IF(OR(M139="",O139=""),"",IF(O139&lt;=0,0,MAX(0,Paramètres!$B$4-M139)))</f>
        <v/>
      </c>
      <c r="Q139" s="25">
        <f>IF(H139="","",IF(O139&lt;=0,"Payée",IF(M139="","Pas encore livrée",IF(P139=0,"Non échue",IF(P139&gt;=Paramètres!$B$7,"Relance 3 : appel direction",IF(P139&gt;=Paramètres!$B$6,"Relance 2",IF(P139&gt;=Paramètres!$B$5,"Relance 1","Échue, relance à venir")))))))</f>
        <v/>
      </c>
      <c r="R139" s="25">
        <f>IF(B139="","",IF(U139=Paramètres!$B$4,"Relancé aujourd'hui",TRIM(IF(LEFT(Q139,7)="Relance",Q139&amp;" ","")&amp;IF(K139="En retard","· Prévenir du retard de livraison",""))))</f>
        <v/>
      </c>
      <c r="S139" s="28">
        <f>IF(B139="","",IF(LEFT(Q139,9)="Relance 3","Bonjour "&amp;D139&amp;", nous revenons vers vous au sujet de la commande "&amp;A139&amp;" du "&amp;TEXT(B139,"dd/mm/yyyy")&amp;" : "&amp;SUBSTITUTE(TEXT(O139,"#,##0"),","," ")&amp;" FCFA restent à régler depuis le "&amp;TEXT(M139,"dd/mm/yyyy")&amp;". Notre responsable souhaite vous appeler pour convenir ensemble d'une solution. Quel moment vous arrange cette semaine ? "&amp;Paramètres!$B$11&amp;", "&amp;Paramètres!$B$12,IF(LEFT(Q139,7)="Relance","Bonjour "&amp;D139&amp;", sauf erreur de notre part, la commande "&amp;A139&amp;" du "&amp;TEXT(B139,"dd/mm/yyyy")&amp;" ("&amp;E139&amp;") présente un reste à payer de "&amp;SUBSTITUTE(TEXT(O139,"#,##0"),","," ")&amp;" FCFA, échu depuis le "&amp;TEXT(M139,"dd/mm/yyyy")&amp;". Pouvez-vous nous indiquer la date de règlement prévue ? Si le paiement est déjà parti, merci de nous envoyer la preuve et ne tenez pas compte de ce message. "&amp;Paramètres!$B$11&amp;", "&amp;Paramètres!$B$12,IF(K139="En retard","Bonjour "&amp;D139&amp;", votre commande "&amp;A139&amp;" ("&amp;E139&amp;", "&amp;F139&amp;" pièces) prévue le "&amp;TEXT(I139,"dd/mm/yyyy")&amp;" a pris du retard. Nous vous confirmons la nouvelle date de livraison dans la journée. Toutes nos excuses pour ce contretemps. "&amp;Paramètres!$B$11&amp;", "&amp;Paramètres!$B$12,""))))</f>
        <v/>
      </c>
      <c r="T139" s="21" t="n"/>
      <c r="U139" s="26" t="n"/>
      <c r="V139" s="21" t="n"/>
    </row>
    <row r="140">
      <c r="A140" s="21" t="n"/>
      <c r="B140" s="26" t="n"/>
      <c r="C140" s="21" t="n"/>
      <c r="D140" s="25">
        <f>IF(C140="","",IFERROR(VLOOKUP(C140,Revendeurs!$A:$B,2,FALSE),"Code inconnu"))</f>
        <v/>
      </c>
      <c r="E140" s="21" t="n"/>
      <c r="F140" s="21" t="n"/>
      <c r="G140" s="22" t="n"/>
      <c r="H140" s="23">
        <f>IF(OR(F140="",G140=""),"",F140*G140)</f>
        <v/>
      </c>
      <c r="I140" s="26" t="n"/>
      <c r="J140" s="26" t="n"/>
      <c r="K140" s="25">
        <f>IF(B140="","",IF(J140&lt;&gt;"","Livrée",IF(I140="","À planifier",IF(Paramètres!$B$4&gt;I140+Paramètres!$B$8,"En retard","En cours"))))</f>
        <v/>
      </c>
      <c r="L140" s="25">
        <f>IF(K140="En retard",Paramètres!$B$4-I140,"")</f>
        <v/>
      </c>
      <c r="M140" s="27">
        <f>IF(OR(B140="",J140=""),"",J140+IFERROR(IF(VLOOKUP(C140,Revendeurs!$A:$G,7,FALSE)="",Paramètres!$B$9,VLOOKUP(C140,Revendeurs!$A:$G,7,FALSE)),Paramètres!$B$9))</f>
        <v/>
      </c>
      <c r="N140" s="22" t="n"/>
      <c r="O140" s="23">
        <f>IF(H140="","",H140-N140)</f>
        <v/>
      </c>
      <c r="P140" s="25">
        <f>IF(OR(M140="",O140=""),"",IF(O140&lt;=0,0,MAX(0,Paramètres!$B$4-M140)))</f>
        <v/>
      </c>
      <c r="Q140" s="25">
        <f>IF(H140="","",IF(O140&lt;=0,"Payée",IF(M140="","Pas encore livrée",IF(P140=0,"Non échue",IF(P140&gt;=Paramètres!$B$7,"Relance 3 : appel direction",IF(P140&gt;=Paramètres!$B$6,"Relance 2",IF(P140&gt;=Paramètres!$B$5,"Relance 1","Échue, relance à venir")))))))</f>
        <v/>
      </c>
      <c r="R140" s="25">
        <f>IF(B140="","",IF(U140=Paramètres!$B$4,"Relancé aujourd'hui",TRIM(IF(LEFT(Q140,7)="Relance",Q140&amp;" ","")&amp;IF(K140="En retard","· Prévenir du retard de livraison",""))))</f>
        <v/>
      </c>
      <c r="S140" s="28">
        <f>IF(B140="","",IF(LEFT(Q140,9)="Relance 3","Bonjour "&amp;D140&amp;", nous revenons vers vous au sujet de la commande "&amp;A140&amp;" du "&amp;TEXT(B140,"dd/mm/yyyy")&amp;" : "&amp;SUBSTITUTE(TEXT(O140,"#,##0"),","," ")&amp;" FCFA restent à régler depuis le "&amp;TEXT(M140,"dd/mm/yyyy")&amp;". Notre responsable souhaite vous appeler pour convenir ensemble d'une solution. Quel moment vous arrange cette semaine ? "&amp;Paramètres!$B$11&amp;", "&amp;Paramètres!$B$12,IF(LEFT(Q140,7)="Relance","Bonjour "&amp;D140&amp;", sauf erreur de notre part, la commande "&amp;A140&amp;" du "&amp;TEXT(B140,"dd/mm/yyyy")&amp;" ("&amp;E140&amp;") présente un reste à payer de "&amp;SUBSTITUTE(TEXT(O140,"#,##0"),","," ")&amp;" FCFA, échu depuis le "&amp;TEXT(M140,"dd/mm/yyyy")&amp;". Pouvez-vous nous indiquer la date de règlement prévue ? Si le paiement est déjà parti, merci de nous envoyer la preuve et ne tenez pas compte de ce message. "&amp;Paramètres!$B$11&amp;", "&amp;Paramètres!$B$12,IF(K140="En retard","Bonjour "&amp;D140&amp;", votre commande "&amp;A140&amp;" ("&amp;E140&amp;", "&amp;F140&amp;" pièces) prévue le "&amp;TEXT(I140,"dd/mm/yyyy")&amp;" a pris du retard. Nous vous confirmons la nouvelle date de livraison dans la journée. Toutes nos excuses pour ce contretemps. "&amp;Paramètres!$B$11&amp;", "&amp;Paramètres!$B$12,""))))</f>
        <v/>
      </c>
      <c r="T140" s="21" t="n"/>
      <c r="U140" s="26" t="n"/>
      <c r="V140" s="21" t="n"/>
    </row>
    <row r="141">
      <c r="A141" s="21" t="n"/>
      <c r="B141" s="26" t="n"/>
      <c r="C141" s="21" t="n"/>
      <c r="D141" s="25">
        <f>IF(C141="","",IFERROR(VLOOKUP(C141,Revendeurs!$A:$B,2,FALSE),"Code inconnu"))</f>
        <v/>
      </c>
      <c r="E141" s="21" t="n"/>
      <c r="F141" s="21" t="n"/>
      <c r="G141" s="22" t="n"/>
      <c r="H141" s="23">
        <f>IF(OR(F141="",G141=""),"",F141*G141)</f>
        <v/>
      </c>
      <c r="I141" s="26" t="n"/>
      <c r="J141" s="26" t="n"/>
      <c r="K141" s="25">
        <f>IF(B141="","",IF(J141&lt;&gt;"","Livrée",IF(I141="","À planifier",IF(Paramètres!$B$4&gt;I141+Paramètres!$B$8,"En retard","En cours"))))</f>
        <v/>
      </c>
      <c r="L141" s="25">
        <f>IF(K141="En retard",Paramètres!$B$4-I141,"")</f>
        <v/>
      </c>
      <c r="M141" s="27">
        <f>IF(OR(B141="",J141=""),"",J141+IFERROR(IF(VLOOKUP(C141,Revendeurs!$A:$G,7,FALSE)="",Paramètres!$B$9,VLOOKUP(C141,Revendeurs!$A:$G,7,FALSE)),Paramètres!$B$9))</f>
        <v/>
      </c>
      <c r="N141" s="22" t="n"/>
      <c r="O141" s="23">
        <f>IF(H141="","",H141-N141)</f>
        <v/>
      </c>
      <c r="P141" s="25">
        <f>IF(OR(M141="",O141=""),"",IF(O141&lt;=0,0,MAX(0,Paramètres!$B$4-M141)))</f>
        <v/>
      </c>
      <c r="Q141" s="25">
        <f>IF(H141="","",IF(O141&lt;=0,"Payée",IF(M141="","Pas encore livrée",IF(P141=0,"Non échue",IF(P141&gt;=Paramètres!$B$7,"Relance 3 : appel direction",IF(P141&gt;=Paramètres!$B$6,"Relance 2",IF(P141&gt;=Paramètres!$B$5,"Relance 1","Échue, relance à venir")))))))</f>
        <v/>
      </c>
      <c r="R141" s="25">
        <f>IF(B141="","",IF(U141=Paramètres!$B$4,"Relancé aujourd'hui",TRIM(IF(LEFT(Q141,7)="Relance",Q141&amp;" ","")&amp;IF(K141="En retard","· Prévenir du retard de livraison",""))))</f>
        <v/>
      </c>
      <c r="S141" s="28">
        <f>IF(B141="","",IF(LEFT(Q141,9)="Relance 3","Bonjour "&amp;D141&amp;", nous revenons vers vous au sujet de la commande "&amp;A141&amp;" du "&amp;TEXT(B141,"dd/mm/yyyy")&amp;" : "&amp;SUBSTITUTE(TEXT(O141,"#,##0"),","," ")&amp;" FCFA restent à régler depuis le "&amp;TEXT(M141,"dd/mm/yyyy")&amp;". Notre responsable souhaite vous appeler pour convenir ensemble d'une solution. Quel moment vous arrange cette semaine ? "&amp;Paramètres!$B$11&amp;", "&amp;Paramètres!$B$12,IF(LEFT(Q141,7)="Relance","Bonjour "&amp;D141&amp;", sauf erreur de notre part, la commande "&amp;A141&amp;" du "&amp;TEXT(B141,"dd/mm/yyyy")&amp;" ("&amp;E141&amp;") présente un reste à payer de "&amp;SUBSTITUTE(TEXT(O141,"#,##0"),","," ")&amp;" FCFA, échu depuis le "&amp;TEXT(M141,"dd/mm/yyyy")&amp;". Pouvez-vous nous indiquer la date de règlement prévue ? Si le paiement est déjà parti, merci de nous envoyer la preuve et ne tenez pas compte de ce message. "&amp;Paramètres!$B$11&amp;", "&amp;Paramètres!$B$12,IF(K141="En retard","Bonjour "&amp;D141&amp;", votre commande "&amp;A141&amp;" ("&amp;E141&amp;", "&amp;F141&amp;" pièces) prévue le "&amp;TEXT(I141,"dd/mm/yyyy")&amp;" a pris du retard. Nous vous confirmons la nouvelle date de livraison dans la journée. Toutes nos excuses pour ce contretemps. "&amp;Paramètres!$B$11&amp;", "&amp;Paramètres!$B$12,""))))</f>
        <v/>
      </c>
      <c r="T141" s="21" t="n"/>
      <c r="U141" s="26" t="n"/>
      <c r="V141" s="21" t="n"/>
    </row>
    <row r="142">
      <c r="A142" s="21" t="n"/>
      <c r="B142" s="26" t="n"/>
      <c r="C142" s="21" t="n"/>
      <c r="D142" s="25">
        <f>IF(C142="","",IFERROR(VLOOKUP(C142,Revendeurs!$A:$B,2,FALSE),"Code inconnu"))</f>
        <v/>
      </c>
      <c r="E142" s="21" t="n"/>
      <c r="F142" s="21" t="n"/>
      <c r="G142" s="22" t="n"/>
      <c r="H142" s="23">
        <f>IF(OR(F142="",G142=""),"",F142*G142)</f>
        <v/>
      </c>
      <c r="I142" s="26" t="n"/>
      <c r="J142" s="26" t="n"/>
      <c r="K142" s="25">
        <f>IF(B142="","",IF(J142&lt;&gt;"","Livrée",IF(I142="","À planifier",IF(Paramètres!$B$4&gt;I142+Paramètres!$B$8,"En retard","En cours"))))</f>
        <v/>
      </c>
      <c r="L142" s="25">
        <f>IF(K142="En retard",Paramètres!$B$4-I142,"")</f>
        <v/>
      </c>
      <c r="M142" s="27">
        <f>IF(OR(B142="",J142=""),"",J142+IFERROR(IF(VLOOKUP(C142,Revendeurs!$A:$G,7,FALSE)="",Paramètres!$B$9,VLOOKUP(C142,Revendeurs!$A:$G,7,FALSE)),Paramètres!$B$9))</f>
        <v/>
      </c>
      <c r="N142" s="22" t="n"/>
      <c r="O142" s="23">
        <f>IF(H142="","",H142-N142)</f>
        <v/>
      </c>
      <c r="P142" s="25">
        <f>IF(OR(M142="",O142=""),"",IF(O142&lt;=0,0,MAX(0,Paramètres!$B$4-M142)))</f>
        <v/>
      </c>
      <c r="Q142" s="25">
        <f>IF(H142="","",IF(O142&lt;=0,"Payée",IF(M142="","Pas encore livrée",IF(P142=0,"Non échue",IF(P142&gt;=Paramètres!$B$7,"Relance 3 : appel direction",IF(P142&gt;=Paramètres!$B$6,"Relance 2",IF(P142&gt;=Paramètres!$B$5,"Relance 1","Échue, relance à venir")))))))</f>
        <v/>
      </c>
      <c r="R142" s="25">
        <f>IF(B142="","",IF(U142=Paramètres!$B$4,"Relancé aujourd'hui",TRIM(IF(LEFT(Q142,7)="Relance",Q142&amp;" ","")&amp;IF(K142="En retard","· Prévenir du retard de livraison",""))))</f>
        <v/>
      </c>
      <c r="S142" s="28">
        <f>IF(B142="","",IF(LEFT(Q142,9)="Relance 3","Bonjour "&amp;D142&amp;", nous revenons vers vous au sujet de la commande "&amp;A142&amp;" du "&amp;TEXT(B142,"dd/mm/yyyy")&amp;" : "&amp;SUBSTITUTE(TEXT(O142,"#,##0"),","," ")&amp;" FCFA restent à régler depuis le "&amp;TEXT(M142,"dd/mm/yyyy")&amp;". Notre responsable souhaite vous appeler pour convenir ensemble d'une solution. Quel moment vous arrange cette semaine ? "&amp;Paramètres!$B$11&amp;", "&amp;Paramètres!$B$12,IF(LEFT(Q142,7)="Relance","Bonjour "&amp;D142&amp;", sauf erreur de notre part, la commande "&amp;A142&amp;" du "&amp;TEXT(B142,"dd/mm/yyyy")&amp;" ("&amp;E142&amp;") présente un reste à payer de "&amp;SUBSTITUTE(TEXT(O142,"#,##0"),","," ")&amp;" FCFA, échu depuis le "&amp;TEXT(M142,"dd/mm/yyyy")&amp;". Pouvez-vous nous indiquer la date de règlement prévue ? Si le paiement est déjà parti, merci de nous envoyer la preuve et ne tenez pas compte de ce message. "&amp;Paramètres!$B$11&amp;", "&amp;Paramètres!$B$12,IF(K142="En retard","Bonjour "&amp;D142&amp;", votre commande "&amp;A142&amp;" ("&amp;E142&amp;", "&amp;F142&amp;" pièces) prévue le "&amp;TEXT(I142,"dd/mm/yyyy")&amp;" a pris du retard. Nous vous confirmons la nouvelle date de livraison dans la journée. Toutes nos excuses pour ce contretemps. "&amp;Paramètres!$B$11&amp;", "&amp;Paramètres!$B$12,""))))</f>
        <v/>
      </c>
      <c r="T142" s="21" t="n"/>
      <c r="U142" s="26" t="n"/>
      <c r="V142" s="21" t="n"/>
    </row>
    <row r="143">
      <c r="A143" s="21" t="n"/>
      <c r="B143" s="26" t="n"/>
      <c r="C143" s="21" t="n"/>
      <c r="D143" s="25">
        <f>IF(C143="","",IFERROR(VLOOKUP(C143,Revendeurs!$A:$B,2,FALSE),"Code inconnu"))</f>
        <v/>
      </c>
      <c r="E143" s="21" t="n"/>
      <c r="F143" s="21" t="n"/>
      <c r="G143" s="22" t="n"/>
      <c r="H143" s="23">
        <f>IF(OR(F143="",G143=""),"",F143*G143)</f>
        <v/>
      </c>
      <c r="I143" s="26" t="n"/>
      <c r="J143" s="26" t="n"/>
      <c r="K143" s="25">
        <f>IF(B143="","",IF(J143&lt;&gt;"","Livrée",IF(I143="","À planifier",IF(Paramètres!$B$4&gt;I143+Paramètres!$B$8,"En retard","En cours"))))</f>
        <v/>
      </c>
      <c r="L143" s="25">
        <f>IF(K143="En retard",Paramètres!$B$4-I143,"")</f>
        <v/>
      </c>
      <c r="M143" s="27">
        <f>IF(OR(B143="",J143=""),"",J143+IFERROR(IF(VLOOKUP(C143,Revendeurs!$A:$G,7,FALSE)="",Paramètres!$B$9,VLOOKUP(C143,Revendeurs!$A:$G,7,FALSE)),Paramètres!$B$9))</f>
        <v/>
      </c>
      <c r="N143" s="22" t="n"/>
      <c r="O143" s="23">
        <f>IF(H143="","",H143-N143)</f>
        <v/>
      </c>
      <c r="P143" s="25">
        <f>IF(OR(M143="",O143=""),"",IF(O143&lt;=0,0,MAX(0,Paramètres!$B$4-M143)))</f>
        <v/>
      </c>
      <c r="Q143" s="25">
        <f>IF(H143="","",IF(O143&lt;=0,"Payée",IF(M143="","Pas encore livrée",IF(P143=0,"Non échue",IF(P143&gt;=Paramètres!$B$7,"Relance 3 : appel direction",IF(P143&gt;=Paramètres!$B$6,"Relance 2",IF(P143&gt;=Paramètres!$B$5,"Relance 1","Échue, relance à venir")))))))</f>
        <v/>
      </c>
      <c r="R143" s="25">
        <f>IF(B143="","",IF(U143=Paramètres!$B$4,"Relancé aujourd'hui",TRIM(IF(LEFT(Q143,7)="Relance",Q143&amp;" ","")&amp;IF(K143="En retard","· Prévenir du retard de livraison",""))))</f>
        <v/>
      </c>
      <c r="S143" s="28">
        <f>IF(B143="","",IF(LEFT(Q143,9)="Relance 3","Bonjour "&amp;D143&amp;", nous revenons vers vous au sujet de la commande "&amp;A143&amp;" du "&amp;TEXT(B143,"dd/mm/yyyy")&amp;" : "&amp;SUBSTITUTE(TEXT(O143,"#,##0"),","," ")&amp;" FCFA restent à régler depuis le "&amp;TEXT(M143,"dd/mm/yyyy")&amp;". Notre responsable souhaite vous appeler pour convenir ensemble d'une solution. Quel moment vous arrange cette semaine ? "&amp;Paramètres!$B$11&amp;", "&amp;Paramètres!$B$12,IF(LEFT(Q143,7)="Relance","Bonjour "&amp;D143&amp;", sauf erreur de notre part, la commande "&amp;A143&amp;" du "&amp;TEXT(B143,"dd/mm/yyyy")&amp;" ("&amp;E143&amp;") présente un reste à payer de "&amp;SUBSTITUTE(TEXT(O143,"#,##0"),","," ")&amp;" FCFA, échu depuis le "&amp;TEXT(M143,"dd/mm/yyyy")&amp;". Pouvez-vous nous indiquer la date de règlement prévue ? Si le paiement est déjà parti, merci de nous envoyer la preuve et ne tenez pas compte de ce message. "&amp;Paramètres!$B$11&amp;", "&amp;Paramètres!$B$12,IF(K143="En retard","Bonjour "&amp;D143&amp;", votre commande "&amp;A143&amp;" ("&amp;E143&amp;", "&amp;F143&amp;" pièces) prévue le "&amp;TEXT(I143,"dd/mm/yyyy")&amp;" a pris du retard. Nous vous confirmons la nouvelle date de livraison dans la journée. Toutes nos excuses pour ce contretemps. "&amp;Paramètres!$B$11&amp;", "&amp;Paramètres!$B$12,""))))</f>
        <v/>
      </c>
      <c r="T143" s="21" t="n"/>
      <c r="U143" s="26" t="n"/>
      <c r="V143" s="21" t="n"/>
    </row>
    <row r="144">
      <c r="A144" s="21" t="n"/>
      <c r="B144" s="26" t="n"/>
      <c r="C144" s="21" t="n"/>
      <c r="D144" s="25">
        <f>IF(C144="","",IFERROR(VLOOKUP(C144,Revendeurs!$A:$B,2,FALSE),"Code inconnu"))</f>
        <v/>
      </c>
      <c r="E144" s="21" t="n"/>
      <c r="F144" s="21" t="n"/>
      <c r="G144" s="22" t="n"/>
      <c r="H144" s="23">
        <f>IF(OR(F144="",G144=""),"",F144*G144)</f>
        <v/>
      </c>
      <c r="I144" s="26" t="n"/>
      <c r="J144" s="26" t="n"/>
      <c r="K144" s="25">
        <f>IF(B144="","",IF(J144&lt;&gt;"","Livrée",IF(I144="","À planifier",IF(Paramètres!$B$4&gt;I144+Paramètres!$B$8,"En retard","En cours"))))</f>
        <v/>
      </c>
      <c r="L144" s="25">
        <f>IF(K144="En retard",Paramètres!$B$4-I144,"")</f>
        <v/>
      </c>
      <c r="M144" s="27">
        <f>IF(OR(B144="",J144=""),"",J144+IFERROR(IF(VLOOKUP(C144,Revendeurs!$A:$G,7,FALSE)="",Paramètres!$B$9,VLOOKUP(C144,Revendeurs!$A:$G,7,FALSE)),Paramètres!$B$9))</f>
        <v/>
      </c>
      <c r="N144" s="22" t="n"/>
      <c r="O144" s="23">
        <f>IF(H144="","",H144-N144)</f>
        <v/>
      </c>
      <c r="P144" s="25">
        <f>IF(OR(M144="",O144=""),"",IF(O144&lt;=0,0,MAX(0,Paramètres!$B$4-M144)))</f>
        <v/>
      </c>
      <c r="Q144" s="25">
        <f>IF(H144="","",IF(O144&lt;=0,"Payée",IF(M144="","Pas encore livrée",IF(P144=0,"Non échue",IF(P144&gt;=Paramètres!$B$7,"Relance 3 : appel direction",IF(P144&gt;=Paramètres!$B$6,"Relance 2",IF(P144&gt;=Paramètres!$B$5,"Relance 1","Échue, relance à venir")))))))</f>
        <v/>
      </c>
      <c r="R144" s="25">
        <f>IF(B144="","",IF(U144=Paramètres!$B$4,"Relancé aujourd'hui",TRIM(IF(LEFT(Q144,7)="Relance",Q144&amp;" ","")&amp;IF(K144="En retard","· Prévenir du retard de livraison",""))))</f>
        <v/>
      </c>
      <c r="S144" s="28">
        <f>IF(B144="","",IF(LEFT(Q144,9)="Relance 3","Bonjour "&amp;D144&amp;", nous revenons vers vous au sujet de la commande "&amp;A144&amp;" du "&amp;TEXT(B144,"dd/mm/yyyy")&amp;" : "&amp;SUBSTITUTE(TEXT(O144,"#,##0"),","," ")&amp;" FCFA restent à régler depuis le "&amp;TEXT(M144,"dd/mm/yyyy")&amp;". Notre responsable souhaite vous appeler pour convenir ensemble d'une solution. Quel moment vous arrange cette semaine ? "&amp;Paramètres!$B$11&amp;", "&amp;Paramètres!$B$12,IF(LEFT(Q144,7)="Relance","Bonjour "&amp;D144&amp;", sauf erreur de notre part, la commande "&amp;A144&amp;" du "&amp;TEXT(B144,"dd/mm/yyyy")&amp;" ("&amp;E144&amp;") présente un reste à payer de "&amp;SUBSTITUTE(TEXT(O144,"#,##0"),","," ")&amp;" FCFA, échu depuis le "&amp;TEXT(M144,"dd/mm/yyyy")&amp;". Pouvez-vous nous indiquer la date de règlement prévue ? Si le paiement est déjà parti, merci de nous envoyer la preuve et ne tenez pas compte de ce message. "&amp;Paramètres!$B$11&amp;", "&amp;Paramètres!$B$12,IF(K144="En retard","Bonjour "&amp;D144&amp;", votre commande "&amp;A144&amp;" ("&amp;E144&amp;", "&amp;F144&amp;" pièces) prévue le "&amp;TEXT(I144,"dd/mm/yyyy")&amp;" a pris du retard. Nous vous confirmons la nouvelle date de livraison dans la journée. Toutes nos excuses pour ce contretemps. "&amp;Paramètres!$B$11&amp;", "&amp;Paramètres!$B$12,""))))</f>
        <v/>
      </c>
      <c r="T144" s="21" t="n"/>
      <c r="U144" s="26" t="n"/>
      <c r="V144" s="21" t="n"/>
    </row>
    <row r="145">
      <c r="A145" s="21" t="n"/>
      <c r="B145" s="26" t="n"/>
      <c r="C145" s="21" t="n"/>
      <c r="D145" s="25">
        <f>IF(C145="","",IFERROR(VLOOKUP(C145,Revendeurs!$A:$B,2,FALSE),"Code inconnu"))</f>
        <v/>
      </c>
      <c r="E145" s="21" t="n"/>
      <c r="F145" s="21" t="n"/>
      <c r="G145" s="22" t="n"/>
      <c r="H145" s="23">
        <f>IF(OR(F145="",G145=""),"",F145*G145)</f>
        <v/>
      </c>
      <c r="I145" s="26" t="n"/>
      <c r="J145" s="26" t="n"/>
      <c r="K145" s="25">
        <f>IF(B145="","",IF(J145&lt;&gt;"","Livrée",IF(I145="","À planifier",IF(Paramètres!$B$4&gt;I145+Paramètres!$B$8,"En retard","En cours"))))</f>
        <v/>
      </c>
      <c r="L145" s="25">
        <f>IF(K145="En retard",Paramètres!$B$4-I145,"")</f>
        <v/>
      </c>
      <c r="M145" s="27">
        <f>IF(OR(B145="",J145=""),"",J145+IFERROR(IF(VLOOKUP(C145,Revendeurs!$A:$G,7,FALSE)="",Paramètres!$B$9,VLOOKUP(C145,Revendeurs!$A:$G,7,FALSE)),Paramètres!$B$9))</f>
        <v/>
      </c>
      <c r="N145" s="22" t="n"/>
      <c r="O145" s="23">
        <f>IF(H145="","",H145-N145)</f>
        <v/>
      </c>
      <c r="P145" s="25">
        <f>IF(OR(M145="",O145=""),"",IF(O145&lt;=0,0,MAX(0,Paramètres!$B$4-M145)))</f>
        <v/>
      </c>
      <c r="Q145" s="25">
        <f>IF(H145="","",IF(O145&lt;=0,"Payée",IF(M145="","Pas encore livrée",IF(P145=0,"Non échue",IF(P145&gt;=Paramètres!$B$7,"Relance 3 : appel direction",IF(P145&gt;=Paramètres!$B$6,"Relance 2",IF(P145&gt;=Paramètres!$B$5,"Relance 1","Échue, relance à venir")))))))</f>
        <v/>
      </c>
      <c r="R145" s="25">
        <f>IF(B145="","",IF(U145=Paramètres!$B$4,"Relancé aujourd'hui",TRIM(IF(LEFT(Q145,7)="Relance",Q145&amp;" ","")&amp;IF(K145="En retard","· Prévenir du retard de livraison",""))))</f>
        <v/>
      </c>
      <c r="S145" s="28">
        <f>IF(B145="","",IF(LEFT(Q145,9)="Relance 3","Bonjour "&amp;D145&amp;", nous revenons vers vous au sujet de la commande "&amp;A145&amp;" du "&amp;TEXT(B145,"dd/mm/yyyy")&amp;" : "&amp;SUBSTITUTE(TEXT(O145,"#,##0"),","," ")&amp;" FCFA restent à régler depuis le "&amp;TEXT(M145,"dd/mm/yyyy")&amp;". Notre responsable souhaite vous appeler pour convenir ensemble d'une solution. Quel moment vous arrange cette semaine ? "&amp;Paramètres!$B$11&amp;", "&amp;Paramètres!$B$12,IF(LEFT(Q145,7)="Relance","Bonjour "&amp;D145&amp;", sauf erreur de notre part, la commande "&amp;A145&amp;" du "&amp;TEXT(B145,"dd/mm/yyyy")&amp;" ("&amp;E145&amp;") présente un reste à payer de "&amp;SUBSTITUTE(TEXT(O145,"#,##0"),","," ")&amp;" FCFA, échu depuis le "&amp;TEXT(M145,"dd/mm/yyyy")&amp;". Pouvez-vous nous indiquer la date de règlement prévue ? Si le paiement est déjà parti, merci de nous envoyer la preuve et ne tenez pas compte de ce message. "&amp;Paramètres!$B$11&amp;", "&amp;Paramètres!$B$12,IF(K145="En retard","Bonjour "&amp;D145&amp;", votre commande "&amp;A145&amp;" ("&amp;E145&amp;", "&amp;F145&amp;" pièces) prévue le "&amp;TEXT(I145,"dd/mm/yyyy")&amp;" a pris du retard. Nous vous confirmons la nouvelle date de livraison dans la journée. Toutes nos excuses pour ce contretemps. "&amp;Paramètres!$B$11&amp;", "&amp;Paramètres!$B$12,""))))</f>
        <v/>
      </c>
      <c r="T145" s="21" t="n"/>
      <c r="U145" s="26" t="n"/>
      <c r="V145" s="21" t="n"/>
    </row>
    <row r="146">
      <c r="A146" s="21" t="n"/>
      <c r="B146" s="26" t="n"/>
      <c r="C146" s="21" t="n"/>
      <c r="D146" s="25">
        <f>IF(C146="","",IFERROR(VLOOKUP(C146,Revendeurs!$A:$B,2,FALSE),"Code inconnu"))</f>
        <v/>
      </c>
      <c r="E146" s="21" t="n"/>
      <c r="F146" s="21" t="n"/>
      <c r="G146" s="22" t="n"/>
      <c r="H146" s="23">
        <f>IF(OR(F146="",G146=""),"",F146*G146)</f>
        <v/>
      </c>
      <c r="I146" s="26" t="n"/>
      <c r="J146" s="26" t="n"/>
      <c r="K146" s="25">
        <f>IF(B146="","",IF(J146&lt;&gt;"","Livrée",IF(I146="","À planifier",IF(Paramètres!$B$4&gt;I146+Paramètres!$B$8,"En retard","En cours"))))</f>
        <v/>
      </c>
      <c r="L146" s="25">
        <f>IF(K146="En retard",Paramètres!$B$4-I146,"")</f>
        <v/>
      </c>
      <c r="M146" s="27">
        <f>IF(OR(B146="",J146=""),"",J146+IFERROR(IF(VLOOKUP(C146,Revendeurs!$A:$G,7,FALSE)="",Paramètres!$B$9,VLOOKUP(C146,Revendeurs!$A:$G,7,FALSE)),Paramètres!$B$9))</f>
        <v/>
      </c>
      <c r="N146" s="22" t="n"/>
      <c r="O146" s="23">
        <f>IF(H146="","",H146-N146)</f>
        <v/>
      </c>
      <c r="P146" s="25">
        <f>IF(OR(M146="",O146=""),"",IF(O146&lt;=0,0,MAX(0,Paramètres!$B$4-M146)))</f>
        <v/>
      </c>
      <c r="Q146" s="25">
        <f>IF(H146="","",IF(O146&lt;=0,"Payée",IF(M146="","Pas encore livrée",IF(P146=0,"Non échue",IF(P146&gt;=Paramètres!$B$7,"Relance 3 : appel direction",IF(P146&gt;=Paramètres!$B$6,"Relance 2",IF(P146&gt;=Paramètres!$B$5,"Relance 1","Échue, relance à venir")))))))</f>
        <v/>
      </c>
      <c r="R146" s="25">
        <f>IF(B146="","",IF(U146=Paramètres!$B$4,"Relancé aujourd'hui",TRIM(IF(LEFT(Q146,7)="Relance",Q146&amp;" ","")&amp;IF(K146="En retard","· Prévenir du retard de livraison",""))))</f>
        <v/>
      </c>
      <c r="S146" s="28">
        <f>IF(B146="","",IF(LEFT(Q146,9)="Relance 3","Bonjour "&amp;D146&amp;", nous revenons vers vous au sujet de la commande "&amp;A146&amp;" du "&amp;TEXT(B146,"dd/mm/yyyy")&amp;" : "&amp;SUBSTITUTE(TEXT(O146,"#,##0"),","," ")&amp;" FCFA restent à régler depuis le "&amp;TEXT(M146,"dd/mm/yyyy")&amp;". Notre responsable souhaite vous appeler pour convenir ensemble d'une solution. Quel moment vous arrange cette semaine ? "&amp;Paramètres!$B$11&amp;", "&amp;Paramètres!$B$12,IF(LEFT(Q146,7)="Relance","Bonjour "&amp;D146&amp;", sauf erreur de notre part, la commande "&amp;A146&amp;" du "&amp;TEXT(B146,"dd/mm/yyyy")&amp;" ("&amp;E146&amp;") présente un reste à payer de "&amp;SUBSTITUTE(TEXT(O146,"#,##0"),","," ")&amp;" FCFA, échu depuis le "&amp;TEXT(M146,"dd/mm/yyyy")&amp;". Pouvez-vous nous indiquer la date de règlement prévue ? Si le paiement est déjà parti, merci de nous envoyer la preuve et ne tenez pas compte de ce message. "&amp;Paramètres!$B$11&amp;", "&amp;Paramètres!$B$12,IF(K146="En retard","Bonjour "&amp;D146&amp;", votre commande "&amp;A146&amp;" ("&amp;E146&amp;", "&amp;F146&amp;" pièces) prévue le "&amp;TEXT(I146,"dd/mm/yyyy")&amp;" a pris du retard. Nous vous confirmons la nouvelle date de livraison dans la journée. Toutes nos excuses pour ce contretemps. "&amp;Paramètres!$B$11&amp;", "&amp;Paramètres!$B$12,""))))</f>
        <v/>
      </c>
      <c r="T146" s="21" t="n"/>
      <c r="U146" s="26" t="n"/>
      <c r="V146" s="21" t="n"/>
    </row>
    <row r="147">
      <c r="A147" s="21" t="n"/>
      <c r="B147" s="26" t="n"/>
      <c r="C147" s="21" t="n"/>
      <c r="D147" s="25">
        <f>IF(C147="","",IFERROR(VLOOKUP(C147,Revendeurs!$A:$B,2,FALSE),"Code inconnu"))</f>
        <v/>
      </c>
      <c r="E147" s="21" t="n"/>
      <c r="F147" s="21" t="n"/>
      <c r="G147" s="22" t="n"/>
      <c r="H147" s="23">
        <f>IF(OR(F147="",G147=""),"",F147*G147)</f>
        <v/>
      </c>
      <c r="I147" s="26" t="n"/>
      <c r="J147" s="26" t="n"/>
      <c r="K147" s="25">
        <f>IF(B147="","",IF(J147&lt;&gt;"","Livrée",IF(I147="","À planifier",IF(Paramètres!$B$4&gt;I147+Paramètres!$B$8,"En retard","En cours"))))</f>
        <v/>
      </c>
      <c r="L147" s="25">
        <f>IF(K147="En retard",Paramètres!$B$4-I147,"")</f>
        <v/>
      </c>
      <c r="M147" s="27">
        <f>IF(OR(B147="",J147=""),"",J147+IFERROR(IF(VLOOKUP(C147,Revendeurs!$A:$G,7,FALSE)="",Paramètres!$B$9,VLOOKUP(C147,Revendeurs!$A:$G,7,FALSE)),Paramètres!$B$9))</f>
        <v/>
      </c>
      <c r="N147" s="22" t="n"/>
      <c r="O147" s="23">
        <f>IF(H147="","",H147-N147)</f>
        <v/>
      </c>
      <c r="P147" s="25">
        <f>IF(OR(M147="",O147=""),"",IF(O147&lt;=0,0,MAX(0,Paramètres!$B$4-M147)))</f>
        <v/>
      </c>
      <c r="Q147" s="25">
        <f>IF(H147="","",IF(O147&lt;=0,"Payée",IF(M147="","Pas encore livrée",IF(P147=0,"Non échue",IF(P147&gt;=Paramètres!$B$7,"Relance 3 : appel direction",IF(P147&gt;=Paramètres!$B$6,"Relance 2",IF(P147&gt;=Paramètres!$B$5,"Relance 1","Échue, relance à venir")))))))</f>
        <v/>
      </c>
      <c r="R147" s="25">
        <f>IF(B147="","",IF(U147=Paramètres!$B$4,"Relancé aujourd'hui",TRIM(IF(LEFT(Q147,7)="Relance",Q147&amp;" ","")&amp;IF(K147="En retard","· Prévenir du retard de livraison",""))))</f>
        <v/>
      </c>
      <c r="S147" s="28">
        <f>IF(B147="","",IF(LEFT(Q147,9)="Relance 3","Bonjour "&amp;D147&amp;", nous revenons vers vous au sujet de la commande "&amp;A147&amp;" du "&amp;TEXT(B147,"dd/mm/yyyy")&amp;" : "&amp;SUBSTITUTE(TEXT(O147,"#,##0"),","," ")&amp;" FCFA restent à régler depuis le "&amp;TEXT(M147,"dd/mm/yyyy")&amp;". Notre responsable souhaite vous appeler pour convenir ensemble d'une solution. Quel moment vous arrange cette semaine ? "&amp;Paramètres!$B$11&amp;", "&amp;Paramètres!$B$12,IF(LEFT(Q147,7)="Relance","Bonjour "&amp;D147&amp;", sauf erreur de notre part, la commande "&amp;A147&amp;" du "&amp;TEXT(B147,"dd/mm/yyyy")&amp;" ("&amp;E147&amp;") présente un reste à payer de "&amp;SUBSTITUTE(TEXT(O147,"#,##0"),","," ")&amp;" FCFA, échu depuis le "&amp;TEXT(M147,"dd/mm/yyyy")&amp;". Pouvez-vous nous indiquer la date de règlement prévue ? Si le paiement est déjà parti, merci de nous envoyer la preuve et ne tenez pas compte de ce message. "&amp;Paramètres!$B$11&amp;", "&amp;Paramètres!$B$12,IF(K147="En retard","Bonjour "&amp;D147&amp;", votre commande "&amp;A147&amp;" ("&amp;E147&amp;", "&amp;F147&amp;" pièces) prévue le "&amp;TEXT(I147,"dd/mm/yyyy")&amp;" a pris du retard. Nous vous confirmons la nouvelle date de livraison dans la journée. Toutes nos excuses pour ce contretemps. "&amp;Paramètres!$B$11&amp;", "&amp;Paramètres!$B$12,""))))</f>
        <v/>
      </c>
      <c r="T147" s="21" t="n"/>
      <c r="U147" s="26" t="n"/>
      <c r="V147" s="21" t="n"/>
    </row>
    <row r="148">
      <c r="A148" s="21" t="n"/>
      <c r="B148" s="26" t="n"/>
      <c r="C148" s="21" t="n"/>
      <c r="D148" s="25">
        <f>IF(C148="","",IFERROR(VLOOKUP(C148,Revendeurs!$A:$B,2,FALSE),"Code inconnu"))</f>
        <v/>
      </c>
      <c r="E148" s="21" t="n"/>
      <c r="F148" s="21" t="n"/>
      <c r="G148" s="22" t="n"/>
      <c r="H148" s="23">
        <f>IF(OR(F148="",G148=""),"",F148*G148)</f>
        <v/>
      </c>
      <c r="I148" s="26" t="n"/>
      <c r="J148" s="26" t="n"/>
      <c r="K148" s="25">
        <f>IF(B148="","",IF(J148&lt;&gt;"","Livrée",IF(I148="","À planifier",IF(Paramètres!$B$4&gt;I148+Paramètres!$B$8,"En retard","En cours"))))</f>
        <v/>
      </c>
      <c r="L148" s="25">
        <f>IF(K148="En retard",Paramètres!$B$4-I148,"")</f>
        <v/>
      </c>
      <c r="M148" s="27">
        <f>IF(OR(B148="",J148=""),"",J148+IFERROR(IF(VLOOKUP(C148,Revendeurs!$A:$G,7,FALSE)="",Paramètres!$B$9,VLOOKUP(C148,Revendeurs!$A:$G,7,FALSE)),Paramètres!$B$9))</f>
        <v/>
      </c>
      <c r="N148" s="22" t="n"/>
      <c r="O148" s="23">
        <f>IF(H148="","",H148-N148)</f>
        <v/>
      </c>
      <c r="P148" s="25">
        <f>IF(OR(M148="",O148=""),"",IF(O148&lt;=0,0,MAX(0,Paramètres!$B$4-M148)))</f>
        <v/>
      </c>
      <c r="Q148" s="25">
        <f>IF(H148="","",IF(O148&lt;=0,"Payée",IF(M148="","Pas encore livrée",IF(P148=0,"Non échue",IF(P148&gt;=Paramètres!$B$7,"Relance 3 : appel direction",IF(P148&gt;=Paramètres!$B$6,"Relance 2",IF(P148&gt;=Paramètres!$B$5,"Relance 1","Échue, relance à venir")))))))</f>
        <v/>
      </c>
      <c r="R148" s="25">
        <f>IF(B148="","",IF(U148=Paramètres!$B$4,"Relancé aujourd'hui",TRIM(IF(LEFT(Q148,7)="Relance",Q148&amp;" ","")&amp;IF(K148="En retard","· Prévenir du retard de livraison",""))))</f>
        <v/>
      </c>
      <c r="S148" s="28">
        <f>IF(B148="","",IF(LEFT(Q148,9)="Relance 3","Bonjour "&amp;D148&amp;", nous revenons vers vous au sujet de la commande "&amp;A148&amp;" du "&amp;TEXT(B148,"dd/mm/yyyy")&amp;" : "&amp;SUBSTITUTE(TEXT(O148,"#,##0"),","," ")&amp;" FCFA restent à régler depuis le "&amp;TEXT(M148,"dd/mm/yyyy")&amp;". Notre responsable souhaite vous appeler pour convenir ensemble d'une solution. Quel moment vous arrange cette semaine ? "&amp;Paramètres!$B$11&amp;", "&amp;Paramètres!$B$12,IF(LEFT(Q148,7)="Relance","Bonjour "&amp;D148&amp;", sauf erreur de notre part, la commande "&amp;A148&amp;" du "&amp;TEXT(B148,"dd/mm/yyyy")&amp;" ("&amp;E148&amp;") présente un reste à payer de "&amp;SUBSTITUTE(TEXT(O148,"#,##0"),","," ")&amp;" FCFA, échu depuis le "&amp;TEXT(M148,"dd/mm/yyyy")&amp;". Pouvez-vous nous indiquer la date de règlement prévue ? Si le paiement est déjà parti, merci de nous envoyer la preuve et ne tenez pas compte de ce message. "&amp;Paramètres!$B$11&amp;", "&amp;Paramètres!$B$12,IF(K148="En retard","Bonjour "&amp;D148&amp;", votre commande "&amp;A148&amp;" ("&amp;E148&amp;", "&amp;F148&amp;" pièces) prévue le "&amp;TEXT(I148,"dd/mm/yyyy")&amp;" a pris du retard. Nous vous confirmons la nouvelle date de livraison dans la journée. Toutes nos excuses pour ce contretemps. "&amp;Paramètres!$B$11&amp;", "&amp;Paramètres!$B$12,""))))</f>
        <v/>
      </c>
      <c r="T148" s="21" t="n"/>
      <c r="U148" s="26" t="n"/>
      <c r="V148" s="21" t="n"/>
    </row>
    <row r="149">
      <c r="A149" s="21" t="n"/>
      <c r="B149" s="26" t="n"/>
      <c r="C149" s="21" t="n"/>
      <c r="D149" s="25">
        <f>IF(C149="","",IFERROR(VLOOKUP(C149,Revendeurs!$A:$B,2,FALSE),"Code inconnu"))</f>
        <v/>
      </c>
      <c r="E149" s="21" t="n"/>
      <c r="F149" s="21" t="n"/>
      <c r="G149" s="22" t="n"/>
      <c r="H149" s="23">
        <f>IF(OR(F149="",G149=""),"",F149*G149)</f>
        <v/>
      </c>
      <c r="I149" s="26" t="n"/>
      <c r="J149" s="26" t="n"/>
      <c r="K149" s="25">
        <f>IF(B149="","",IF(J149&lt;&gt;"","Livrée",IF(I149="","À planifier",IF(Paramètres!$B$4&gt;I149+Paramètres!$B$8,"En retard","En cours"))))</f>
        <v/>
      </c>
      <c r="L149" s="25">
        <f>IF(K149="En retard",Paramètres!$B$4-I149,"")</f>
        <v/>
      </c>
      <c r="M149" s="27">
        <f>IF(OR(B149="",J149=""),"",J149+IFERROR(IF(VLOOKUP(C149,Revendeurs!$A:$G,7,FALSE)="",Paramètres!$B$9,VLOOKUP(C149,Revendeurs!$A:$G,7,FALSE)),Paramètres!$B$9))</f>
        <v/>
      </c>
      <c r="N149" s="22" t="n"/>
      <c r="O149" s="23">
        <f>IF(H149="","",H149-N149)</f>
        <v/>
      </c>
      <c r="P149" s="25">
        <f>IF(OR(M149="",O149=""),"",IF(O149&lt;=0,0,MAX(0,Paramètres!$B$4-M149)))</f>
        <v/>
      </c>
      <c r="Q149" s="25">
        <f>IF(H149="","",IF(O149&lt;=0,"Payée",IF(M149="","Pas encore livrée",IF(P149=0,"Non échue",IF(P149&gt;=Paramètres!$B$7,"Relance 3 : appel direction",IF(P149&gt;=Paramètres!$B$6,"Relance 2",IF(P149&gt;=Paramètres!$B$5,"Relance 1","Échue, relance à venir")))))))</f>
        <v/>
      </c>
      <c r="R149" s="25">
        <f>IF(B149="","",IF(U149=Paramètres!$B$4,"Relancé aujourd'hui",TRIM(IF(LEFT(Q149,7)="Relance",Q149&amp;" ","")&amp;IF(K149="En retard","· Prévenir du retard de livraison",""))))</f>
        <v/>
      </c>
      <c r="S149" s="28">
        <f>IF(B149="","",IF(LEFT(Q149,9)="Relance 3","Bonjour "&amp;D149&amp;", nous revenons vers vous au sujet de la commande "&amp;A149&amp;" du "&amp;TEXT(B149,"dd/mm/yyyy")&amp;" : "&amp;SUBSTITUTE(TEXT(O149,"#,##0"),","," ")&amp;" FCFA restent à régler depuis le "&amp;TEXT(M149,"dd/mm/yyyy")&amp;". Notre responsable souhaite vous appeler pour convenir ensemble d'une solution. Quel moment vous arrange cette semaine ? "&amp;Paramètres!$B$11&amp;", "&amp;Paramètres!$B$12,IF(LEFT(Q149,7)="Relance","Bonjour "&amp;D149&amp;", sauf erreur de notre part, la commande "&amp;A149&amp;" du "&amp;TEXT(B149,"dd/mm/yyyy")&amp;" ("&amp;E149&amp;") présente un reste à payer de "&amp;SUBSTITUTE(TEXT(O149,"#,##0"),","," ")&amp;" FCFA, échu depuis le "&amp;TEXT(M149,"dd/mm/yyyy")&amp;". Pouvez-vous nous indiquer la date de règlement prévue ? Si le paiement est déjà parti, merci de nous envoyer la preuve et ne tenez pas compte de ce message. "&amp;Paramètres!$B$11&amp;", "&amp;Paramètres!$B$12,IF(K149="En retard","Bonjour "&amp;D149&amp;", votre commande "&amp;A149&amp;" ("&amp;E149&amp;", "&amp;F149&amp;" pièces) prévue le "&amp;TEXT(I149,"dd/mm/yyyy")&amp;" a pris du retard. Nous vous confirmons la nouvelle date de livraison dans la journée. Toutes nos excuses pour ce contretemps. "&amp;Paramètres!$B$11&amp;", "&amp;Paramètres!$B$12,""))))</f>
        <v/>
      </c>
      <c r="T149" s="21" t="n"/>
      <c r="U149" s="26" t="n"/>
      <c r="V149" s="21" t="n"/>
    </row>
    <row r="150">
      <c r="A150" s="21" t="n"/>
      <c r="B150" s="26" t="n"/>
      <c r="C150" s="21" t="n"/>
      <c r="D150" s="25">
        <f>IF(C150="","",IFERROR(VLOOKUP(C150,Revendeurs!$A:$B,2,FALSE),"Code inconnu"))</f>
        <v/>
      </c>
      <c r="E150" s="21" t="n"/>
      <c r="F150" s="21" t="n"/>
      <c r="G150" s="22" t="n"/>
      <c r="H150" s="23">
        <f>IF(OR(F150="",G150=""),"",F150*G150)</f>
        <v/>
      </c>
      <c r="I150" s="26" t="n"/>
      <c r="J150" s="26" t="n"/>
      <c r="K150" s="25">
        <f>IF(B150="","",IF(J150&lt;&gt;"","Livrée",IF(I150="","À planifier",IF(Paramètres!$B$4&gt;I150+Paramètres!$B$8,"En retard","En cours"))))</f>
        <v/>
      </c>
      <c r="L150" s="25">
        <f>IF(K150="En retard",Paramètres!$B$4-I150,"")</f>
        <v/>
      </c>
      <c r="M150" s="27">
        <f>IF(OR(B150="",J150=""),"",J150+IFERROR(IF(VLOOKUP(C150,Revendeurs!$A:$G,7,FALSE)="",Paramètres!$B$9,VLOOKUP(C150,Revendeurs!$A:$G,7,FALSE)),Paramètres!$B$9))</f>
        <v/>
      </c>
      <c r="N150" s="22" t="n"/>
      <c r="O150" s="23">
        <f>IF(H150="","",H150-N150)</f>
        <v/>
      </c>
      <c r="P150" s="25">
        <f>IF(OR(M150="",O150=""),"",IF(O150&lt;=0,0,MAX(0,Paramètres!$B$4-M150)))</f>
        <v/>
      </c>
      <c r="Q150" s="25">
        <f>IF(H150="","",IF(O150&lt;=0,"Payée",IF(M150="","Pas encore livrée",IF(P150=0,"Non échue",IF(P150&gt;=Paramètres!$B$7,"Relance 3 : appel direction",IF(P150&gt;=Paramètres!$B$6,"Relance 2",IF(P150&gt;=Paramètres!$B$5,"Relance 1","Échue, relance à venir")))))))</f>
        <v/>
      </c>
      <c r="R150" s="25">
        <f>IF(B150="","",IF(U150=Paramètres!$B$4,"Relancé aujourd'hui",TRIM(IF(LEFT(Q150,7)="Relance",Q150&amp;" ","")&amp;IF(K150="En retard","· Prévenir du retard de livraison",""))))</f>
        <v/>
      </c>
      <c r="S150" s="28">
        <f>IF(B150="","",IF(LEFT(Q150,9)="Relance 3","Bonjour "&amp;D150&amp;", nous revenons vers vous au sujet de la commande "&amp;A150&amp;" du "&amp;TEXT(B150,"dd/mm/yyyy")&amp;" : "&amp;SUBSTITUTE(TEXT(O150,"#,##0"),","," ")&amp;" FCFA restent à régler depuis le "&amp;TEXT(M150,"dd/mm/yyyy")&amp;". Notre responsable souhaite vous appeler pour convenir ensemble d'une solution. Quel moment vous arrange cette semaine ? "&amp;Paramètres!$B$11&amp;", "&amp;Paramètres!$B$12,IF(LEFT(Q150,7)="Relance","Bonjour "&amp;D150&amp;", sauf erreur de notre part, la commande "&amp;A150&amp;" du "&amp;TEXT(B150,"dd/mm/yyyy")&amp;" ("&amp;E150&amp;") présente un reste à payer de "&amp;SUBSTITUTE(TEXT(O150,"#,##0"),","," ")&amp;" FCFA, échu depuis le "&amp;TEXT(M150,"dd/mm/yyyy")&amp;". Pouvez-vous nous indiquer la date de règlement prévue ? Si le paiement est déjà parti, merci de nous envoyer la preuve et ne tenez pas compte de ce message. "&amp;Paramètres!$B$11&amp;", "&amp;Paramètres!$B$12,IF(K150="En retard","Bonjour "&amp;D150&amp;", votre commande "&amp;A150&amp;" ("&amp;E150&amp;", "&amp;F150&amp;" pièces) prévue le "&amp;TEXT(I150,"dd/mm/yyyy")&amp;" a pris du retard. Nous vous confirmons la nouvelle date de livraison dans la journée. Toutes nos excuses pour ce contretemps. "&amp;Paramètres!$B$11&amp;", "&amp;Paramètres!$B$12,""))))</f>
        <v/>
      </c>
      <c r="T150" s="21" t="n"/>
      <c r="U150" s="26" t="n"/>
      <c r="V150" s="21" t="n"/>
    </row>
    <row r="151">
      <c r="A151" s="21" t="n"/>
      <c r="B151" s="26" t="n"/>
      <c r="C151" s="21" t="n"/>
      <c r="D151" s="25">
        <f>IF(C151="","",IFERROR(VLOOKUP(C151,Revendeurs!$A:$B,2,FALSE),"Code inconnu"))</f>
        <v/>
      </c>
      <c r="E151" s="21" t="n"/>
      <c r="F151" s="21" t="n"/>
      <c r="G151" s="22" t="n"/>
      <c r="H151" s="23">
        <f>IF(OR(F151="",G151=""),"",F151*G151)</f>
        <v/>
      </c>
      <c r="I151" s="26" t="n"/>
      <c r="J151" s="26" t="n"/>
      <c r="K151" s="25">
        <f>IF(B151="","",IF(J151&lt;&gt;"","Livrée",IF(I151="","À planifier",IF(Paramètres!$B$4&gt;I151+Paramètres!$B$8,"En retard","En cours"))))</f>
        <v/>
      </c>
      <c r="L151" s="25">
        <f>IF(K151="En retard",Paramètres!$B$4-I151,"")</f>
        <v/>
      </c>
      <c r="M151" s="27">
        <f>IF(OR(B151="",J151=""),"",J151+IFERROR(IF(VLOOKUP(C151,Revendeurs!$A:$G,7,FALSE)="",Paramètres!$B$9,VLOOKUP(C151,Revendeurs!$A:$G,7,FALSE)),Paramètres!$B$9))</f>
        <v/>
      </c>
      <c r="N151" s="22" t="n"/>
      <c r="O151" s="23">
        <f>IF(H151="","",H151-N151)</f>
        <v/>
      </c>
      <c r="P151" s="25">
        <f>IF(OR(M151="",O151=""),"",IF(O151&lt;=0,0,MAX(0,Paramètres!$B$4-M151)))</f>
        <v/>
      </c>
      <c r="Q151" s="25">
        <f>IF(H151="","",IF(O151&lt;=0,"Payée",IF(M151="","Pas encore livrée",IF(P151=0,"Non échue",IF(P151&gt;=Paramètres!$B$7,"Relance 3 : appel direction",IF(P151&gt;=Paramètres!$B$6,"Relance 2",IF(P151&gt;=Paramètres!$B$5,"Relance 1","Échue, relance à venir")))))))</f>
        <v/>
      </c>
      <c r="R151" s="25">
        <f>IF(B151="","",IF(U151=Paramètres!$B$4,"Relancé aujourd'hui",TRIM(IF(LEFT(Q151,7)="Relance",Q151&amp;" ","")&amp;IF(K151="En retard","· Prévenir du retard de livraison",""))))</f>
        <v/>
      </c>
      <c r="S151" s="28">
        <f>IF(B151="","",IF(LEFT(Q151,9)="Relance 3","Bonjour "&amp;D151&amp;", nous revenons vers vous au sujet de la commande "&amp;A151&amp;" du "&amp;TEXT(B151,"dd/mm/yyyy")&amp;" : "&amp;SUBSTITUTE(TEXT(O151,"#,##0"),","," ")&amp;" FCFA restent à régler depuis le "&amp;TEXT(M151,"dd/mm/yyyy")&amp;". Notre responsable souhaite vous appeler pour convenir ensemble d'une solution. Quel moment vous arrange cette semaine ? "&amp;Paramètres!$B$11&amp;", "&amp;Paramètres!$B$12,IF(LEFT(Q151,7)="Relance","Bonjour "&amp;D151&amp;", sauf erreur de notre part, la commande "&amp;A151&amp;" du "&amp;TEXT(B151,"dd/mm/yyyy")&amp;" ("&amp;E151&amp;") présente un reste à payer de "&amp;SUBSTITUTE(TEXT(O151,"#,##0"),","," ")&amp;" FCFA, échu depuis le "&amp;TEXT(M151,"dd/mm/yyyy")&amp;". Pouvez-vous nous indiquer la date de règlement prévue ? Si le paiement est déjà parti, merci de nous envoyer la preuve et ne tenez pas compte de ce message. "&amp;Paramètres!$B$11&amp;", "&amp;Paramètres!$B$12,IF(K151="En retard","Bonjour "&amp;D151&amp;", votre commande "&amp;A151&amp;" ("&amp;E151&amp;", "&amp;F151&amp;" pièces) prévue le "&amp;TEXT(I151,"dd/mm/yyyy")&amp;" a pris du retard. Nous vous confirmons la nouvelle date de livraison dans la journée. Toutes nos excuses pour ce contretemps. "&amp;Paramètres!$B$11&amp;", "&amp;Paramètres!$B$12,""))))</f>
        <v/>
      </c>
      <c r="T151" s="21" t="n"/>
      <c r="U151" s="26" t="n"/>
      <c r="V151" s="21" t="n"/>
    </row>
    <row r="152">
      <c r="A152" s="21" t="n"/>
      <c r="B152" s="26" t="n"/>
      <c r="C152" s="21" t="n"/>
      <c r="D152" s="25">
        <f>IF(C152="","",IFERROR(VLOOKUP(C152,Revendeurs!$A:$B,2,FALSE),"Code inconnu"))</f>
        <v/>
      </c>
      <c r="E152" s="21" t="n"/>
      <c r="F152" s="21" t="n"/>
      <c r="G152" s="22" t="n"/>
      <c r="H152" s="23">
        <f>IF(OR(F152="",G152=""),"",F152*G152)</f>
        <v/>
      </c>
      <c r="I152" s="26" t="n"/>
      <c r="J152" s="26" t="n"/>
      <c r="K152" s="25">
        <f>IF(B152="","",IF(J152&lt;&gt;"","Livrée",IF(I152="","À planifier",IF(Paramètres!$B$4&gt;I152+Paramètres!$B$8,"En retard","En cours"))))</f>
        <v/>
      </c>
      <c r="L152" s="25">
        <f>IF(K152="En retard",Paramètres!$B$4-I152,"")</f>
        <v/>
      </c>
      <c r="M152" s="27">
        <f>IF(OR(B152="",J152=""),"",J152+IFERROR(IF(VLOOKUP(C152,Revendeurs!$A:$G,7,FALSE)="",Paramètres!$B$9,VLOOKUP(C152,Revendeurs!$A:$G,7,FALSE)),Paramètres!$B$9))</f>
        <v/>
      </c>
      <c r="N152" s="22" t="n"/>
      <c r="O152" s="23">
        <f>IF(H152="","",H152-N152)</f>
        <v/>
      </c>
      <c r="P152" s="25">
        <f>IF(OR(M152="",O152=""),"",IF(O152&lt;=0,0,MAX(0,Paramètres!$B$4-M152)))</f>
        <v/>
      </c>
      <c r="Q152" s="25">
        <f>IF(H152="","",IF(O152&lt;=0,"Payée",IF(M152="","Pas encore livrée",IF(P152=0,"Non échue",IF(P152&gt;=Paramètres!$B$7,"Relance 3 : appel direction",IF(P152&gt;=Paramètres!$B$6,"Relance 2",IF(P152&gt;=Paramètres!$B$5,"Relance 1","Échue, relance à venir")))))))</f>
        <v/>
      </c>
      <c r="R152" s="25">
        <f>IF(B152="","",IF(U152=Paramètres!$B$4,"Relancé aujourd'hui",TRIM(IF(LEFT(Q152,7)="Relance",Q152&amp;" ","")&amp;IF(K152="En retard","· Prévenir du retard de livraison",""))))</f>
        <v/>
      </c>
      <c r="S152" s="28">
        <f>IF(B152="","",IF(LEFT(Q152,9)="Relance 3","Bonjour "&amp;D152&amp;", nous revenons vers vous au sujet de la commande "&amp;A152&amp;" du "&amp;TEXT(B152,"dd/mm/yyyy")&amp;" : "&amp;SUBSTITUTE(TEXT(O152,"#,##0"),","," ")&amp;" FCFA restent à régler depuis le "&amp;TEXT(M152,"dd/mm/yyyy")&amp;". Notre responsable souhaite vous appeler pour convenir ensemble d'une solution. Quel moment vous arrange cette semaine ? "&amp;Paramètres!$B$11&amp;", "&amp;Paramètres!$B$12,IF(LEFT(Q152,7)="Relance","Bonjour "&amp;D152&amp;", sauf erreur de notre part, la commande "&amp;A152&amp;" du "&amp;TEXT(B152,"dd/mm/yyyy")&amp;" ("&amp;E152&amp;") présente un reste à payer de "&amp;SUBSTITUTE(TEXT(O152,"#,##0"),","," ")&amp;" FCFA, échu depuis le "&amp;TEXT(M152,"dd/mm/yyyy")&amp;". Pouvez-vous nous indiquer la date de règlement prévue ? Si le paiement est déjà parti, merci de nous envoyer la preuve et ne tenez pas compte de ce message. "&amp;Paramètres!$B$11&amp;", "&amp;Paramètres!$B$12,IF(K152="En retard","Bonjour "&amp;D152&amp;", votre commande "&amp;A152&amp;" ("&amp;E152&amp;", "&amp;F152&amp;" pièces) prévue le "&amp;TEXT(I152,"dd/mm/yyyy")&amp;" a pris du retard. Nous vous confirmons la nouvelle date de livraison dans la journée. Toutes nos excuses pour ce contretemps. "&amp;Paramètres!$B$11&amp;", "&amp;Paramètres!$B$12,""))))</f>
        <v/>
      </c>
      <c r="T152" s="21" t="n"/>
      <c r="U152" s="26" t="n"/>
      <c r="V152" s="21" t="n"/>
    </row>
    <row r="153">
      <c r="A153" s="21" t="n"/>
      <c r="B153" s="26" t="n"/>
      <c r="C153" s="21" t="n"/>
      <c r="D153" s="25">
        <f>IF(C153="","",IFERROR(VLOOKUP(C153,Revendeurs!$A:$B,2,FALSE),"Code inconnu"))</f>
        <v/>
      </c>
      <c r="E153" s="21" t="n"/>
      <c r="F153" s="21" t="n"/>
      <c r="G153" s="22" t="n"/>
      <c r="H153" s="23">
        <f>IF(OR(F153="",G153=""),"",F153*G153)</f>
        <v/>
      </c>
      <c r="I153" s="26" t="n"/>
      <c r="J153" s="26" t="n"/>
      <c r="K153" s="25">
        <f>IF(B153="","",IF(J153&lt;&gt;"","Livrée",IF(I153="","À planifier",IF(Paramètres!$B$4&gt;I153+Paramètres!$B$8,"En retard","En cours"))))</f>
        <v/>
      </c>
      <c r="L153" s="25">
        <f>IF(K153="En retard",Paramètres!$B$4-I153,"")</f>
        <v/>
      </c>
      <c r="M153" s="27">
        <f>IF(OR(B153="",J153=""),"",J153+IFERROR(IF(VLOOKUP(C153,Revendeurs!$A:$G,7,FALSE)="",Paramètres!$B$9,VLOOKUP(C153,Revendeurs!$A:$G,7,FALSE)),Paramètres!$B$9))</f>
        <v/>
      </c>
      <c r="N153" s="22" t="n"/>
      <c r="O153" s="23">
        <f>IF(H153="","",H153-N153)</f>
        <v/>
      </c>
      <c r="P153" s="25">
        <f>IF(OR(M153="",O153=""),"",IF(O153&lt;=0,0,MAX(0,Paramètres!$B$4-M153)))</f>
        <v/>
      </c>
      <c r="Q153" s="25">
        <f>IF(H153="","",IF(O153&lt;=0,"Payée",IF(M153="","Pas encore livrée",IF(P153=0,"Non échue",IF(P153&gt;=Paramètres!$B$7,"Relance 3 : appel direction",IF(P153&gt;=Paramètres!$B$6,"Relance 2",IF(P153&gt;=Paramètres!$B$5,"Relance 1","Échue, relance à venir")))))))</f>
        <v/>
      </c>
      <c r="R153" s="25">
        <f>IF(B153="","",IF(U153=Paramètres!$B$4,"Relancé aujourd'hui",TRIM(IF(LEFT(Q153,7)="Relance",Q153&amp;" ","")&amp;IF(K153="En retard","· Prévenir du retard de livraison",""))))</f>
        <v/>
      </c>
      <c r="S153" s="28">
        <f>IF(B153="","",IF(LEFT(Q153,9)="Relance 3","Bonjour "&amp;D153&amp;", nous revenons vers vous au sujet de la commande "&amp;A153&amp;" du "&amp;TEXT(B153,"dd/mm/yyyy")&amp;" : "&amp;SUBSTITUTE(TEXT(O153,"#,##0"),","," ")&amp;" FCFA restent à régler depuis le "&amp;TEXT(M153,"dd/mm/yyyy")&amp;". Notre responsable souhaite vous appeler pour convenir ensemble d'une solution. Quel moment vous arrange cette semaine ? "&amp;Paramètres!$B$11&amp;", "&amp;Paramètres!$B$12,IF(LEFT(Q153,7)="Relance","Bonjour "&amp;D153&amp;", sauf erreur de notre part, la commande "&amp;A153&amp;" du "&amp;TEXT(B153,"dd/mm/yyyy")&amp;" ("&amp;E153&amp;") présente un reste à payer de "&amp;SUBSTITUTE(TEXT(O153,"#,##0"),","," ")&amp;" FCFA, échu depuis le "&amp;TEXT(M153,"dd/mm/yyyy")&amp;". Pouvez-vous nous indiquer la date de règlement prévue ? Si le paiement est déjà parti, merci de nous envoyer la preuve et ne tenez pas compte de ce message. "&amp;Paramètres!$B$11&amp;", "&amp;Paramètres!$B$12,IF(K153="En retard","Bonjour "&amp;D153&amp;", votre commande "&amp;A153&amp;" ("&amp;E153&amp;", "&amp;F153&amp;" pièces) prévue le "&amp;TEXT(I153,"dd/mm/yyyy")&amp;" a pris du retard. Nous vous confirmons la nouvelle date de livraison dans la journée. Toutes nos excuses pour ce contretemps. "&amp;Paramètres!$B$11&amp;", "&amp;Paramètres!$B$12,""))))</f>
        <v/>
      </c>
      <c r="T153" s="21" t="n"/>
      <c r="U153" s="26" t="n"/>
      <c r="V153" s="21" t="n"/>
    </row>
    <row r="154">
      <c r="A154" s="21" t="n"/>
      <c r="B154" s="26" t="n"/>
      <c r="C154" s="21" t="n"/>
      <c r="D154" s="25">
        <f>IF(C154="","",IFERROR(VLOOKUP(C154,Revendeurs!$A:$B,2,FALSE),"Code inconnu"))</f>
        <v/>
      </c>
      <c r="E154" s="21" t="n"/>
      <c r="F154" s="21" t="n"/>
      <c r="G154" s="22" t="n"/>
      <c r="H154" s="23">
        <f>IF(OR(F154="",G154=""),"",F154*G154)</f>
        <v/>
      </c>
      <c r="I154" s="26" t="n"/>
      <c r="J154" s="26" t="n"/>
      <c r="K154" s="25">
        <f>IF(B154="","",IF(J154&lt;&gt;"","Livrée",IF(I154="","À planifier",IF(Paramètres!$B$4&gt;I154+Paramètres!$B$8,"En retard","En cours"))))</f>
        <v/>
      </c>
      <c r="L154" s="25">
        <f>IF(K154="En retard",Paramètres!$B$4-I154,"")</f>
        <v/>
      </c>
      <c r="M154" s="27">
        <f>IF(OR(B154="",J154=""),"",J154+IFERROR(IF(VLOOKUP(C154,Revendeurs!$A:$G,7,FALSE)="",Paramètres!$B$9,VLOOKUP(C154,Revendeurs!$A:$G,7,FALSE)),Paramètres!$B$9))</f>
        <v/>
      </c>
      <c r="N154" s="22" t="n"/>
      <c r="O154" s="23">
        <f>IF(H154="","",H154-N154)</f>
        <v/>
      </c>
      <c r="P154" s="25">
        <f>IF(OR(M154="",O154=""),"",IF(O154&lt;=0,0,MAX(0,Paramètres!$B$4-M154)))</f>
        <v/>
      </c>
      <c r="Q154" s="25">
        <f>IF(H154="","",IF(O154&lt;=0,"Payée",IF(M154="","Pas encore livrée",IF(P154=0,"Non échue",IF(P154&gt;=Paramètres!$B$7,"Relance 3 : appel direction",IF(P154&gt;=Paramètres!$B$6,"Relance 2",IF(P154&gt;=Paramètres!$B$5,"Relance 1","Échue, relance à venir")))))))</f>
        <v/>
      </c>
      <c r="R154" s="25">
        <f>IF(B154="","",IF(U154=Paramètres!$B$4,"Relancé aujourd'hui",TRIM(IF(LEFT(Q154,7)="Relance",Q154&amp;" ","")&amp;IF(K154="En retard","· Prévenir du retard de livraison",""))))</f>
        <v/>
      </c>
      <c r="S154" s="28">
        <f>IF(B154="","",IF(LEFT(Q154,9)="Relance 3","Bonjour "&amp;D154&amp;", nous revenons vers vous au sujet de la commande "&amp;A154&amp;" du "&amp;TEXT(B154,"dd/mm/yyyy")&amp;" : "&amp;SUBSTITUTE(TEXT(O154,"#,##0"),","," ")&amp;" FCFA restent à régler depuis le "&amp;TEXT(M154,"dd/mm/yyyy")&amp;". Notre responsable souhaite vous appeler pour convenir ensemble d'une solution. Quel moment vous arrange cette semaine ? "&amp;Paramètres!$B$11&amp;", "&amp;Paramètres!$B$12,IF(LEFT(Q154,7)="Relance","Bonjour "&amp;D154&amp;", sauf erreur de notre part, la commande "&amp;A154&amp;" du "&amp;TEXT(B154,"dd/mm/yyyy")&amp;" ("&amp;E154&amp;") présente un reste à payer de "&amp;SUBSTITUTE(TEXT(O154,"#,##0"),","," ")&amp;" FCFA, échu depuis le "&amp;TEXT(M154,"dd/mm/yyyy")&amp;". Pouvez-vous nous indiquer la date de règlement prévue ? Si le paiement est déjà parti, merci de nous envoyer la preuve et ne tenez pas compte de ce message. "&amp;Paramètres!$B$11&amp;", "&amp;Paramètres!$B$12,IF(K154="En retard","Bonjour "&amp;D154&amp;", votre commande "&amp;A154&amp;" ("&amp;E154&amp;", "&amp;F154&amp;" pièces) prévue le "&amp;TEXT(I154,"dd/mm/yyyy")&amp;" a pris du retard. Nous vous confirmons la nouvelle date de livraison dans la journée. Toutes nos excuses pour ce contretemps. "&amp;Paramètres!$B$11&amp;", "&amp;Paramètres!$B$12,""))))</f>
        <v/>
      </c>
      <c r="T154" s="21" t="n"/>
      <c r="U154" s="26" t="n"/>
      <c r="V154" s="21" t="n"/>
    </row>
    <row r="155">
      <c r="A155" s="21" t="n"/>
      <c r="B155" s="26" t="n"/>
      <c r="C155" s="21" t="n"/>
      <c r="D155" s="25">
        <f>IF(C155="","",IFERROR(VLOOKUP(C155,Revendeurs!$A:$B,2,FALSE),"Code inconnu"))</f>
        <v/>
      </c>
      <c r="E155" s="21" t="n"/>
      <c r="F155" s="21" t="n"/>
      <c r="G155" s="22" t="n"/>
      <c r="H155" s="23">
        <f>IF(OR(F155="",G155=""),"",F155*G155)</f>
        <v/>
      </c>
      <c r="I155" s="26" t="n"/>
      <c r="J155" s="26" t="n"/>
      <c r="K155" s="25">
        <f>IF(B155="","",IF(J155&lt;&gt;"","Livrée",IF(I155="","À planifier",IF(Paramètres!$B$4&gt;I155+Paramètres!$B$8,"En retard","En cours"))))</f>
        <v/>
      </c>
      <c r="L155" s="25">
        <f>IF(K155="En retard",Paramètres!$B$4-I155,"")</f>
        <v/>
      </c>
      <c r="M155" s="27">
        <f>IF(OR(B155="",J155=""),"",J155+IFERROR(IF(VLOOKUP(C155,Revendeurs!$A:$G,7,FALSE)="",Paramètres!$B$9,VLOOKUP(C155,Revendeurs!$A:$G,7,FALSE)),Paramètres!$B$9))</f>
        <v/>
      </c>
      <c r="N155" s="22" t="n"/>
      <c r="O155" s="23">
        <f>IF(H155="","",H155-N155)</f>
        <v/>
      </c>
      <c r="P155" s="25">
        <f>IF(OR(M155="",O155=""),"",IF(O155&lt;=0,0,MAX(0,Paramètres!$B$4-M155)))</f>
        <v/>
      </c>
      <c r="Q155" s="25">
        <f>IF(H155="","",IF(O155&lt;=0,"Payée",IF(M155="","Pas encore livrée",IF(P155=0,"Non échue",IF(P155&gt;=Paramètres!$B$7,"Relance 3 : appel direction",IF(P155&gt;=Paramètres!$B$6,"Relance 2",IF(P155&gt;=Paramètres!$B$5,"Relance 1","Échue, relance à venir")))))))</f>
        <v/>
      </c>
      <c r="R155" s="25">
        <f>IF(B155="","",IF(U155=Paramètres!$B$4,"Relancé aujourd'hui",TRIM(IF(LEFT(Q155,7)="Relance",Q155&amp;" ","")&amp;IF(K155="En retard","· Prévenir du retard de livraison",""))))</f>
        <v/>
      </c>
      <c r="S155" s="28">
        <f>IF(B155="","",IF(LEFT(Q155,9)="Relance 3","Bonjour "&amp;D155&amp;", nous revenons vers vous au sujet de la commande "&amp;A155&amp;" du "&amp;TEXT(B155,"dd/mm/yyyy")&amp;" : "&amp;SUBSTITUTE(TEXT(O155,"#,##0"),","," ")&amp;" FCFA restent à régler depuis le "&amp;TEXT(M155,"dd/mm/yyyy")&amp;". Notre responsable souhaite vous appeler pour convenir ensemble d'une solution. Quel moment vous arrange cette semaine ? "&amp;Paramètres!$B$11&amp;", "&amp;Paramètres!$B$12,IF(LEFT(Q155,7)="Relance","Bonjour "&amp;D155&amp;", sauf erreur de notre part, la commande "&amp;A155&amp;" du "&amp;TEXT(B155,"dd/mm/yyyy")&amp;" ("&amp;E155&amp;") présente un reste à payer de "&amp;SUBSTITUTE(TEXT(O155,"#,##0"),","," ")&amp;" FCFA, échu depuis le "&amp;TEXT(M155,"dd/mm/yyyy")&amp;". Pouvez-vous nous indiquer la date de règlement prévue ? Si le paiement est déjà parti, merci de nous envoyer la preuve et ne tenez pas compte de ce message. "&amp;Paramètres!$B$11&amp;", "&amp;Paramètres!$B$12,IF(K155="En retard","Bonjour "&amp;D155&amp;", votre commande "&amp;A155&amp;" ("&amp;E155&amp;", "&amp;F155&amp;" pièces) prévue le "&amp;TEXT(I155,"dd/mm/yyyy")&amp;" a pris du retard. Nous vous confirmons la nouvelle date de livraison dans la journée. Toutes nos excuses pour ce contretemps. "&amp;Paramètres!$B$11&amp;", "&amp;Paramètres!$B$12,""))))</f>
        <v/>
      </c>
      <c r="T155" s="21" t="n"/>
      <c r="U155" s="26" t="n"/>
      <c r="V155" s="21" t="n"/>
    </row>
    <row r="156">
      <c r="A156" s="21" t="n"/>
      <c r="B156" s="26" t="n"/>
      <c r="C156" s="21" t="n"/>
      <c r="D156" s="25">
        <f>IF(C156="","",IFERROR(VLOOKUP(C156,Revendeurs!$A:$B,2,FALSE),"Code inconnu"))</f>
        <v/>
      </c>
      <c r="E156" s="21" t="n"/>
      <c r="F156" s="21" t="n"/>
      <c r="G156" s="22" t="n"/>
      <c r="H156" s="23">
        <f>IF(OR(F156="",G156=""),"",F156*G156)</f>
        <v/>
      </c>
      <c r="I156" s="26" t="n"/>
      <c r="J156" s="26" t="n"/>
      <c r="K156" s="25">
        <f>IF(B156="","",IF(J156&lt;&gt;"","Livrée",IF(I156="","À planifier",IF(Paramètres!$B$4&gt;I156+Paramètres!$B$8,"En retard","En cours"))))</f>
        <v/>
      </c>
      <c r="L156" s="25">
        <f>IF(K156="En retard",Paramètres!$B$4-I156,"")</f>
        <v/>
      </c>
      <c r="M156" s="27">
        <f>IF(OR(B156="",J156=""),"",J156+IFERROR(IF(VLOOKUP(C156,Revendeurs!$A:$G,7,FALSE)="",Paramètres!$B$9,VLOOKUP(C156,Revendeurs!$A:$G,7,FALSE)),Paramètres!$B$9))</f>
        <v/>
      </c>
      <c r="N156" s="22" t="n"/>
      <c r="O156" s="23">
        <f>IF(H156="","",H156-N156)</f>
        <v/>
      </c>
      <c r="P156" s="25">
        <f>IF(OR(M156="",O156=""),"",IF(O156&lt;=0,0,MAX(0,Paramètres!$B$4-M156)))</f>
        <v/>
      </c>
      <c r="Q156" s="25">
        <f>IF(H156="","",IF(O156&lt;=0,"Payée",IF(M156="","Pas encore livrée",IF(P156=0,"Non échue",IF(P156&gt;=Paramètres!$B$7,"Relance 3 : appel direction",IF(P156&gt;=Paramètres!$B$6,"Relance 2",IF(P156&gt;=Paramètres!$B$5,"Relance 1","Échue, relance à venir")))))))</f>
        <v/>
      </c>
      <c r="R156" s="25">
        <f>IF(B156="","",IF(U156=Paramètres!$B$4,"Relancé aujourd'hui",TRIM(IF(LEFT(Q156,7)="Relance",Q156&amp;" ","")&amp;IF(K156="En retard","· Prévenir du retard de livraison",""))))</f>
        <v/>
      </c>
      <c r="S156" s="28">
        <f>IF(B156="","",IF(LEFT(Q156,9)="Relance 3","Bonjour "&amp;D156&amp;", nous revenons vers vous au sujet de la commande "&amp;A156&amp;" du "&amp;TEXT(B156,"dd/mm/yyyy")&amp;" : "&amp;SUBSTITUTE(TEXT(O156,"#,##0"),","," ")&amp;" FCFA restent à régler depuis le "&amp;TEXT(M156,"dd/mm/yyyy")&amp;". Notre responsable souhaite vous appeler pour convenir ensemble d'une solution. Quel moment vous arrange cette semaine ? "&amp;Paramètres!$B$11&amp;", "&amp;Paramètres!$B$12,IF(LEFT(Q156,7)="Relance","Bonjour "&amp;D156&amp;", sauf erreur de notre part, la commande "&amp;A156&amp;" du "&amp;TEXT(B156,"dd/mm/yyyy")&amp;" ("&amp;E156&amp;") présente un reste à payer de "&amp;SUBSTITUTE(TEXT(O156,"#,##0"),","," ")&amp;" FCFA, échu depuis le "&amp;TEXT(M156,"dd/mm/yyyy")&amp;". Pouvez-vous nous indiquer la date de règlement prévue ? Si le paiement est déjà parti, merci de nous envoyer la preuve et ne tenez pas compte de ce message. "&amp;Paramètres!$B$11&amp;", "&amp;Paramètres!$B$12,IF(K156="En retard","Bonjour "&amp;D156&amp;", votre commande "&amp;A156&amp;" ("&amp;E156&amp;", "&amp;F156&amp;" pièces) prévue le "&amp;TEXT(I156,"dd/mm/yyyy")&amp;" a pris du retard. Nous vous confirmons la nouvelle date de livraison dans la journée. Toutes nos excuses pour ce contretemps. "&amp;Paramètres!$B$11&amp;", "&amp;Paramètres!$B$12,""))))</f>
        <v/>
      </c>
      <c r="T156" s="21" t="n"/>
      <c r="U156" s="26" t="n"/>
      <c r="V156" s="21" t="n"/>
    </row>
    <row r="157">
      <c r="A157" s="21" t="n"/>
      <c r="B157" s="26" t="n"/>
      <c r="C157" s="21" t="n"/>
      <c r="D157" s="25">
        <f>IF(C157="","",IFERROR(VLOOKUP(C157,Revendeurs!$A:$B,2,FALSE),"Code inconnu"))</f>
        <v/>
      </c>
      <c r="E157" s="21" t="n"/>
      <c r="F157" s="21" t="n"/>
      <c r="G157" s="22" t="n"/>
      <c r="H157" s="23">
        <f>IF(OR(F157="",G157=""),"",F157*G157)</f>
        <v/>
      </c>
      <c r="I157" s="26" t="n"/>
      <c r="J157" s="26" t="n"/>
      <c r="K157" s="25">
        <f>IF(B157="","",IF(J157&lt;&gt;"","Livrée",IF(I157="","À planifier",IF(Paramètres!$B$4&gt;I157+Paramètres!$B$8,"En retard","En cours"))))</f>
        <v/>
      </c>
      <c r="L157" s="25">
        <f>IF(K157="En retard",Paramètres!$B$4-I157,"")</f>
        <v/>
      </c>
      <c r="M157" s="27">
        <f>IF(OR(B157="",J157=""),"",J157+IFERROR(IF(VLOOKUP(C157,Revendeurs!$A:$G,7,FALSE)="",Paramètres!$B$9,VLOOKUP(C157,Revendeurs!$A:$G,7,FALSE)),Paramètres!$B$9))</f>
        <v/>
      </c>
      <c r="N157" s="22" t="n"/>
      <c r="O157" s="23">
        <f>IF(H157="","",H157-N157)</f>
        <v/>
      </c>
      <c r="P157" s="25">
        <f>IF(OR(M157="",O157=""),"",IF(O157&lt;=0,0,MAX(0,Paramètres!$B$4-M157)))</f>
        <v/>
      </c>
      <c r="Q157" s="25">
        <f>IF(H157="","",IF(O157&lt;=0,"Payée",IF(M157="","Pas encore livrée",IF(P157=0,"Non échue",IF(P157&gt;=Paramètres!$B$7,"Relance 3 : appel direction",IF(P157&gt;=Paramètres!$B$6,"Relance 2",IF(P157&gt;=Paramètres!$B$5,"Relance 1","Échue, relance à venir")))))))</f>
        <v/>
      </c>
      <c r="R157" s="25">
        <f>IF(B157="","",IF(U157=Paramètres!$B$4,"Relancé aujourd'hui",TRIM(IF(LEFT(Q157,7)="Relance",Q157&amp;" ","")&amp;IF(K157="En retard","· Prévenir du retard de livraison",""))))</f>
        <v/>
      </c>
      <c r="S157" s="28">
        <f>IF(B157="","",IF(LEFT(Q157,9)="Relance 3","Bonjour "&amp;D157&amp;", nous revenons vers vous au sujet de la commande "&amp;A157&amp;" du "&amp;TEXT(B157,"dd/mm/yyyy")&amp;" : "&amp;SUBSTITUTE(TEXT(O157,"#,##0"),","," ")&amp;" FCFA restent à régler depuis le "&amp;TEXT(M157,"dd/mm/yyyy")&amp;". Notre responsable souhaite vous appeler pour convenir ensemble d'une solution. Quel moment vous arrange cette semaine ? "&amp;Paramètres!$B$11&amp;", "&amp;Paramètres!$B$12,IF(LEFT(Q157,7)="Relance","Bonjour "&amp;D157&amp;", sauf erreur de notre part, la commande "&amp;A157&amp;" du "&amp;TEXT(B157,"dd/mm/yyyy")&amp;" ("&amp;E157&amp;") présente un reste à payer de "&amp;SUBSTITUTE(TEXT(O157,"#,##0"),","," ")&amp;" FCFA, échu depuis le "&amp;TEXT(M157,"dd/mm/yyyy")&amp;". Pouvez-vous nous indiquer la date de règlement prévue ? Si le paiement est déjà parti, merci de nous envoyer la preuve et ne tenez pas compte de ce message. "&amp;Paramètres!$B$11&amp;", "&amp;Paramètres!$B$12,IF(K157="En retard","Bonjour "&amp;D157&amp;", votre commande "&amp;A157&amp;" ("&amp;E157&amp;", "&amp;F157&amp;" pièces) prévue le "&amp;TEXT(I157,"dd/mm/yyyy")&amp;" a pris du retard. Nous vous confirmons la nouvelle date de livraison dans la journée. Toutes nos excuses pour ce contretemps. "&amp;Paramètres!$B$11&amp;", "&amp;Paramètres!$B$12,""))))</f>
        <v/>
      </c>
      <c r="T157" s="21" t="n"/>
      <c r="U157" s="26" t="n"/>
      <c r="V157" s="21" t="n"/>
    </row>
    <row r="158">
      <c r="A158" s="21" t="n"/>
      <c r="B158" s="26" t="n"/>
      <c r="C158" s="21" t="n"/>
      <c r="D158" s="25">
        <f>IF(C158="","",IFERROR(VLOOKUP(C158,Revendeurs!$A:$B,2,FALSE),"Code inconnu"))</f>
        <v/>
      </c>
      <c r="E158" s="21" t="n"/>
      <c r="F158" s="21" t="n"/>
      <c r="G158" s="22" t="n"/>
      <c r="H158" s="23">
        <f>IF(OR(F158="",G158=""),"",F158*G158)</f>
        <v/>
      </c>
      <c r="I158" s="26" t="n"/>
      <c r="J158" s="26" t="n"/>
      <c r="K158" s="25">
        <f>IF(B158="","",IF(J158&lt;&gt;"","Livrée",IF(I158="","À planifier",IF(Paramètres!$B$4&gt;I158+Paramètres!$B$8,"En retard","En cours"))))</f>
        <v/>
      </c>
      <c r="L158" s="25">
        <f>IF(K158="En retard",Paramètres!$B$4-I158,"")</f>
        <v/>
      </c>
      <c r="M158" s="27">
        <f>IF(OR(B158="",J158=""),"",J158+IFERROR(IF(VLOOKUP(C158,Revendeurs!$A:$G,7,FALSE)="",Paramètres!$B$9,VLOOKUP(C158,Revendeurs!$A:$G,7,FALSE)),Paramètres!$B$9))</f>
        <v/>
      </c>
      <c r="N158" s="22" t="n"/>
      <c r="O158" s="23">
        <f>IF(H158="","",H158-N158)</f>
        <v/>
      </c>
      <c r="P158" s="25">
        <f>IF(OR(M158="",O158=""),"",IF(O158&lt;=0,0,MAX(0,Paramètres!$B$4-M158)))</f>
        <v/>
      </c>
      <c r="Q158" s="25">
        <f>IF(H158="","",IF(O158&lt;=0,"Payée",IF(M158="","Pas encore livrée",IF(P158=0,"Non échue",IF(P158&gt;=Paramètres!$B$7,"Relance 3 : appel direction",IF(P158&gt;=Paramètres!$B$6,"Relance 2",IF(P158&gt;=Paramètres!$B$5,"Relance 1","Échue, relance à venir")))))))</f>
        <v/>
      </c>
      <c r="R158" s="25">
        <f>IF(B158="","",IF(U158=Paramètres!$B$4,"Relancé aujourd'hui",TRIM(IF(LEFT(Q158,7)="Relance",Q158&amp;" ","")&amp;IF(K158="En retard","· Prévenir du retard de livraison",""))))</f>
        <v/>
      </c>
      <c r="S158" s="28">
        <f>IF(B158="","",IF(LEFT(Q158,9)="Relance 3","Bonjour "&amp;D158&amp;", nous revenons vers vous au sujet de la commande "&amp;A158&amp;" du "&amp;TEXT(B158,"dd/mm/yyyy")&amp;" : "&amp;SUBSTITUTE(TEXT(O158,"#,##0"),","," ")&amp;" FCFA restent à régler depuis le "&amp;TEXT(M158,"dd/mm/yyyy")&amp;". Notre responsable souhaite vous appeler pour convenir ensemble d'une solution. Quel moment vous arrange cette semaine ? "&amp;Paramètres!$B$11&amp;", "&amp;Paramètres!$B$12,IF(LEFT(Q158,7)="Relance","Bonjour "&amp;D158&amp;", sauf erreur de notre part, la commande "&amp;A158&amp;" du "&amp;TEXT(B158,"dd/mm/yyyy")&amp;" ("&amp;E158&amp;") présente un reste à payer de "&amp;SUBSTITUTE(TEXT(O158,"#,##0"),","," ")&amp;" FCFA, échu depuis le "&amp;TEXT(M158,"dd/mm/yyyy")&amp;". Pouvez-vous nous indiquer la date de règlement prévue ? Si le paiement est déjà parti, merci de nous envoyer la preuve et ne tenez pas compte de ce message. "&amp;Paramètres!$B$11&amp;", "&amp;Paramètres!$B$12,IF(K158="En retard","Bonjour "&amp;D158&amp;", votre commande "&amp;A158&amp;" ("&amp;E158&amp;", "&amp;F158&amp;" pièces) prévue le "&amp;TEXT(I158,"dd/mm/yyyy")&amp;" a pris du retard. Nous vous confirmons la nouvelle date de livraison dans la journée. Toutes nos excuses pour ce contretemps. "&amp;Paramètres!$B$11&amp;", "&amp;Paramètres!$B$12,""))))</f>
        <v/>
      </c>
      <c r="T158" s="21" t="n"/>
      <c r="U158" s="26" t="n"/>
      <c r="V158" s="21" t="n"/>
    </row>
    <row r="159">
      <c r="A159" s="21" t="n"/>
      <c r="B159" s="26" t="n"/>
      <c r="C159" s="21" t="n"/>
      <c r="D159" s="25">
        <f>IF(C159="","",IFERROR(VLOOKUP(C159,Revendeurs!$A:$B,2,FALSE),"Code inconnu"))</f>
        <v/>
      </c>
      <c r="E159" s="21" t="n"/>
      <c r="F159" s="21" t="n"/>
      <c r="G159" s="22" t="n"/>
      <c r="H159" s="23">
        <f>IF(OR(F159="",G159=""),"",F159*G159)</f>
        <v/>
      </c>
      <c r="I159" s="26" t="n"/>
      <c r="J159" s="26" t="n"/>
      <c r="K159" s="25">
        <f>IF(B159="","",IF(J159&lt;&gt;"","Livrée",IF(I159="","À planifier",IF(Paramètres!$B$4&gt;I159+Paramètres!$B$8,"En retard","En cours"))))</f>
        <v/>
      </c>
      <c r="L159" s="25">
        <f>IF(K159="En retard",Paramètres!$B$4-I159,"")</f>
        <v/>
      </c>
      <c r="M159" s="27">
        <f>IF(OR(B159="",J159=""),"",J159+IFERROR(IF(VLOOKUP(C159,Revendeurs!$A:$G,7,FALSE)="",Paramètres!$B$9,VLOOKUP(C159,Revendeurs!$A:$G,7,FALSE)),Paramètres!$B$9))</f>
        <v/>
      </c>
      <c r="N159" s="22" t="n"/>
      <c r="O159" s="23">
        <f>IF(H159="","",H159-N159)</f>
        <v/>
      </c>
      <c r="P159" s="25">
        <f>IF(OR(M159="",O159=""),"",IF(O159&lt;=0,0,MAX(0,Paramètres!$B$4-M159)))</f>
        <v/>
      </c>
      <c r="Q159" s="25">
        <f>IF(H159="","",IF(O159&lt;=0,"Payée",IF(M159="","Pas encore livrée",IF(P159=0,"Non échue",IF(P159&gt;=Paramètres!$B$7,"Relance 3 : appel direction",IF(P159&gt;=Paramètres!$B$6,"Relance 2",IF(P159&gt;=Paramètres!$B$5,"Relance 1","Échue, relance à venir")))))))</f>
        <v/>
      </c>
      <c r="R159" s="25">
        <f>IF(B159="","",IF(U159=Paramètres!$B$4,"Relancé aujourd'hui",TRIM(IF(LEFT(Q159,7)="Relance",Q159&amp;" ","")&amp;IF(K159="En retard","· Prévenir du retard de livraison",""))))</f>
        <v/>
      </c>
      <c r="S159" s="28">
        <f>IF(B159="","",IF(LEFT(Q159,9)="Relance 3","Bonjour "&amp;D159&amp;", nous revenons vers vous au sujet de la commande "&amp;A159&amp;" du "&amp;TEXT(B159,"dd/mm/yyyy")&amp;" : "&amp;SUBSTITUTE(TEXT(O159,"#,##0"),","," ")&amp;" FCFA restent à régler depuis le "&amp;TEXT(M159,"dd/mm/yyyy")&amp;". Notre responsable souhaite vous appeler pour convenir ensemble d'une solution. Quel moment vous arrange cette semaine ? "&amp;Paramètres!$B$11&amp;", "&amp;Paramètres!$B$12,IF(LEFT(Q159,7)="Relance","Bonjour "&amp;D159&amp;", sauf erreur de notre part, la commande "&amp;A159&amp;" du "&amp;TEXT(B159,"dd/mm/yyyy")&amp;" ("&amp;E159&amp;") présente un reste à payer de "&amp;SUBSTITUTE(TEXT(O159,"#,##0"),","," ")&amp;" FCFA, échu depuis le "&amp;TEXT(M159,"dd/mm/yyyy")&amp;". Pouvez-vous nous indiquer la date de règlement prévue ? Si le paiement est déjà parti, merci de nous envoyer la preuve et ne tenez pas compte de ce message. "&amp;Paramètres!$B$11&amp;", "&amp;Paramètres!$B$12,IF(K159="En retard","Bonjour "&amp;D159&amp;", votre commande "&amp;A159&amp;" ("&amp;E159&amp;", "&amp;F159&amp;" pièces) prévue le "&amp;TEXT(I159,"dd/mm/yyyy")&amp;" a pris du retard. Nous vous confirmons la nouvelle date de livraison dans la journée. Toutes nos excuses pour ce contretemps. "&amp;Paramètres!$B$11&amp;", "&amp;Paramètres!$B$12,""))))</f>
        <v/>
      </c>
      <c r="T159" s="21" t="n"/>
      <c r="U159" s="26" t="n"/>
      <c r="V159" s="21" t="n"/>
    </row>
    <row r="160">
      <c r="A160" s="21" t="n"/>
      <c r="B160" s="26" t="n"/>
      <c r="C160" s="21" t="n"/>
      <c r="D160" s="25">
        <f>IF(C160="","",IFERROR(VLOOKUP(C160,Revendeurs!$A:$B,2,FALSE),"Code inconnu"))</f>
        <v/>
      </c>
      <c r="E160" s="21" t="n"/>
      <c r="F160" s="21" t="n"/>
      <c r="G160" s="22" t="n"/>
      <c r="H160" s="23">
        <f>IF(OR(F160="",G160=""),"",F160*G160)</f>
        <v/>
      </c>
      <c r="I160" s="26" t="n"/>
      <c r="J160" s="26" t="n"/>
      <c r="K160" s="25">
        <f>IF(B160="","",IF(J160&lt;&gt;"","Livrée",IF(I160="","À planifier",IF(Paramètres!$B$4&gt;I160+Paramètres!$B$8,"En retard","En cours"))))</f>
        <v/>
      </c>
      <c r="L160" s="25">
        <f>IF(K160="En retard",Paramètres!$B$4-I160,"")</f>
        <v/>
      </c>
      <c r="M160" s="27">
        <f>IF(OR(B160="",J160=""),"",J160+IFERROR(IF(VLOOKUP(C160,Revendeurs!$A:$G,7,FALSE)="",Paramètres!$B$9,VLOOKUP(C160,Revendeurs!$A:$G,7,FALSE)),Paramètres!$B$9))</f>
        <v/>
      </c>
      <c r="N160" s="22" t="n"/>
      <c r="O160" s="23">
        <f>IF(H160="","",H160-N160)</f>
        <v/>
      </c>
      <c r="P160" s="25">
        <f>IF(OR(M160="",O160=""),"",IF(O160&lt;=0,0,MAX(0,Paramètres!$B$4-M160)))</f>
        <v/>
      </c>
      <c r="Q160" s="25">
        <f>IF(H160="","",IF(O160&lt;=0,"Payée",IF(M160="","Pas encore livrée",IF(P160=0,"Non échue",IF(P160&gt;=Paramètres!$B$7,"Relance 3 : appel direction",IF(P160&gt;=Paramètres!$B$6,"Relance 2",IF(P160&gt;=Paramètres!$B$5,"Relance 1","Échue, relance à venir")))))))</f>
        <v/>
      </c>
      <c r="R160" s="25">
        <f>IF(B160="","",IF(U160=Paramètres!$B$4,"Relancé aujourd'hui",TRIM(IF(LEFT(Q160,7)="Relance",Q160&amp;" ","")&amp;IF(K160="En retard","· Prévenir du retard de livraison",""))))</f>
        <v/>
      </c>
      <c r="S160" s="28">
        <f>IF(B160="","",IF(LEFT(Q160,9)="Relance 3","Bonjour "&amp;D160&amp;", nous revenons vers vous au sujet de la commande "&amp;A160&amp;" du "&amp;TEXT(B160,"dd/mm/yyyy")&amp;" : "&amp;SUBSTITUTE(TEXT(O160,"#,##0"),","," ")&amp;" FCFA restent à régler depuis le "&amp;TEXT(M160,"dd/mm/yyyy")&amp;". Notre responsable souhaite vous appeler pour convenir ensemble d'une solution. Quel moment vous arrange cette semaine ? "&amp;Paramètres!$B$11&amp;", "&amp;Paramètres!$B$12,IF(LEFT(Q160,7)="Relance","Bonjour "&amp;D160&amp;", sauf erreur de notre part, la commande "&amp;A160&amp;" du "&amp;TEXT(B160,"dd/mm/yyyy")&amp;" ("&amp;E160&amp;") présente un reste à payer de "&amp;SUBSTITUTE(TEXT(O160,"#,##0"),","," ")&amp;" FCFA, échu depuis le "&amp;TEXT(M160,"dd/mm/yyyy")&amp;". Pouvez-vous nous indiquer la date de règlement prévue ? Si le paiement est déjà parti, merci de nous envoyer la preuve et ne tenez pas compte de ce message. "&amp;Paramètres!$B$11&amp;", "&amp;Paramètres!$B$12,IF(K160="En retard","Bonjour "&amp;D160&amp;", votre commande "&amp;A160&amp;" ("&amp;E160&amp;", "&amp;F160&amp;" pièces) prévue le "&amp;TEXT(I160,"dd/mm/yyyy")&amp;" a pris du retard. Nous vous confirmons la nouvelle date de livraison dans la journée. Toutes nos excuses pour ce contretemps. "&amp;Paramètres!$B$11&amp;", "&amp;Paramètres!$B$12,""))))</f>
        <v/>
      </c>
      <c r="T160" s="21" t="n"/>
      <c r="U160" s="26" t="n"/>
      <c r="V160" s="21" t="n"/>
    </row>
    <row r="161">
      <c r="A161" s="21" t="n"/>
      <c r="B161" s="26" t="n"/>
      <c r="C161" s="21" t="n"/>
      <c r="D161" s="25">
        <f>IF(C161="","",IFERROR(VLOOKUP(C161,Revendeurs!$A:$B,2,FALSE),"Code inconnu"))</f>
        <v/>
      </c>
      <c r="E161" s="21" t="n"/>
      <c r="F161" s="21" t="n"/>
      <c r="G161" s="22" t="n"/>
      <c r="H161" s="23">
        <f>IF(OR(F161="",G161=""),"",F161*G161)</f>
        <v/>
      </c>
      <c r="I161" s="26" t="n"/>
      <c r="J161" s="26" t="n"/>
      <c r="K161" s="25">
        <f>IF(B161="","",IF(J161&lt;&gt;"","Livrée",IF(I161="","À planifier",IF(Paramètres!$B$4&gt;I161+Paramètres!$B$8,"En retard","En cours"))))</f>
        <v/>
      </c>
      <c r="L161" s="25">
        <f>IF(K161="En retard",Paramètres!$B$4-I161,"")</f>
        <v/>
      </c>
      <c r="M161" s="27">
        <f>IF(OR(B161="",J161=""),"",J161+IFERROR(IF(VLOOKUP(C161,Revendeurs!$A:$G,7,FALSE)="",Paramètres!$B$9,VLOOKUP(C161,Revendeurs!$A:$G,7,FALSE)),Paramètres!$B$9))</f>
        <v/>
      </c>
      <c r="N161" s="22" t="n"/>
      <c r="O161" s="23">
        <f>IF(H161="","",H161-N161)</f>
        <v/>
      </c>
      <c r="P161" s="25">
        <f>IF(OR(M161="",O161=""),"",IF(O161&lt;=0,0,MAX(0,Paramètres!$B$4-M161)))</f>
        <v/>
      </c>
      <c r="Q161" s="25">
        <f>IF(H161="","",IF(O161&lt;=0,"Payée",IF(M161="","Pas encore livrée",IF(P161=0,"Non échue",IF(P161&gt;=Paramètres!$B$7,"Relance 3 : appel direction",IF(P161&gt;=Paramètres!$B$6,"Relance 2",IF(P161&gt;=Paramètres!$B$5,"Relance 1","Échue, relance à venir")))))))</f>
        <v/>
      </c>
      <c r="R161" s="25">
        <f>IF(B161="","",IF(U161=Paramètres!$B$4,"Relancé aujourd'hui",TRIM(IF(LEFT(Q161,7)="Relance",Q161&amp;" ","")&amp;IF(K161="En retard","· Prévenir du retard de livraison",""))))</f>
        <v/>
      </c>
      <c r="S161" s="28">
        <f>IF(B161="","",IF(LEFT(Q161,9)="Relance 3","Bonjour "&amp;D161&amp;", nous revenons vers vous au sujet de la commande "&amp;A161&amp;" du "&amp;TEXT(B161,"dd/mm/yyyy")&amp;" : "&amp;SUBSTITUTE(TEXT(O161,"#,##0"),","," ")&amp;" FCFA restent à régler depuis le "&amp;TEXT(M161,"dd/mm/yyyy")&amp;". Notre responsable souhaite vous appeler pour convenir ensemble d'une solution. Quel moment vous arrange cette semaine ? "&amp;Paramètres!$B$11&amp;", "&amp;Paramètres!$B$12,IF(LEFT(Q161,7)="Relance","Bonjour "&amp;D161&amp;", sauf erreur de notre part, la commande "&amp;A161&amp;" du "&amp;TEXT(B161,"dd/mm/yyyy")&amp;" ("&amp;E161&amp;") présente un reste à payer de "&amp;SUBSTITUTE(TEXT(O161,"#,##0"),","," ")&amp;" FCFA, échu depuis le "&amp;TEXT(M161,"dd/mm/yyyy")&amp;". Pouvez-vous nous indiquer la date de règlement prévue ? Si le paiement est déjà parti, merci de nous envoyer la preuve et ne tenez pas compte de ce message. "&amp;Paramètres!$B$11&amp;", "&amp;Paramètres!$B$12,IF(K161="En retard","Bonjour "&amp;D161&amp;", votre commande "&amp;A161&amp;" ("&amp;E161&amp;", "&amp;F161&amp;" pièces) prévue le "&amp;TEXT(I161,"dd/mm/yyyy")&amp;" a pris du retard. Nous vous confirmons la nouvelle date de livraison dans la journée. Toutes nos excuses pour ce contretemps. "&amp;Paramètres!$B$11&amp;", "&amp;Paramètres!$B$12,""))))</f>
        <v/>
      </c>
      <c r="T161" s="21" t="n"/>
      <c r="U161" s="26" t="n"/>
      <c r="V161" s="21" t="n"/>
    </row>
    <row r="162">
      <c r="A162" s="21" t="n"/>
      <c r="B162" s="26" t="n"/>
      <c r="C162" s="21" t="n"/>
      <c r="D162" s="25">
        <f>IF(C162="","",IFERROR(VLOOKUP(C162,Revendeurs!$A:$B,2,FALSE),"Code inconnu"))</f>
        <v/>
      </c>
      <c r="E162" s="21" t="n"/>
      <c r="F162" s="21" t="n"/>
      <c r="G162" s="22" t="n"/>
      <c r="H162" s="23">
        <f>IF(OR(F162="",G162=""),"",F162*G162)</f>
        <v/>
      </c>
      <c r="I162" s="26" t="n"/>
      <c r="J162" s="26" t="n"/>
      <c r="K162" s="25">
        <f>IF(B162="","",IF(J162&lt;&gt;"","Livrée",IF(I162="","À planifier",IF(Paramètres!$B$4&gt;I162+Paramètres!$B$8,"En retard","En cours"))))</f>
        <v/>
      </c>
      <c r="L162" s="25">
        <f>IF(K162="En retard",Paramètres!$B$4-I162,"")</f>
        <v/>
      </c>
      <c r="M162" s="27">
        <f>IF(OR(B162="",J162=""),"",J162+IFERROR(IF(VLOOKUP(C162,Revendeurs!$A:$G,7,FALSE)="",Paramètres!$B$9,VLOOKUP(C162,Revendeurs!$A:$G,7,FALSE)),Paramètres!$B$9))</f>
        <v/>
      </c>
      <c r="N162" s="22" t="n"/>
      <c r="O162" s="23">
        <f>IF(H162="","",H162-N162)</f>
        <v/>
      </c>
      <c r="P162" s="25">
        <f>IF(OR(M162="",O162=""),"",IF(O162&lt;=0,0,MAX(0,Paramètres!$B$4-M162)))</f>
        <v/>
      </c>
      <c r="Q162" s="25">
        <f>IF(H162="","",IF(O162&lt;=0,"Payée",IF(M162="","Pas encore livrée",IF(P162=0,"Non échue",IF(P162&gt;=Paramètres!$B$7,"Relance 3 : appel direction",IF(P162&gt;=Paramètres!$B$6,"Relance 2",IF(P162&gt;=Paramètres!$B$5,"Relance 1","Échue, relance à venir")))))))</f>
        <v/>
      </c>
      <c r="R162" s="25">
        <f>IF(B162="","",IF(U162=Paramètres!$B$4,"Relancé aujourd'hui",TRIM(IF(LEFT(Q162,7)="Relance",Q162&amp;" ","")&amp;IF(K162="En retard","· Prévenir du retard de livraison",""))))</f>
        <v/>
      </c>
      <c r="S162" s="28">
        <f>IF(B162="","",IF(LEFT(Q162,9)="Relance 3","Bonjour "&amp;D162&amp;", nous revenons vers vous au sujet de la commande "&amp;A162&amp;" du "&amp;TEXT(B162,"dd/mm/yyyy")&amp;" : "&amp;SUBSTITUTE(TEXT(O162,"#,##0"),","," ")&amp;" FCFA restent à régler depuis le "&amp;TEXT(M162,"dd/mm/yyyy")&amp;". Notre responsable souhaite vous appeler pour convenir ensemble d'une solution. Quel moment vous arrange cette semaine ? "&amp;Paramètres!$B$11&amp;", "&amp;Paramètres!$B$12,IF(LEFT(Q162,7)="Relance","Bonjour "&amp;D162&amp;", sauf erreur de notre part, la commande "&amp;A162&amp;" du "&amp;TEXT(B162,"dd/mm/yyyy")&amp;" ("&amp;E162&amp;") présente un reste à payer de "&amp;SUBSTITUTE(TEXT(O162,"#,##0"),","," ")&amp;" FCFA, échu depuis le "&amp;TEXT(M162,"dd/mm/yyyy")&amp;". Pouvez-vous nous indiquer la date de règlement prévue ? Si le paiement est déjà parti, merci de nous envoyer la preuve et ne tenez pas compte de ce message. "&amp;Paramètres!$B$11&amp;", "&amp;Paramètres!$B$12,IF(K162="En retard","Bonjour "&amp;D162&amp;", votre commande "&amp;A162&amp;" ("&amp;E162&amp;", "&amp;F162&amp;" pièces) prévue le "&amp;TEXT(I162,"dd/mm/yyyy")&amp;" a pris du retard. Nous vous confirmons la nouvelle date de livraison dans la journée. Toutes nos excuses pour ce contretemps. "&amp;Paramètres!$B$11&amp;", "&amp;Paramètres!$B$12,""))))</f>
        <v/>
      </c>
      <c r="T162" s="21" t="n"/>
      <c r="U162" s="26" t="n"/>
      <c r="V162" s="21" t="n"/>
    </row>
    <row r="163">
      <c r="A163" s="21" t="n"/>
      <c r="B163" s="26" t="n"/>
      <c r="C163" s="21" t="n"/>
      <c r="D163" s="25">
        <f>IF(C163="","",IFERROR(VLOOKUP(C163,Revendeurs!$A:$B,2,FALSE),"Code inconnu"))</f>
        <v/>
      </c>
      <c r="E163" s="21" t="n"/>
      <c r="F163" s="21" t="n"/>
      <c r="G163" s="22" t="n"/>
      <c r="H163" s="23">
        <f>IF(OR(F163="",G163=""),"",F163*G163)</f>
        <v/>
      </c>
      <c r="I163" s="26" t="n"/>
      <c r="J163" s="26" t="n"/>
      <c r="K163" s="25">
        <f>IF(B163="","",IF(J163&lt;&gt;"","Livrée",IF(I163="","À planifier",IF(Paramètres!$B$4&gt;I163+Paramètres!$B$8,"En retard","En cours"))))</f>
        <v/>
      </c>
      <c r="L163" s="25">
        <f>IF(K163="En retard",Paramètres!$B$4-I163,"")</f>
        <v/>
      </c>
      <c r="M163" s="27">
        <f>IF(OR(B163="",J163=""),"",J163+IFERROR(IF(VLOOKUP(C163,Revendeurs!$A:$G,7,FALSE)="",Paramètres!$B$9,VLOOKUP(C163,Revendeurs!$A:$G,7,FALSE)),Paramètres!$B$9))</f>
        <v/>
      </c>
      <c r="N163" s="22" t="n"/>
      <c r="O163" s="23">
        <f>IF(H163="","",H163-N163)</f>
        <v/>
      </c>
      <c r="P163" s="25">
        <f>IF(OR(M163="",O163=""),"",IF(O163&lt;=0,0,MAX(0,Paramètres!$B$4-M163)))</f>
        <v/>
      </c>
      <c r="Q163" s="25">
        <f>IF(H163="","",IF(O163&lt;=0,"Payée",IF(M163="","Pas encore livrée",IF(P163=0,"Non échue",IF(P163&gt;=Paramètres!$B$7,"Relance 3 : appel direction",IF(P163&gt;=Paramètres!$B$6,"Relance 2",IF(P163&gt;=Paramètres!$B$5,"Relance 1","Échue, relance à venir")))))))</f>
        <v/>
      </c>
      <c r="R163" s="25">
        <f>IF(B163="","",IF(U163=Paramètres!$B$4,"Relancé aujourd'hui",TRIM(IF(LEFT(Q163,7)="Relance",Q163&amp;" ","")&amp;IF(K163="En retard","· Prévenir du retard de livraison",""))))</f>
        <v/>
      </c>
      <c r="S163" s="28">
        <f>IF(B163="","",IF(LEFT(Q163,9)="Relance 3","Bonjour "&amp;D163&amp;", nous revenons vers vous au sujet de la commande "&amp;A163&amp;" du "&amp;TEXT(B163,"dd/mm/yyyy")&amp;" : "&amp;SUBSTITUTE(TEXT(O163,"#,##0"),","," ")&amp;" FCFA restent à régler depuis le "&amp;TEXT(M163,"dd/mm/yyyy")&amp;". Notre responsable souhaite vous appeler pour convenir ensemble d'une solution. Quel moment vous arrange cette semaine ? "&amp;Paramètres!$B$11&amp;", "&amp;Paramètres!$B$12,IF(LEFT(Q163,7)="Relance","Bonjour "&amp;D163&amp;", sauf erreur de notre part, la commande "&amp;A163&amp;" du "&amp;TEXT(B163,"dd/mm/yyyy")&amp;" ("&amp;E163&amp;") présente un reste à payer de "&amp;SUBSTITUTE(TEXT(O163,"#,##0"),","," ")&amp;" FCFA, échu depuis le "&amp;TEXT(M163,"dd/mm/yyyy")&amp;". Pouvez-vous nous indiquer la date de règlement prévue ? Si le paiement est déjà parti, merci de nous envoyer la preuve et ne tenez pas compte de ce message. "&amp;Paramètres!$B$11&amp;", "&amp;Paramètres!$B$12,IF(K163="En retard","Bonjour "&amp;D163&amp;", votre commande "&amp;A163&amp;" ("&amp;E163&amp;", "&amp;F163&amp;" pièces) prévue le "&amp;TEXT(I163,"dd/mm/yyyy")&amp;" a pris du retard. Nous vous confirmons la nouvelle date de livraison dans la journée. Toutes nos excuses pour ce contretemps. "&amp;Paramètres!$B$11&amp;", "&amp;Paramètres!$B$12,""))))</f>
        <v/>
      </c>
      <c r="T163" s="21" t="n"/>
      <c r="U163" s="26" t="n"/>
      <c r="V163" s="21" t="n"/>
    </row>
    <row r="164">
      <c r="A164" s="21" t="n"/>
      <c r="B164" s="26" t="n"/>
      <c r="C164" s="21" t="n"/>
      <c r="D164" s="25">
        <f>IF(C164="","",IFERROR(VLOOKUP(C164,Revendeurs!$A:$B,2,FALSE),"Code inconnu"))</f>
        <v/>
      </c>
      <c r="E164" s="21" t="n"/>
      <c r="F164" s="21" t="n"/>
      <c r="G164" s="22" t="n"/>
      <c r="H164" s="23">
        <f>IF(OR(F164="",G164=""),"",F164*G164)</f>
        <v/>
      </c>
      <c r="I164" s="26" t="n"/>
      <c r="J164" s="26" t="n"/>
      <c r="K164" s="25">
        <f>IF(B164="","",IF(J164&lt;&gt;"","Livrée",IF(I164="","À planifier",IF(Paramètres!$B$4&gt;I164+Paramètres!$B$8,"En retard","En cours"))))</f>
        <v/>
      </c>
      <c r="L164" s="25">
        <f>IF(K164="En retard",Paramètres!$B$4-I164,"")</f>
        <v/>
      </c>
      <c r="M164" s="27">
        <f>IF(OR(B164="",J164=""),"",J164+IFERROR(IF(VLOOKUP(C164,Revendeurs!$A:$G,7,FALSE)="",Paramètres!$B$9,VLOOKUP(C164,Revendeurs!$A:$G,7,FALSE)),Paramètres!$B$9))</f>
        <v/>
      </c>
      <c r="N164" s="22" t="n"/>
      <c r="O164" s="23">
        <f>IF(H164="","",H164-N164)</f>
        <v/>
      </c>
      <c r="P164" s="25">
        <f>IF(OR(M164="",O164=""),"",IF(O164&lt;=0,0,MAX(0,Paramètres!$B$4-M164)))</f>
        <v/>
      </c>
      <c r="Q164" s="25">
        <f>IF(H164="","",IF(O164&lt;=0,"Payée",IF(M164="","Pas encore livrée",IF(P164=0,"Non échue",IF(P164&gt;=Paramètres!$B$7,"Relance 3 : appel direction",IF(P164&gt;=Paramètres!$B$6,"Relance 2",IF(P164&gt;=Paramètres!$B$5,"Relance 1","Échue, relance à venir")))))))</f>
        <v/>
      </c>
      <c r="R164" s="25">
        <f>IF(B164="","",IF(U164=Paramètres!$B$4,"Relancé aujourd'hui",TRIM(IF(LEFT(Q164,7)="Relance",Q164&amp;" ","")&amp;IF(K164="En retard","· Prévenir du retard de livraison",""))))</f>
        <v/>
      </c>
      <c r="S164" s="28">
        <f>IF(B164="","",IF(LEFT(Q164,9)="Relance 3","Bonjour "&amp;D164&amp;", nous revenons vers vous au sujet de la commande "&amp;A164&amp;" du "&amp;TEXT(B164,"dd/mm/yyyy")&amp;" : "&amp;SUBSTITUTE(TEXT(O164,"#,##0"),","," ")&amp;" FCFA restent à régler depuis le "&amp;TEXT(M164,"dd/mm/yyyy")&amp;". Notre responsable souhaite vous appeler pour convenir ensemble d'une solution. Quel moment vous arrange cette semaine ? "&amp;Paramètres!$B$11&amp;", "&amp;Paramètres!$B$12,IF(LEFT(Q164,7)="Relance","Bonjour "&amp;D164&amp;", sauf erreur de notre part, la commande "&amp;A164&amp;" du "&amp;TEXT(B164,"dd/mm/yyyy")&amp;" ("&amp;E164&amp;") présente un reste à payer de "&amp;SUBSTITUTE(TEXT(O164,"#,##0"),","," ")&amp;" FCFA, échu depuis le "&amp;TEXT(M164,"dd/mm/yyyy")&amp;". Pouvez-vous nous indiquer la date de règlement prévue ? Si le paiement est déjà parti, merci de nous envoyer la preuve et ne tenez pas compte de ce message. "&amp;Paramètres!$B$11&amp;", "&amp;Paramètres!$B$12,IF(K164="En retard","Bonjour "&amp;D164&amp;", votre commande "&amp;A164&amp;" ("&amp;E164&amp;", "&amp;F164&amp;" pièces) prévue le "&amp;TEXT(I164,"dd/mm/yyyy")&amp;" a pris du retard. Nous vous confirmons la nouvelle date de livraison dans la journée. Toutes nos excuses pour ce contretemps. "&amp;Paramètres!$B$11&amp;", "&amp;Paramètres!$B$12,""))))</f>
        <v/>
      </c>
      <c r="T164" s="21" t="n"/>
      <c r="U164" s="26" t="n"/>
      <c r="V164" s="21" t="n"/>
    </row>
    <row r="165">
      <c r="A165" s="21" t="n"/>
      <c r="B165" s="26" t="n"/>
      <c r="C165" s="21" t="n"/>
      <c r="D165" s="25">
        <f>IF(C165="","",IFERROR(VLOOKUP(C165,Revendeurs!$A:$B,2,FALSE),"Code inconnu"))</f>
        <v/>
      </c>
      <c r="E165" s="21" t="n"/>
      <c r="F165" s="21" t="n"/>
      <c r="G165" s="22" t="n"/>
      <c r="H165" s="23">
        <f>IF(OR(F165="",G165=""),"",F165*G165)</f>
        <v/>
      </c>
      <c r="I165" s="26" t="n"/>
      <c r="J165" s="26" t="n"/>
      <c r="K165" s="25">
        <f>IF(B165="","",IF(J165&lt;&gt;"","Livrée",IF(I165="","À planifier",IF(Paramètres!$B$4&gt;I165+Paramètres!$B$8,"En retard","En cours"))))</f>
        <v/>
      </c>
      <c r="L165" s="25">
        <f>IF(K165="En retard",Paramètres!$B$4-I165,"")</f>
        <v/>
      </c>
      <c r="M165" s="27">
        <f>IF(OR(B165="",J165=""),"",J165+IFERROR(IF(VLOOKUP(C165,Revendeurs!$A:$G,7,FALSE)="",Paramètres!$B$9,VLOOKUP(C165,Revendeurs!$A:$G,7,FALSE)),Paramètres!$B$9))</f>
        <v/>
      </c>
      <c r="N165" s="22" t="n"/>
      <c r="O165" s="23">
        <f>IF(H165="","",H165-N165)</f>
        <v/>
      </c>
      <c r="P165" s="25">
        <f>IF(OR(M165="",O165=""),"",IF(O165&lt;=0,0,MAX(0,Paramètres!$B$4-M165)))</f>
        <v/>
      </c>
      <c r="Q165" s="25">
        <f>IF(H165="","",IF(O165&lt;=0,"Payée",IF(M165="","Pas encore livrée",IF(P165=0,"Non échue",IF(P165&gt;=Paramètres!$B$7,"Relance 3 : appel direction",IF(P165&gt;=Paramètres!$B$6,"Relance 2",IF(P165&gt;=Paramètres!$B$5,"Relance 1","Échue, relance à venir")))))))</f>
        <v/>
      </c>
      <c r="R165" s="25">
        <f>IF(B165="","",IF(U165=Paramètres!$B$4,"Relancé aujourd'hui",TRIM(IF(LEFT(Q165,7)="Relance",Q165&amp;" ","")&amp;IF(K165="En retard","· Prévenir du retard de livraison",""))))</f>
        <v/>
      </c>
      <c r="S165" s="28">
        <f>IF(B165="","",IF(LEFT(Q165,9)="Relance 3","Bonjour "&amp;D165&amp;", nous revenons vers vous au sujet de la commande "&amp;A165&amp;" du "&amp;TEXT(B165,"dd/mm/yyyy")&amp;" : "&amp;SUBSTITUTE(TEXT(O165,"#,##0"),","," ")&amp;" FCFA restent à régler depuis le "&amp;TEXT(M165,"dd/mm/yyyy")&amp;". Notre responsable souhaite vous appeler pour convenir ensemble d'une solution. Quel moment vous arrange cette semaine ? "&amp;Paramètres!$B$11&amp;", "&amp;Paramètres!$B$12,IF(LEFT(Q165,7)="Relance","Bonjour "&amp;D165&amp;", sauf erreur de notre part, la commande "&amp;A165&amp;" du "&amp;TEXT(B165,"dd/mm/yyyy")&amp;" ("&amp;E165&amp;") présente un reste à payer de "&amp;SUBSTITUTE(TEXT(O165,"#,##0"),","," ")&amp;" FCFA, échu depuis le "&amp;TEXT(M165,"dd/mm/yyyy")&amp;". Pouvez-vous nous indiquer la date de règlement prévue ? Si le paiement est déjà parti, merci de nous envoyer la preuve et ne tenez pas compte de ce message. "&amp;Paramètres!$B$11&amp;", "&amp;Paramètres!$B$12,IF(K165="En retard","Bonjour "&amp;D165&amp;", votre commande "&amp;A165&amp;" ("&amp;E165&amp;", "&amp;F165&amp;" pièces) prévue le "&amp;TEXT(I165,"dd/mm/yyyy")&amp;" a pris du retard. Nous vous confirmons la nouvelle date de livraison dans la journée. Toutes nos excuses pour ce contretemps. "&amp;Paramètres!$B$11&amp;", "&amp;Paramètres!$B$12,""))))</f>
        <v/>
      </c>
      <c r="T165" s="21" t="n"/>
      <c r="U165" s="26" t="n"/>
      <c r="V165" s="21" t="n"/>
    </row>
    <row r="166">
      <c r="A166" s="21" t="n"/>
      <c r="B166" s="26" t="n"/>
      <c r="C166" s="21" t="n"/>
      <c r="D166" s="25">
        <f>IF(C166="","",IFERROR(VLOOKUP(C166,Revendeurs!$A:$B,2,FALSE),"Code inconnu"))</f>
        <v/>
      </c>
      <c r="E166" s="21" t="n"/>
      <c r="F166" s="21" t="n"/>
      <c r="G166" s="22" t="n"/>
      <c r="H166" s="23">
        <f>IF(OR(F166="",G166=""),"",F166*G166)</f>
        <v/>
      </c>
      <c r="I166" s="26" t="n"/>
      <c r="J166" s="26" t="n"/>
      <c r="K166" s="25">
        <f>IF(B166="","",IF(J166&lt;&gt;"","Livrée",IF(I166="","À planifier",IF(Paramètres!$B$4&gt;I166+Paramètres!$B$8,"En retard","En cours"))))</f>
        <v/>
      </c>
      <c r="L166" s="25">
        <f>IF(K166="En retard",Paramètres!$B$4-I166,"")</f>
        <v/>
      </c>
      <c r="M166" s="27">
        <f>IF(OR(B166="",J166=""),"",J166+IFERROR(IF(VLOOKUP(C166,Revendeurs!$A:$G,7,FALSE)="",Paramètres!$B$9,VLOOKUP(C166,Revendeurs!$A:$G,7,FALSE)),Paramètres!$B$9))</f>
        <v/>
      </c>
      <c r="N166" s="22" t="n"/>
      <c r="O166" s="23">
        <f>IF(H166="","",H166-N166)</f>
        <v/>
      </c>
      <c r="P166" s="25">
        <f>IF(OR(M166="",O166=""),"",IF(O166&lt;=0,0,MAX(0,Paramètres!$B$4-M166)))</f>
        <v/>
      </c>
      <c r="Q166" s="25">
        <f>IF(H166="","",IF(O166&lt;=0,"Payée",IF(M166="","Pas encore livrée",IF(P166=0,"Non échue",IF(P166&gt;=Paramètres!$B$7,"Relance 3 : appel direction",IF(P166&gt;=Paramètres!$B$6,"Relance 2",IF(P166&gt;=Paramètres!$B$5,"Relance 1","Échue, relance à venir")))))))</f>
        <v/>
      </c>
      <c r="R166" s="25">
        <f>IF(B166="","",IF(U166=Paramètres!$B$4,"Relancé aujourd'hui",TRIM(IF(LEFT(Q166,7)="Relance",Q166&amp;" ","")&amp;IF(K166="En retard","· Prévenir du retard de livraison",""))))</f>
        <v/>
      </c>
      <c r="S166" s="28">
        <f>IF(B166="","",IF(LEFT(Q166,9)="Relance 3","Bonjour "&amp;D166&amp;", nous revenons vers vous au sujet de la commande "&amp;A166&amp;" du "&amp;TEXT(B166,"dd/mm/yyyy")&amp;" : "&amp;SUBSTITUTE(TEXT(O166,"#,##0"),","," ")&amp;" FCFA restent à régler depuis le "&amp;TEXT(M166,"dd/mm/yyyy")&amp;". Notre responsable souhaite vous appeler pour convenir ensemble d'une solution. Quel moment vous arrange cette semaine ? "&amp;Paramètres!$B$11&amp;", "&amp;Paramètres!$B$12,IF(LEFT(Q166,7)="Relance","Bonjour "&amp;D166&amp;", sauf erreur de notre part, la commande "&amp;A166&amp;" du "&amp;TEXT(B166,"dd/mm/yyyy")&amp;" ("&amp;E166&amp;") présente un reste à payer de "&amp;SUBSTITUTE(TEXT(O166,"#,##0"),","," ")&amp;" FCFA, échu depuis le "&amp;TEXT(M166,"dd/mm/yyyy")&amp;". Pouvez-vous nous indiquer la date de règlement prévue ? Si le paiement est déjà parti, merci de nous envoyer la preuve et ne tenez pas compte de ce message. "&amp;Paramètres!$B$11&amp;", "&amp;Paramètres!$B$12,IF(K166="En retard","Bonjour "&amp;D166&amp;", votre commande "&amp;A166&amp;" ("&amp;E166&amp;", "&amp;F166&amp;" pièces) prévue le "&amp;TEXT(I166,"dd/mm/yyyy")&amp;" a pris du retard. Nous vous confirmons la nouvelle date de livraison dans la journée. Toutes nos excuses pour ce contretemps. "&amp;Paramètres!$B$11&amp;", "&amp;Paramètres!$B$12,""))))</f>
        <v/>
      </c>
      <c r="T166" s="21" t="n"/>
      <c r="U166" s="26" t="n"/>
      <c r="V166" s="21" t="n"/>
    </row>
    <row r="167">
      <c r="A167" s="21" t="n"/>
      <c r="B167" s="26" t="n"/>
      <c r="C167" s="21" t="n"/>
      <c r="D167" s="25">
        <f>IF(C167="","",IFERROR(VLOOKUP(C167,Revendeurs!$A:$B,2,FALSE),"Code inconnu"))</f>
        <v/>
      </c>
      <c r="E167" s="21" t="n"/>
      <c r="F167" s="21" t="n"/>
      <c r="G167" s="22" t="n"/>
      <c r="H167" s="23">
        <f>IF(OR(F167="",G167=""),"",F167*G167)</f>
        <v/>
      </c>
      <c r="I167" s="26" t="n"/>
      <c r="J167" s="26" t="n"/>
      <c r="K167" s="25">
        <f>IF(B167="","",IF(J167&lt;&gt;"","Livrée",IF(I167="","À planifier",IF(Paramètres!$B$4&gt;I167+Paramètres!$B$8,"En retard","En cours"))))</f>
        <v/>
      </c>
      <c r="L167" s="25">
        <f>IF(K167="En retard",Paramètres!$B$4-I167,"")</f>
        <v/>
      </c>
      <c r="M167" s="27">
        <f>IF(OR(B167="",J167=""),"",J167+IFERROR(IF(VLOOKUP(C167,Revendeurs!$A:$G,7,FALSE)="",Paramètres!$B$9,VLOOKUP(C167,Revendeurs!$A:$G,7,FALSE)),Paramètres!$B$9))</f>
        <v/>
      </c>
      <c r="N167" s="22" t="n"/>
      <c r="O167" s="23">
        <f>IF(H167="","",H167-N167)</f>
        <v/>
      </c>
      <c r="P167" s="25">
        <f>IF(OR(M167="",O167=""),"",IF(O167&lt;=0,0,MAX(0,Paramètres!$B$4-M167)))</f>
        <v/>
      </c>
      <c r="Q167" s="25">
        <f>IF(H167="","",IF(O167&lt;=0,"Payée",IF(M167="","Pas encore livrée",IF(P167=0,"Non échue",IF(P167&gt;=Paramètres!$B$7,"Relance 3 : appel direction",IF(P167&gt;=Paramètres!$B$6,"Relance 2",IF(P167&gt;=Paramètres!$B$5,"Relance 1","Échue, relance à venir")))))))</f>
        <v/>
      </c>
      <c r="R167" s="25">
        <f>IF(B167="","",IF(U167=Paramètres!$B$4,"Relancé aujourd'hui",TRIM(IF(LEFT(Q167,7)="Relance",Q167&amp;" ","")&amp;IF(K167="En retard","· Prévenir du retard de livraison",""))))</f>
        <v/>
      </c>
      <c r="S167" s="28">
        <f>IF(B167="","",IF(LEFT(Q167,9)="Relance 3","Bonjour "&amp;D167&amp;", nous revenons vers vous au sujet de la commande "&amp;A167&amp;" du "&amp;TEXT(B167,"dd/mm/yyyy")&amp;" : "&amp;SUBSTITUTE(TEXT(O167,"#,##0"),","," ")&amp;" FCFA restent à régler depuis le "&amp;TEXT(M167,"dd/mm/yyyy")&amp;". Notre responsable souhaite vous appeler pour convenir ensemble d'une solution. Quel moment vous arrange cette semaine ? "&amp;Paramètres!$B$11&amp;", "&amp;Paramètres!$B$12,IF(LEFT(Q167,7)="Relance","Bonjour "&amp;D167&amp;", sauf erreur de notre part, la commande "&amp;A167&amp;" du "&amp;TEXT(B167,"dd/mm/yyyy")&amp;" ("&amp;E167&amp;") présente un reste à payer de "&amp;SUBSTITUTE(TEXT(O167,"#,##0"),","," ")&amp;" FCFA, échu depuis le "&amp;TEXT(M167,"dd/mm/yyyy")&amp;". Pouvez-vous nous indiquer la date de règlement prévue ? Si le paiement est déjà parti, merci de nous envoyer la preuve et ne tenez pas compte de ce message. "&amp;Paramètres!$B$11&amp;", "&amp;Paramètres!$B$12,IF(K167="En retard","Bonjour "&amp;D167&amp;", votre commande "&amp;A167&amp;" ("&amp;E167&amp;", "&amp;F167&amp;" pièces) prévue le "&amp;TEXT(I167,"dd/mm/yyyy")&amp;" a pris du retard. Nous vous confirmons la nouvelle date de livraison dans la journée. Toutes nos excuses pour ce contretemps. "&amp;Paramètres!$B$11&amp;", "&amp;Paramètres!$B$12,""))))</f>
        <v/>
      </c>
      <c r="T167" s="21" t="n"/>
      <c r="U167" s="26" t="n"/>
      <c r="V167" s="21" t="n"/>
    </row>
    <row r="168">
      <c r="A168" s="21" t="n"/>
      <c r="B168" s="26" t="n"/>
      <c r="C168" s="21" t="n"/>
      <c r="D168" s="25">
        <f>IF(C168="","",IFERROR(VLOOKUP(C168,Revendeurs!$A:$B,2,FALSE),"Code inconnu"))</f>
        <v/>
      </c>
      <c r="E168" s="21" t="n"/>
      <c r="F168" s="21" t="n"/>
      <c r="G168" s="22" t="n"/>
      <c r="H168" s="23">
        <f>IF(OR(F168="",G168=""),"",F168*G168)</f>
        <v/>
      </c>
      <c r="I168" s="26" t="n"/>
      <c r="J168" s="26" t="n"/>
      <c r="K168" s="25">
        <f>IF(B168="","",IF(J168&lt;&gt;"","Livrée",IF(I168="","À planifier",IF(Paramètres!$B$4&gt;I168+Paramètres!$B$8,"En retard","En cours"))))</f>
        <v/>
      </c>
      <c r="L168" s="25">
        <f>IF(K168="En retard",Paramètres!$B$4-I168,"")</f>
        <v/>
      </c>
      <c r="M168" s="27">
        <f>IF(OR(B168="",J168=""),"",J168+IFERROR(IF(VLOOKUP(C168,Revendeurs!$A:$G,7,FALSE)="",Paramètres!$B$9,VLOOKUP(C168,Revendeurs!$A:$G,7,FALSE)),Paramètres!$B$9))</f>
        <v/>
      </c>
      <c r="N168" s="22" t="n"/>
      <c r="O168" s="23">
        <f>IF(H168="","",H168-N168)</f>
        <v/>
      </c>
      <c r="P168" s="25">
        <f>IF(OR(M168="",O168=""),"",IF(O168&lt;=0,0,MAX(0,Paramètres!$B$4-M168)))</f>
        <v/>
      </c>
      <c r="Q168" s="25">
        <f>IF(H168="","",IF(O168&lt;=0,"Payée",IF(M168="","Pas encore livrée",IF(P168=0,"Non échue",IF(P168&gt;=Paramètres!$B$7,"Relance 3 : appel direction",IF(P168&gt;=Paramètres!$B$6,"Relance 2",IF(P168&gt;=Paramètres!$B$5,"Relance 1","Échue, relance à venir")))))))</f>
        <v/>
      </c>
      <c r="R168" s="25">
        <f>IF(B168="","",IF(U168=Paramètres!$B$4,"Relancé aujourd'hui",TRIM(IF(LEFT(Q168,7)="Relance",Q168&amp;" ","")&amp;IF(K168="En retard","· Prévenir du retard de livraison",""))))</f>
        <v/>
      </c>
      <c r="S168" s="28">
        <f>IF(B168="","",IF(LEFT(Q168,9)="Relance 3","Bonjour "&amp;D168&amp;", nous revenons vers vous au sujet de la commande "&amp;A168&amp;" du "&amp;TEXT(B168,"dd/mm/yyyy")&amp;" : "&amp;SUBSTITUTE(TEXT(O168,"#,##0"),","," ")&amp;" FCFA restent à régler depuis le "&amp;TEXT(M168,"dd/mm/yyyy")&amp;". Notre responsable souhaite vous appeler pour convenir ensemble d'une solution. Quel moment vous arrange cette semaine ? "&amp;Paramètres!$B$11&amp;", "&amp;Paramètres!$B$12,IF(LEFT(Q168,7)="Relance","Bonjour "&amp;D168&amp;", sauf erreur de notre part, la commande "&amp;A168&amp;" du "&amp;TEXT(B168,"dd/mm/yyyy")&amp;" ("&amp;E168&amp;") présente un reste à payer de "&amp;SUBSTITUTE(TEXT(O168,"#,##0"),","," ")&amp;" FCFA, échu depuis le "&amp;TEXT(M168,"dd/mm/yyyy")&amp;". Pouvez-vous nous indiquer la date de règlement prévue ? Si le paiement est déjà parti, merci de nous envoyer la preuve et ne tenez pas compte de ce message. "&amp;Paramètres!$B$11&amp;", "&amp;Paramètres!$B$12,IF(K168="En retard","Bonjour "&amp;D168&amp;", votre commande "&amp;A168&amp;" ("&amp;E168&amp;", "&amp;F168&amp;" pièces) prévue le "&amp;TEXT(I168,"dd/mm/yyyy")&amp;" a pris du retard. Nous vous confirmons la nouvelle date de livraison dans la journée. Toutes nos excuses pour ce contretemps. "&amp;Paramètres!$B$11&amp;", "&amp;Paramètres!$B$12,""))))</f>
        <v/>
      </c>
      <c r="T168" s="21" t="n"/>
      <c r="U168" s="26" t="n"/>
      <c r="V168" s="21" t="n"/>
    </row>
    <row r="169">
      <c r="A169" s="21" t="n"/>
      <c r="B169" s="26" t="n"/>
      <c r="C169" s="21" t="n"/>
      <c r="D169" s="25">
        <f>IF(C169="","",IFERROR(VLOOKUP(C169,Revendeurs!$A:$B,2,FALSE),"Code inconnu"))</f>
        <v/>
      </c>
      <c r="E169" s="21" t="n"/>
      <c r="F169" s="21" t="n"/>
      <c r="G169" s="22" t="n"/>
      <c r="H169" s="23">
        <f>IF(OR(F169="",G169=""),"",F169*G169)</f>
        <v/>
      </c>
      <c r="I169" s="26" t="n"/>
      <c r="J169" s="26" t="n"/>
      <c r="K169" s="25">
        <f>IF(B169="","",IF(J169&lt;&gt;"","Livrée",IF(I169="","À planifier",IF(Paramètres!$B$4&gt;I169+Paramètres!$B$8,"En retard","En cours"))))</f>
        <v/>
      </c>
      <c r="L169" s="25">
        <f>IF(K169="En retard",Paramètres!$B$4-I169,"")</f>
        <v/>
      </c>
      <c r="M169" s="27">
        <f>IF(OR(B169="",J169=""),"",J169+IFERROR(IF(VLOOKUP(C169,Revendeurs!$A:$G,7,FALSE)="",Paramètres!$B$9,VLOOKUP(C169,Revendeurs!$A:$G,7,FALSE)),Paramètres!$B$9))</f>
        <v/>
      </c>
      <c r="N169" s="22" t="n"/>
      <c r="O169" s="23">
        <f>IF(H169="","",H169-N169)</f>
        <v/>
      </c>
      <c r="P169" s="25">
        <f>IF(OR(M169="",O169=""),"",IF(O169&lt;=0,0,MAX(0,Paramètres!$B$4-M169)))</f>
        <v/>
      </c>
      <c r="Q169" s="25">
        <f>IF(H169="","",IF(O169&lt;=0,"Payée",IF(M169="","Pas encore livrée",IF(P169=0,"Non échue",IF(P169&gt;=Paramètres!$B$7,"Relance 3 : appel direction",IF(P169&gt;=Paramètres!$B$6,"Relance 2",IF(P169&gt;=Paramètres!$B$5,"Relance 1","Échue, relance à venir")))))))</f>
        <v/>
      </c>
      <c r="R169" s="25">
        <f>IF(B169="","",IF(U169=Paramètres!$B$4,"Relancé aujourd'hui",TRIM(IF(LEFT(Q169,7)="Relance",Q169&amp;" ","")&amp;IF(K169="En retard","· Prévenir du retard de livraison",""))))</f>
        <v/>
      </c>
      <c r="S169" s="28">
        <f>IF(B169="","",IF(LEFT(Q169,9)="Relance 3","Bonjour "&amp;D169&amp;", nous revenons vers vous au sujet de la commande "&amp;A169&amp;" du "&amp;TEXT(B169,"dd/mm/yyyy")&amp;" : "&amp;SUBSTITUTE(TEXT(O169,"#,##0"),","," ")&amp;" FCFA restent à régler depuis le "&amp;TEXT(M169,"dd/mm/yyyy")&amp;". Notre responsable souhaite vous appeler pour convenir ensemble d'une solution. Quel moment vous arrange cette semaine ? "&amp;Paramètres!$B$11&amp;", "&amp;Paramètres!$B$12,IF(LEFT(Q169,7)="Relance","Bonjour "&amp;D169&amp;", sauf erreur de notre part, la commande "&amp;A169&amp;" du "&amp;TEXT(B169,"dd/mm/yyyy")&amp;" ("&amp;E169&amp;") présente un reste à payer de "&amp;SUBSTITUTE(TEXT(O169,"#,##0"),","," ")&amp;" FCFA, échu depuis le "&amp;TEXT(M169,"dd/mm/yyyy")&amp;". Pouvez-vous nous indiquer la date de règlement prévue ? Si le paiement est déjà parti, merci de nous envoyer la preuve et ne tenez pas compte de ce message. "&amp;Paramètres!$B$11&amp;", "&amp;Paramètres!$B$12,IF(K169="En retard","Bonjour "&amp;D169&amp;", votre commande "&amp;A169&amp;" ("&amp;E169&amp;", "&amp;F169&amp;" pièces) prévue le "&amp;TEXT(I169,"dd/mm/yyyy")&amp;" a pris du retard. Nous vous confirmons la nouvelle date de livraison dans la journée. Toutes nos excuses pour ce contretemps. "&amp;Paramètres!$B$11&amp;", "&amp;Paramètres!$B$12,""))))</f>
        <v/>
      </c>
      <c r="T169" s="21" t="n"/>
      <c r="U169" s="26" t="n"/>
      <c r="V169" s="21" t="n"/>
    </row>
    <row r="170">
      <c r="A170" s="21" t="n"/>
      <c r="B170" s="26" t="n"/>
      <c r="C170" s="21" t="n"/>
      <c r="D170" s="25">
        <f>IF(C170="","",IFERROR(VLOOKUP(C170,Revendeurs!$A:$B,2,FALSE),"Code inconnu"))</f>
        <v/>
      </c>
      <c r="E170" s="21" t="n"/>
      <c r="F170" s="21" t="n"/>
      <c r="G170" s="22" t="n"/>
      <c r="H170" s="23">
        <f>IF(OR(F170="",G170=""),"",F170*G170)</f>
        <v/>
      </c>
      <c r="I170" s="26" t="n"/>
      <c r="J170" s="26" t="n"/>
      <c r="K170" s="25">
        <f>IF(B170="","",IF(J170&lt;&gt;"","Livrée",IF(I170="","À planifier",IF(Paramètres!$B$4&gt;I170+Paramètres!$B$8,"En retard","En cours"))))</f>
        <v/>
      </c>
      <c r="L170" s="25">
        <f>IF(K170="En retard",Paramètres!$B$4-I170,"")</f>
        <v/>
      </c>
      <c r="M170" s="27">
        <f>IF(OR(B170="",J170=""),"",J170+IFERROR(IF(VLOOKUP(C170,Revendeurs!$A:$G,7,FALSE)="",Paramètres!$B$9,VLOOKUP(C170,Revendeurs!$A:$G,7,FALSE)),Paramètres!$B$9))</f>
        <v/>
      </c>
      <c r="N170" s="22" t="n"/>
      <c r="O170" s="23">
        <f>IF(H170="","",H170-N170)</f>
        <v/>
      </c>
      <c r="P170" s="25">
        <f>IF(OR(M170="",O170=""),"",IF(O170&lt;=0,0,MAX(0,Paramètres!$B$4-M170)))</f>
        <v/>
      </c>
      <c r="Q170" s="25">
        <f>IF(H170="","",IF(O170&lt;=0,"Payée",IF(M170="","Pas encore livrée",IF(P170=0,"Non échue",IF(P170&gt;=Paramètres!$B$7,"Relance 3 : appel direction",IF(P170&gt;=Paramètres!$B$6,"Relance 2",IF(P170&gt;=Paramètres!$B$5,"Relance 1","Échue, relance à venir")))))))</f>
        <v/>
      </c>
      <c r="R170" s="25">
        <f>IF(B170="","",IF(U170=Paramètres!$B$4,"Relancé aujourd'hui",TRIM(IF(LEFT(Q170,7)="Relance",Q170&amp;" ","")&amp;IF(K170="En retard","· Prévenir du retard de livraison",""))))</f>
        <v/>
      </c>
      <c r="S170" s="28">
        <f>IF(B170="","",IF(LEFT(Q170,9)="Relance 3","Bonjour "&amp;D170&amp;", nous revenons vers vous au sujet de la commande "&amp;A170&amp;" du "&amp;TEXT(B170,"dd/mm/yyyy")&amp;" : "&amp;SUBSTITUTE(TEXT(O170,"#,##0"),","," ")&amp;" FCFA restent à régler depuis le "&amp;TEXT(M170,"dd/mm/yyyy")&amp;". Notre responsable souhaite vous appeler pour convenir ensemble d'une solution. Quel moment vous arrange cette semaine ? "&amp;Paramètres!$B$11&amp;", "&amp;Paramètres!$B$12,IF(LEFT(Q170,7)="Relance","Bonjour "&amp;D170&amp;", sauf erreur de notre part, la commande "&amp;A170&amp;" du "&amp;TEXT(B170,"dd/mm/yyyy")&amp;" ("&amp;E170&amp;") présente un reste à payer de "&amp;SUBSTITUTE(TEXT(O170,"#,##0"),","," ")&amp;" FCFA, échu depuis le "&amp;TEXT(M170,"dd/mm/yyyy")&amp;". Pouvez-vous nous indiquer la date de règlement prévue ? Si le paiement est déjà parti, merci de nous envoyer la preuve et ne tenez pas compte de ce message. "&amp;Paramètres!$B$11&amp;", "&amp;Paramètres!$B$12,IF(K170="En retard","Bonjour "&amp;D170&amp;", votre commande "&amp;A170&amp;" ("&amp;E170&amp;", "&amp;F170&amp;" pièces) prévue le "&amp;TEXT(I170,"dd/mm/yyyy")&amp;" a pris du retard. Nous vous confirmons la nouvelle date de livraison dans la journée. Toutes nos excuses pour ce contretemps. "&amp;Paramètres!$B$11&amp;", "&amp;Paramètres!$B$12,""))))</f>
        <v/>
      </c>
      <c r="T170" s="21" t="n"/>
      <c r="U170" s="26" t="n"/>
      <c r="V170" s="21" t="n"/>
    </row>
    <row r="171">
      <c r="A171" s="21" t="n"/>
      <c r="B171" s="26" t="n"/>
      <c r="C171" s="21" t="n"/>
      <c r="D171" s="25">
        <f>IF(C171="","",IFERROR(VLOOKUP(C171,Revendeurs!$A:$B,2,FALSE),"Code inconnu"))</f>
        <v/>
      </c>
      <c r="E171" s="21" t="n"/>
      <c r="F171" s="21" t="n"/>
      <c r="G171" s="22" t="n"/>
      <c r="H171" s="23">
        <f>IF(OR(F171="",G171=""),"",F171*G171)</f>
        <v/>
      </c>
      <c r="I171" s="26" t="n"/>
      <c r="J171" s="26" t="n"/>
      <c r="K171" s="25">
        <f>IF(B171="","",IF(J171&lt;&gt;"","Livrée",IF(I171="","À planifier",IF(Paramètres!$B$4&gt;I171+Paramètres!$B$8,"En retard","En cours"))))</f>
        <v/>
      </c>
      <c r="L171" s="25">
        <f>IF(K171="En retard",Paramètres!$B$4-I171,"")</f>
        <v/>
      </c>
      <c r="M171" s="27">
        <f>IF(OR(B171="",J171=""),"",J171+IFERROR(IF(VLOOKUP(C171,Revendeurs!$A:$G,7,FALSE)="",Paramètres!$B$9,VLOOKUP(C171,Revendeurs!$A:$G,7,FALSE)),Paramètres!$B$9))</f>
        <v/>
      </c>
      <c r="N171" s="22" t="n"/>
      <c r="O171" s="23">
        <f>IF(H171="","",H171-N171)</f>
        <v/>
      </c>
      <c r="P171" s="25">
        <f>IF(OR(M171="",O171=""),"",IF(O171&lt;=0,0,MAX(0,Paramètres!$B$4-M171)))</f>
        <v/>
      </c>
      <c r="Q171" s="25">
        <f>IF(H171="","",IF(O171&lt;=0,"Payée",IF(M171="","Pas encore livrée",IF(P171=0,"Non échue",IF(P171&gt;=Paramètres!$B$7,"Relance 3 : appel direction",IF(P171&gt;=Paramètres!$B$6,"Relance 2",IF(P171&gt;=Paramètres!$B$5,"Relance 1","Échue, relance à venir")))))))</f>
        <v/>
      </c>
      <c r="R171" s="25">
        <f>IF(B171="","",IF(U171=Paramètres!$B$4,"Relancé aujourd'hui",TRIM(IF(LEFT(Q171,7)="Relance",Q171&amp;" ","")&amp;IF(K171="En retard","· Prévenir du retard de livraison",""))))</f>
        <v/>
      </c>
      <c r="S171" s="28">
        <f>IF(B171="","",IF(LEFT(Q171,9)="Relance 3","Bonjour "&amp;D171&amp;", nous revenons vers vous au sujet de la commande "&amp;A171&amp;" du "&amp;TEXT(B171,"dd/mm/yyyy")&amp;" : "&amp;SUBSTITUTE(TEXT(O171,"#,##0"),","," ")&amp;" FCFA restent à régler depuis le "&amp;TEXT(M171,"dd/mm/yyyy")&amp;". Notre responsable souhaite vous appeler pour convenir ensemble d'une solution. Quel moment vous arrange cette semaine ? "&amp;Paramètres!$B$11&amp;", "&amp;Paramètres!$B$12,IF(LEFT(Q171,7)="Relance","Bonjour "&amp;D171&amp;", sauf erreur de notre part, la commande "&amp;A171&amp;" du "&amp;TEXT(B171,"dd/mm/yyyy")&amp;" ("&amp;E171&amp;") présente un reste à payer de "&amp;SUBSTITUTE(TEXT(O171,"#,##0"),","," ")&amp;" FCFA, échu depuis le "&amp;TEXT(M171,"dd/mm/yyyy")&amp;". Pouvez-vous nous indiquer la date de règlement prévue ? Si le paiement est déjà parti, merci de nous envoyer la preuve et ne tenez pas compte de ce message. "&amp;Paramètres!$B$11&amp;", "&amp;Paramètres!$B$12,IF(K171="En retard","Bonjour "&amp;D171&amp;", votre commande "&amp;A171&amp;" ("&amp;E171&amp;", "&amp;F171&amp;" pièces) prévue le "&amp;TEXT(I171,"dd/mm/yyyy")&amp;" a pris du retard. Nous vous confirmons la nouvelle date de livraison dans la journée. Toutes nos excuses pour ce contretemps. "&amp;Paramètres!$B$11&amp;", "&amp;Paramètres!$B$12,""))))</f>
        <v/>
      </c>
      <c r="T171" s="21" t="n"/>
      <c r="U171" s="26" t="n"/>
      <c r="V171" s="21" t="n"/>
    </row>
    <row r="172">
      <c r="A172" s="21" t="n"/>
      <c r="B172" s="26" t="n"/>
      <c r="C172" s="21" t="n"/>
      <c r="D172" s="25">
        <f>IF(C172="","",IFERROR(VLOOKUP(C172,Revendeurs!$A:$B,2,FALSE),"Code inconnu"))</f>
        <v/>
      </c>
      <c r="E172" s="21" t="n"/>
      <c r="F172" s="21" t="n"/>
      <c r="G172" s="22" t="n"/>
      <c r="H172" s="23">
        <f>IF(OR(F172="",G172=""),"",F172*G172)</f>
        <v/>
      </c>
      <c r="I172" s="26" t="n"/>
      <c r="J172" s="26" t="n"/>
      <c r="K172" s="25">
        <f>IF(B172="","",IF(J172&lt;&gt;"","Livrée",IF(I172="","À planifier",IF(Paramètres!$B$4&gt;I172+Paramètres!$B$8,"En retard","En cours"))))</f>
        <v/>
      </c>
      <c r="L172" s="25">
        <f>IF(K172="En retard",Paramètres!$B$4-I172,"")</f>
        <v/>
      </c>
      <c r="M172" s="27">
        <f>IF(OR(B172="",J172=""),"",J172+IFERROR(IF(VLOOKUP(C172,Revendeurs!$A:$G,7,FALSE)="",Paramètres!$B$9,VLOOKUP(C172,Revendeurs!$A:$G,7,FALSE)),Paramètres!$B$9))</f>
        <v/>
      </c>
      <c r="N172" s="22" t="n"/>
      <c r="O172" s="23">
        <f>IF(H172="","",H172-N172)</f>
        <v/>
      </c>
      <c r="P172" s="25">
        <f>IF(OR(M172="",O172=""),"",IF(O172&lt;=0,0,MAX(0,Paramètres!$B$4-M172)))</f>
        <v/>
      </c>
      <c r="Q172" s="25">
        <f>IF(H172="","",IF(O172&lt;=0,"Payée",IF(M172="","Pas encore livrée",IF(P172=0,"Non échue",IF(P172&gt;=Paramètres!$B$7,"Relance 3 : appel direction",IF(P172&gt;=Paramètres!$B$6,"Relance 2",IF(P172&gt;=Paramètres!$B$5,"Relance 1","Échue, relance à venir")))))))</f>
        <v/>
      </c>
      <c r="R172" s="25">
        <f>IF(B172="","",IF(U172=Paramètres!$B$4,"Relancé aujourd'hui",TRIM(IF(LEFT(Q172,7)="Relance",Q172&amp;" ","")&amp;IF(K172="En retard","· Prévenir du retard de livraison",""))))</f>
        <v/>
      </c>
      <c r="S172" s="28">
        <f>IF(B172="","",IF(LEFT(Q172,9)="Relance 3","Bonjour "&amp;D172&amp;", nous revenons vers vous au sujet de la commande "&amp;A172&amp;" du "&amp;TEXT(B172,"dd/mm/yyyy")&amp;" : "&amp;SUBSTITUTE(TEXT(O172,"#,##0"),","," ")&amp;" FCFA restent à régler depuis le "&amp;TEXT(M172,"dd/mm/yyyy")&amp;". Notre responsable souhaite vous appeler pour convenir ensemble d'une solution. Quel moment vous arrange cette semaine ? "&amp;Paramètres!$B$11&amp;", "&amp;Paramètres!$B$12,IF(LEFT(Q172,7)="Relance","Bonjour "&amp;D172&amp;", sauf erreur de notre part, la commande "&amp;A172&amp;" du "&amp;TEXT(B172,"dd/mm/yyyy")&amp;" ("&amp;E172&amp;") présente un reste à payer de "&amp;SUBSTITUTE(TEXT(O172,"#,##0"),","," ")&amp;" FCFA, échu depuis le "&amp;TEXT(M172,"dd/mm/yyyy")&amp;". Pouvez-vous nous indiquer la date de règlement prévue ? Si le paiement est déjà parti, merci de nous envoyer la preuve et ne tenez pas compte de ce message. "&amp;Paramètres!$B$11&amp;", "&amp;Paramètres!$B$12,IF(K172="En retard","Bonjour "&amp;D172&amp;", votre commande "&amp;A172&amp;" ("&amp;E172&amp;", "&amp;F172&amp;" pièces) prévue le "&amp;TEXT(I172,"dd/mm/yyyy")&amp;" a pris du retard. Nous vous confirmons la nouvelle date de livraison dans la journée. Toutes nos excuses pour ce contretemps. "&amp;Paramètres!$B$11&amp;", "&amp;Paramètres!$B$12,""))))</f>
        <v/>
      </c>
      <c r="T172" s="21" t="n"/>
      <c r="U172" s="26" t="n"/>
      <c r="V172" s="21" t="n"/>
    </row>
    <row r="173">
      <c r="A173" s="21" t="n"/>
      <c r="B173" s="26" t="n"/>
      <c r="C173" s="21" t="n"/>
      <c r="D173" s="25">
        <f>IF(C173="","",IFERROR(VLOOKUP(C173,Revendeurs!$A:$B,2,FALSE),"Code inconnu"))</f>
        <v/>
      </c>
      <c r="E173" s="21" t="n"/>
      <c r="F173" s="21" t="n"/>
      <c r="G173" s="22" t="n"/>
      <c r="H173" s="23">
        <f>IF(OR(F173="",G173=""),"",F173*G173)</f>
        <v/>
      </c>
      <c r="I173" s="26" t="n"/>
      <c r="J173" s="26" t="n"/>
      <c r="K173" s="25">
        <f>IF(B173="","",IF(J173&lt;&gt;"","Livrée",IF(I173="","À planifier",IF(Paramètres!$B$4&gt;I173+Paramètres!$B$8,"En retard","En cours"))))</f>
        <v/>
      </c>
      <c r="L173" s="25">
        <f>IF(K173="En retard",Paramètres!$B$4-I173,"")</f>
        <v/>
      </c>
      <c r="M173" s="27">
        <f>IF(OR(B173="",J173=""),"",J173+IFERROR(IF(VLOOKUP(C173,Revendeurs!$A:$G,7,FALSE)="",Paramètres!$B$9,VLOOKUP(C173,Revendeurs!$A:$G,7,FALSE)),Paramètres!$B$9))</f>
        <v/>
      </c>
      <c r="N173" s="22" t="n"/>
      <c r="O173" s="23">
        <f>IF(H173="","",H173-N173)</f>
        <v/>
      </c>
      <c r="P173" s="25">
        <f>IF(OR(M173="",O173=""),"",IF(O173&lt;=0,0,MAX(0,Paramètres!$B$4-M173)))</f>
        <v/>
      </c>
      <c r="Q173" s="25">
        <f>IF(H173="","",IF(O173&lt;=0,"Payée",IF(M173="","Pas encore livrée",IF(P173=0,"Non échue",IF(P173&gt;=Paramètres!$B$7,"Relance 3 : appel direction",IF(P173&gt;=Paramètres!$B$6,"Relance 2",IF(P173&gt;=Paramètres!$B$5,"Relance 1","Échue, relance à venir")))))))</f>
        <v/>
      </c>
      <c r="R173" s="25">
        <f>IF(B173="","",IF(U173=Paramètres!$B$4,"Relancé aujourd'hui",TRIM(IF(LEFT(Q173,7)="Relance",Q173&amp;" ","")&amp;IF(K173="En retard","· Prévenir du retard de livraison",""))))</f>
        <v/>
      </c>
      <c r="S173" s="28">
        <f>IF(B173="","",IF(LEFT(Q173,9)="Relance 3","Bonjour "&amp;D173&amp;", nous revenons vers vous au sujet de la commande "&amp;A173&amp;" du "&amp;TEXT(B173,"dd/mm/yyyy")&amp;" : "&amp;SUBSTITUTE(TEXT(O173,"#,##0"),","," ")&amp;" FCFA restent à régler depuis le "&amp;TEXT(M173,"dd/mm/yyyy")&amp;". Notre responsable souhaite vous appeler pour convenir ensemble d'une solution. Quel moment vous arrange cette semaine ? "&amp;Paramètres!$B$11&amp;", "&amp;Paramètres!$B$12,IF(LEFT(Q173,7)="Relance","Bonjour "&amp;D173&amp;", sauf erreur de notre part, la commande "&amp;A173&amp;" du "&amp;TEXT(B173,"dd/mm/yyyy")&amp;" ("&amp;E173&amp;") présente un reste à payer de "&amp;SUBSTITUTE(TEXT(O173,"#,##0"),","," ")&amp;" FCFA, échu depuis le "&amp;TEXT(M173,"dd/mm/yyyy")&amp;". Pouvez-vous nous indiquer la date de règlement prévue ? Si le paiement est déjà parti, merci de nous envoyer la preuve et ne tenez pas compte de ce message. "&amp;Paramètres!$B$11&amp;", "&amp;Paramètres!$B$12,IF(K173="En retard","Bonjour "&amp;D173&amp;", votre commande "&amp;A173&amp;" ("&amp;E173&amp;", "&amp;F173&amp;" pièces) prévue le "&amp;TEXT(I173,"dd/mm/yyyy")&amp;" a pris du retard. Nous vous confirmons la nouvelle date de livraison dans la journée. Toutes nos excuses pour ce contretemps. "&amp;Paramètres!$B$11&amp;", "&amp;Paramètres!$B$12,""))))</f>
        <v/>
      </c>
      <c r="T173" s="21" t="n"/>
      <c r="U173" s="26" t="n"/>
      <c r="V173" s="21" t="n"/>
    </row>
    <row r="174">
      <c r="A174" s="21" t="n"/>
      <c r="B174" s="26" t="n"/>
      <c r="C174" s="21" t="n"/>
      <c r="D174" s="25">
        <f>IF(C174="","",IFERROR(VLOOKUP(C174,Revendeurs!$A:$B,2,FALSE),"Code inconnu"))</f>
        <v/>
      </c>
      <c r="E174" s="21" t="n"/>
      <c r="F174" s="21" t="n"/>
      <c r="G174" s="22" t="n"/>
      <c r="H174" s="23">
        <f>IF(OR(F174="",G174=""),"",F174*G174)</f>
        <v/>
      </c>
      <c r="I174" s="26" t="n"/>
      <c r="J174" s="26" t="n"/>
      <c r="K174" s="25">
        <f>IF(B174="","",IF(J174&lt;&gt;"","Livrée",IF(I174="","À planifier",IF(Paramètres!$B$4&gt;I174+Paramètres!$B$8,"En retard","En cours"))))</f>
        <v/>
      </c>
      <c r="L174" s="25">
        <f>IF(K174="En retard",Paramètres!$B$4-I174,"")</f>
        <v/>
      </c>
      <c r="M174" s="27">
        <f>IF(OR(B174="",J174=""),"",J174+IFERROR(IF(VLOOKUP(C174,Revendeurs!$A:$G,7,FALSE)="",Paramètres!$B$9,VLOOKUP(C174,Revendeurs!$A:$G,7,FALSE)),Paramètres!$B$9))</f>
        <v/>
      </c>
      <c r="N174" s="22" t="n"/>
      <c r="O174" s="23">
        <f>IF(H174="","",H174-N174)</f>
        <v/>
      </c>
      <c r="P174" s="25">
        <f>IF(OR(M174="",O174=""),"",IF(O174&lt;=0,0,MAX(0,Paramètres!$B$4-M174)))</f>
        <v/>
      </c>
      <c r="Q174" s="25">
        <f>IF(H174="","",IF(O174&lt;=0,"Payée",IF(M174="","Pas encore livrée",IF(P174=0,"Non échue",IF(P174&gt;=Paramètres!$B$7,"Relance 3 : appel direction",IF(P174&gt;=Paramètres!$B$6,"Relance 2",IF(P174&gt;=Paramètres!$B$5,"Relance 1","Échue, relance à venir")))))))</f>
        <v/>
      </c>
      <c r="R174" s="25">
        <f>IF(B174="","",IF(U174=Paramètres!$B$4,"Relancé aujourd'hui",TRIM(IF(LEFT(Q174,7)="Relance",Q174&amp;" ","")&amp;IF(K174="En retard","· Prévenir du retard de livraison",""))))</f>
        <v/>
      </c>
      <c r="S174" s="28">
        <f>IF(B174="","",IF(LEFT(Q174,9)="Relance 3","Bonjour "&amp;D174&amp;", nous revenons vers vous au sujet de la commande "&amp;A174&amp;" du "&amp;TEXT(B174,"dd/mm/yyyy")&amp;" : "&amp;SUBSTITUTE(TEXT(O174,"#,##0"),","," ")&amp;" FCFA restent à régler depuis le "&amp;TEXT(M174,"dd/mm/yyyy")&amp;". Notre responsable souhaite vous appeler pour convenir ensemble d'une solution. Quel moment vous arrange cette semaine ? "&amp;Paramètres!$B$11&amp;", "&amp;Paramètres!$B$12,IF(LEFT(Q174,7)="Relance","Bonjour "&amp;D174&amp;", sauf erreur de notre part, la commande "&amp;A174&amp;" du "&amp;TEXT(B174,"dd/mm/yyyy")&amp;" ("&amp;E174&amp;") présente un reste à payer de "&amp;SUBSTITUTE(TEXT(O174,"#,##0"),","," ")&amp;" FCFA, échu depuis le "&amp;TEXT(M174,"dd/mm/yyyy")&amp;". Pouvez-vous nous indiquer la date de règlement prévue ? Si le paiement est déjà parti, merci de nous envoyer la preuve et ne tenez pas compte de ce message. "&amp;Paramètres!$B$11&amp;", "&amp;Paramètres!$B$12,IF(K174="En retard","Bonjour "&amp;D174&amp;", votre commande "&amp;A174&amp;" ("&amp;E174&amp;", "&amp;F174&amp;" pièces) prévue le "&amp;TEXT(I174,"dd/mm/yyyy")&amp;" a pris du retard. Nous vous confirmons la nouvelle date de livraison dans la journée. Toutes nos excuses pour ce contretemps. "&amp;Paramètres!$B$11&amp;", "&amp;Paramètres!$B$12,""))))</f>
        <v/>
      </c>
      <c r="T174" s="21" t="n"/>
      <c r="U174" s="26" t="n"/>
      <c r="V174" s="21" t="n"/>
    </row>
    <row r="175">
      <c r="A175" s="21" t="n"/>
      <c r="B175" s="26" t="n"/>
      <c r="C175" s="21" t="n"/>
      <c r="D175" s="25">
        <f>IF(C175="","",IFERROR(VLOOKUP(C175,Revendeurs!$A:$B,2,FALSE),"Code inconnu"))</f>
        <v/>
      </c>
      <c r="E175" s="21" t="n"/>
      <c r="F175" s="21" t="n"/>
      <c r="G175" s="22" t="n"/>
      <c r="H175" s="23">
        <f>IF(OR(F175="",G175=""),"",F175*G175)</f>
        <v/>
      </c>
      <c r="I175" s="26" t="n"/>
      <c r="J175" s="26" t="n"/>
      <c r="K175" s="25">
        <f>IF(B175="","",IF(J175&lt;&gt;"","Livrée",IF(I175="","À planifier",IF(Paramètres!$B$4&gt;I175+Paramètres!$B$8,"En retard","En cours"))))</f>
        <v/>
      </c>
      <c r="L175" s="25">
        <f>IF(K175="En retard",Paramètres!$B$4-I175,"")</f>
        <v/>
      </c>
      <c r="M175" s="27">
        <f>IF(OR(B175="",J175=""),"",J175+IFERROR(IF(VLOOKUP(C175,Revendeurs!$A:$G,7,FALSE)="",Paramètres!$B$9,VLOOKUP(C175,Revendeurs!$A:$G,7,FALSE)),Paramètres!$B$9))</f>
        <v/>
      </c>
      <c r="N175" s="22" t="n"/>
      <c r="O175" s="23">
        <f>IF(H175="","",H175-N175)</f>
        <v/>
      </c>
      <c r="P175" s="25">
        <f>IF(OR(M175="",O175=""),"",IF(O175&lt;=0,0,MAX(0,Paramètres!$B$4-M175)))</f>
        <v/>
      </c>
      <c r="Q175" s="25">
        <f>IF(H175="","",IF(O175&lt;=0,"Payée",IF(M175="","Pas encore livrée",IF(P175=0,"Non échue",IF(P175&gt;=Paramètres!$B$7,"Relance 3 : appel direction",IF(P175&gt;=Paramètres!$B$6,"Relance 2",IF(P175&gt;=Paramètres!$B$5,"Relance 1","Échue, relance à venir")))))))</f>
        <v/>
      </c>
      <c r="R175" s="25">
        <f>IF(B175="","",IF(U175=Paramètres!$B$4,"Relancé aujourd'hui",TRIM(IF(LEFT(Q175,7)="Relance",Q175&amp;" ","")&amp;IF(K175="En retard","· Prévenir du retard de livraison",""))))</f>
        <v/>
      </c>
      <c r="S175" s="28">
        <f>IF(B175="","",IF(LEFT(Q175,9)="Relance 3","Bonjour "&amp;D175&amp;", nous revenons vers vous au sujet de la commande "&amp;A175&amp;" du "&amp;TEXT(B175,"dd/mm/yyyy")&amp;" : "&amp;SUBSTITUTE(TEXT(O175,"#,##0"),","," ")&amp;" FCFA restent à régler depuis le "&amp;TEXT(M175,"dd/mm/yyyy")&amp;". Notre responsable souhaite vous appeler pour convenir ensemble d'une solution. Quel moment vous arrange cette semaine ? "&amp;Paramètres!$B$11&amp;", "&amp;Paramètres!$B$12,IF(LEFT(Q175,7)="Relance","Bonjour "&amp;D175&amp;", sauf erreur de notre part, la commande "&amp;A175&amp;" du "&amp;TEXT(B175,"dd/mm/yyyy")&amp;" ("&amp;E175&amp;") présente un reste à payer de "&amp;SUBSTITUTE(TEXT(O175,"#,##0"),","," ")&amp;" FCFA, échu depuis le "&amp;TEXT(M175,"dd/mm/yyyy")&amp;". Pouvez-vous nous indiquer la date de règlement prévue ? Si le paiement est déjà parti, merci de nous envoyer la preuve et ne tenez pas compte de ce message. "&amp;Paramètres!$B$11&amp;", "&amp;Paramètres!$B$12,IF(K175="En retard","Bonjour "&amp;D175&amp;", votre commande "&amp;A175&amp;" ("&amp;E175&amp;", "&amp;F175&amp;" pièces) prévue le "&amp;TEXT(I175,"dd/mm/yyyy")&amp;" a pris du retard. Nous vous confirmons la nouvelle date de livraison dans la journée. Toutes nos excuses pour ce contretemps. "&amp;Paramètres!$B$11&amp;", "&amp;Paramètres!$B$12,""))))</f>
        <v/>
      </c>
      <c r="T175" s="21" t="n"/>
      <c r="U175" s="26" t="n"/>
      <c r="V175" s="21" t="n"/>
    </row>
    <row r="176">
      <c r="A176" s="21" t="n"/>
      <c r="B176" s="26" t="n"/>
      <c r="C176" s="21" t="n"/>
      <c r="D176" s="25">
        <f>IF(C176="","",IFERROR(VLOOKUP(C176,Revendeurs!$A:$B,2,FALSE),"Code inconnu"))</f>
        <v/>
      </c>
      <c r="E176" s="21" t="n"/>
      <c r="F176" s="21" t="n"/>
      <c r="G176" s="22" t="n"/>
      <c r="H176" s="23">
        <f>IF(OR(F176="",G176=""),"",F176*G176)</f>
        <v/>
      </c>
      <c r="I176" s="26" t="n"/>
      <c r="J176" s="26" t="n"/>
      <c r="K176" s="25">
        <f>IF(B176="","",IF(J176&lt;&gt;"","Livrée",IF(I176="","À planifier",IF(Paramètres!$B$4&gt;I176+Paramètres!$B$8,"En retard","En cours"))))</f>
        <v/>
      </c>
      <c r="L176" s="25">
        <f>IF(K176="En retard",Paramètres!$B$4-I176,"")</f>
        <v/>
      </c>
      <c r="M176" s="27">
        <f>IF(OR(B176="",J176=""),"",J176+IFERROR(IF(VLOOKUP(C176,Revendeurs!$A:$G,7,FALSE)="",Paramètres!$B$9,VLOOKUP(C176,Revendeurs!$A:$G,7,FALSE)),Paramètres!$B$9))</f>
        <v/>
      </c>
      <c r="N176" s="22" t="n"/>
      <c r="O176" s="23">
        <f>IF(H176="","",H176-N176)</f>
        <v/>
      </c>
      <c r="P176" s="25">
        <f>IF(OR(M176="",O176=""),"",IF(O176&lt;=0,0,MAX(0,Paramètres!$B$4-M176)))</f>
        <v/>
      </c>
      <c r="Q176" s="25">
        <f>IF(H176="","",IF(O176&lt;=0,"Payée",IF(M176="","Pas encore livrée",IF(P176=0,"Non échue",IF(P176&gt;=Paramètres!$B$7,"Relance 3 : appel direction",IF(P176&gt;=Paramètres!$B$6,"Relance 2",IF(P176&gt;=Paramètres!$B$5,"Relance 1","Échue, relance à venir")))))))</f>
        <v/>
      </c>
      <c r="R176" s="25">
        <f>IF(B176="","",IF(U176=Paramètres!$B$4,"Relancé aujourd'hui",TRIM(IF(LEFT(Q176,7)="Relance",Q176&amp;" ","")&amp;IF(K176="En retard","· Prévenir du retard de livraison",""))))</f>
        <v/>
      </c>
      <c r="S176" s="28">
        <f>IF(B176="","",IF(LEFT(Q176,9)="Relance 3","Bonjour "&amp;D176&amp;", nous revenons vers vous au sujet de la commande "&amp;A176&amp;" du "&amp;TEXT(B176,"dd/mm/yyyy")&amp;" : "&amp;SUBSTITUTE(TEXT(O176,"#,##0"),","," ")&amp;" FCFA restent à régler depuis le "&amp;TEXT(M176,"dd/mm/yyyy")&amp;". Notre responsable souhaite vous appeler pour convenir ensemble d'une solution. Quel moment vous arrange cette semaine ? "&amp;Paramètres!$B$11&amp;", "&amp;Paramètres!$B$12,IF(LEFT(Q176,7)="Relance","Bonjour "&amp;D176&amp;", sauf erreur de notre part, la commande "&amp;A176&amp;" du "&amp;TEXT(B176,"dd/mm/yyyy")&amp;" ("&amp;E176&amp;") présente un reste à payer de "&amp;SUBSTITUTE(TEXT(O176,"#,##0"),","," ")&amp;" FCFA, échu depuis le "&amp;TEXT(M176,"dd/mm/yyyy")&amp;". Pouvez-vous nous indiquer la date de règlement prévue ? Si le paiement est déjà parti, merci de nous envoyer la preuve et ne tenez pas compte de ce message. "&amp;Paramètres!$B$11&amp;", "&amp;Paramètres!$B$12,IF(K176="En retard","Bonjour "&amp;D176&amp;", votre commande "&amp;A176&amp;" ("&amp;E176&amp;", "&amp;F176&amp;" pièces) prévue le "&amp;TEXT(I176,"dd/mm/yyyy")&amp;" a pris du retard. Nous vous confirmons la nouvelle date de livraison dans la journée. Toutes nos excuses pour ce contretemps. "&amp;Paramètres!$B$11&amp;", "&amp;Paramètres!$B$12,""))))</f>
        <v/>
      </c>
      <c r="T176" s="21" t="n"/>
      <c r="U176" s="26" t="n"/>
      <c r="V176" s="21" t="n"/>
    </row>
    <row r="177">
      <c r="A177" s="21" t="n"/>
      <c r="B177" s="26" t="n"/>
      <c r="C177" s="21" t="n"/>
      <c r="D177" s="25">
        <f>IF(C177="","",IFERROR(VLOOKUP(C177,Revendeurs!$A:$B,2,FALSE),"Code inconnu"))</f>
        <v/>
      </c>
      <c r="E177" s="21" t="n"/>
      <c r="F177" s="21" t="n"/>
      <c r="G177" s="22" t="n"/>
      <c r="H177" s="23">
        <f>IF(OR(F177="",G177=""),"",F177*G177)</f>
        <v/>
      </c>
      <c r="I177" s="26" t="n"/>
      <c r="J177" s="26" t="n"/>
      <c r="K177" s="25">
        <f>IF(B177="","",IF(J177&lt;&gt;"","Livrée",IF(I177="","À planifier",IF(Paramètres!$B$4&gt;I177+Paramètres!$B$8,"En retard","En cours"))))</f>
        <v/>
      </c>
      <c r="L177" s="25">
        <f>IF(K177="En retard",Paramètres!$B$4-I177,"")</f>
        <v/>
      </c>
      <c r="M177" s="27">
        <f>IF(OR(B177="",J177=""),"",J177+IFERROR(IF(VLOOKUP(C177,Revendeurs!$A:$G,7,FALSE)="",Paramètres!$B$9,VLOOKUP(C177,Revendeurs!$A:$G,7,FALSE)),Paramètres!$B$9))</f>
        <v/>
      </c>
      <c r="N177" s="22" t="n"/>
      <c r="O177" s="23">
        <f>IF(H177="","",H177-N177)</f>
        <v/>
      </c>
      <c r="P177" s="25">
        <f>IF(OR(M177="",O177=""),"",IF(O177&lt;=0,0,MAX(0,Paramètres!$B$4-M177)))</f>
        <v/>
      </c>
      <c r="Q177" s="25">
        <f>IF(H177="","",IF(O177&lt;=0,"Payée",IF(M177="","Pas encore livrée",IF(P177=0,"Non échue",IF(P177&gt;=Paramètres!$B$7,"Relance 3 : appel direction",IF(P177&gt;=Paramètres!$B$6,"Relance 2",IF(P177&gt;=Paramètres!$B$5,"Relance 1","Échue, relance à venir")))))))</f>
        <v/>
      </c>
      <c r="R177" s="25">
        <f>IF(B177="","",IF(U177=Paramètres!$B$4,"Relancé aujourd'hui",TRIM(IF(LEFT(Q177,7)="Relance",Q177&amp;" ","")&amp;IF(K177="En retard","· Prévenir du retard de livraison",""))))</f>
        <v/>
      </c>
      <c r="S177" s="28">
        <f>IF(B177="","",IF(LEFT(Q177,9)="Relance 3","Bonjour "&amp;D177&amp;", nous revenons vers vous au sujet de la commande "&amp;A177&amp;" du "&amp;TEXT(B177,"dd/mm/yyyy")&amp;" : "&amp;SUBSTITUTE(TEXT(O177,"#,##0"),","," ")&amp;" FCFA restent à régler depuis le "&amp;TEXT(M177,"dd/mm/yyyy")&amp;". Notre responsable souhaite vous appeler pour convenir ensemble d'une solution. Quel moment vous arrange cette semaine ? "&amp;Paramètres!$B$11&amp;", "&amp;Paramètres!$B$12,IF(LEFT(Q177,7)="Relance","Bonjour "&amp;D177&amp;", sauf erreur de notre part, la commande "&amp;A177&amp;" du "&amp;TEXT(B177,"dd/mm/yyyy")&amp;" ("&amp;E177&amp;") présente un reste à payer de "&amp;SUBSTITUTE(TEXT(O177,"#,##0"),","," ")&amp;" FCFA, échu depuis le "&amp;TEXT(M177,"dd/mm/yyyy")&amp;". Pouvez-vous nous indiquer la date de règlement prévue ? Si le paiement est déjà parti, merci de nous envoyer la preuve et ne tenez pas compte de ce message. "&amp;Paramètres!$B$11&amp;", "&amp;Paramètres!$B$12,IF(K177="En retard","Bonjour "&amp;D177&amp;", votre commande "&amp;A177&amp;" ("&amp;E177&amp;", "&amp;F177&amp;" pièces) prévue le "&amp;TEXT(I177,"dd/mm/yyyy")&amp;" a pris du retard. Nous vous confirmons la nouvelle date de livraison dans la journée. Toutes nos excuses pour ce contretemps. "&amp;Paramètres!$B$11&amp;", "&amp;Paramètres!$B$12,""))))</f>
        <v/>
      </c>
      <c r="T177" s="21" t="n"/>
      <c r="U177" s="26" t="n"/>
      <c r="V177" s="21" t="n"/>
    </row>
    <row r="178">
      <c r="A178" s="21" t="n"/>
      <c r="B178" s="26" t="n"/>
      <c r="C178" s="21" t="n"/>
      <c r="D178" s="25">
        <f>IF(C178="","",IFERROR(VLOOKUP(C178,Revendeurs!$A:$B,2,FALSE),"Code inconnu"))</f>
        <v/>
      </c>
      <c r="E178" s="21" t="n"/>
      <c r="F178" s="21" t="n"/>
      <c r="G178" s="22" t="n"/>
      <c r="H178" s="23">
        <f>IF(OR(F178="",G178=""),"",F178*G178)</f>
        <v/>
      </c>
      <c r="I178" s="26" t="n"/>
      <c r="J178" s="26" t="n"/>
      <c r="K178" s="25">
        <f>IF(B178="","",IF(J178&lt;&gt;"","Livrée",IF(I178="","À planifier",IF(Paramètres!$B$4&gt;I178+Paramètres!$B$8,"En retard","En cours"))))</f>
        <v/>
      </c>
      <c r="L178" s="25">
        <f>IF(K178="En retard",Paramètres!$B$4-I178,"")</f>
        <v/>
      </c>
      <c r="M178" s="27">
        <f>IF(OR(B178="",J178=""),"",J178+IFERROR(IF(VLOOKUP(C178,Revendeurs!$A:$G,7,FALSE)="",Paramètres!$B$9,VLOOKUP(C178,Revendeurs!$A:$G,7,FALSE)),Paramètres!$B$9))</f>
        <v/>
      </c>
      <c r="N178" s="22" t="n"/>
      <c r="O178" s="23">
        <f>IF(H178="","",H178-N178)</f>
        <v/>
      </c>
      <c r="P178" s="25">
        <f>IF(OR(M178="",O178=""),"",IF(O178&lt;=0,0,MAX(0,Paramètres!$B$4-M178)))</f>
        <v/>
      </c>
      <c r="Q178" s="25">
        <f>IF(H178="","",IF(O178&lt;=0,"Payée",IF(M178="","Pas encore livrée",IF(P178=0,"Non échue",IF(P178&gt;=Paramètres!$B$7,"Relance 3 : appel direction",IF(P178&gt;=Paramètres!$B$6,"Relance 2",IF(P178&gt;=Paramètres!$B$5,"Relance 1","Échue, relance à venir")))))))</f>
        <v/>
      </c>
      <c r="R178" s="25">
        <f>IF(B178="","",IF(U178=Paramètres!$B$4,"Relancé aujourd'hui",TRIM(IF(LEFT(Q178,7)="Relance",Q178&amp;" ","")&amp;IF(K178="En retard","· Prévenir du retard de livraison",""))))</f>
        <v/>
      </c>
      <c r="S178" s="28">
        <f>IF(B178="","",IF(LEFT(Q178,9)="Relance 3","Bonjour "&amp;D178&amp;", nous revenons vers vous au sujet de la commande "&amp;A178&amp;" du "&amp;TEXT(B178,"dd/mm/yyyy")&amp;" : "&amp;SUBSTITUTE(TEXT(O178,"#,##0"),","," ")&amp;" FCFA restent à régler depuis le "&amp;TEXT(M178,"dd/mm/yyyy")&amp;". Notre responsable souhaite vous appeler pour convenir ensemble d'une solution. Quel moment vous arrange cette semaine ? "&amp;Paramètres!$B$11&amp;", "&amp;Paramètres!$B$12,IF(LEFT(Q178,7)="Relance","Bonjour "&amp;D178&amp;", sauf erreur de notre part, la commande "&amp;A178&amp;" du "&amp;TEXT(B178,"dd/mm/yyyy")&amp;" ("&amp;E178&amp;") présente un reste à payer de "&amp;SUBSTITUTE(TEXT(O178,"#,##0"),","," ")&amp;" FCFA, échu depuis le "&amp;TEXT(M178,"dd/mm/yyyy")&amp;". Pouvez-vous nous indiquer la date de règlement prévue ? Si le paiement est déjà parti, merci de nous envoyer la preuve et ne tenez pas compte de ce message. "&amp;Paramètres!$B$11&amp;", "&amp;Paramètres!$B$12,IF(K178="En retard","Bonjour "&amp;D178&amp;", votre commande "&amp;A178&amp;" ("&amp;E178&amp;", "&amp;F178&amp;" pièces) prévue le "&amp;TEXT(I178,"dd/mm/yyyy")&amp;" a pris du retard. Nous vous confirmons la nouvelle date de livraison dans la journée. Toutes nos excuses pour ce contretemps. "&amp;Paramètres!$B$11&amp;", "&amp;Paramètres!$B$12,""))))</f>
        <v/>
      </c>
      <c r="T178" s="21" t="n"/>
      <c r="U178" s="26" t="n"/>
      <c r="V178" s="21" t="n"/>
    </row>
    <row r="179">
      <c r="A179" s="21" t="n"/>
      <c r="B179" s="26" t="n"/>
      <c r="C179" s="21" t="n"/>
      <c r="D179" s="25">
        <f>IF(C179="","",IFERROR(VLOOKUP(C179,Revendeurs!$A:$B,2,FALSE),"Code inconnu"))</f>
        <v/>
      </c>
      <c r="E179" s="21" t="n"/>
      <c r="F179" s="21" t="n"/>
      <c r="G179" s="22" t="n"/>
      <c r="H179" s="23">
        <f>IF(OR(F179="",G179=""),"",F179*G179)</f>
        <v/>
      </c>
      <c r="I179" s="26" t="n"/>
      <c r="J179" s="26" t="n"/>
      <c r="K179" s="25">
        <f>IF(B179="","",IF(J179&lt;&gt;"","Livrée",IF(I179="","À planifier",IF(Paramètres!$B$4&gt;I179+Paramètres!$B$8,"En retard","En cours"))))</f>
        <v/>
      </c>
      <c r="L179" s="25">
        <f>IF(K179="En retard",Paramètres!$B$4-I179,"")</f>
        <v/>
      </c>
      <c r="M179" s="27">
        <f>IF(OR(B179="",J179=""),"",J179+IFERROR(IF(VLOOKUP(C179,Revendeurs!$A:$G,7,FALSE)="",Paramètres!$B$9,VLOOKUP(C179,Revendeurs!$A:$G,7,FALSE)),Paramètres!$B$9))</f>
        <v/>
      </c>
      <c r="N179" s="22" t="n"/>
      <c r="O179" s="23">
        <f>IF(H179="","",H179-N179)</f>
        <v/>
      </c>
      <c r="P179" s="25">
        <f>IF(OR(M179="",O179=""),"",IF(O179&lt;=0,0,MAX(0,Paramètres!$B$4-M179)))</f>
        <v/>
      </c>
      <c r="Q179" s="25">
        <f>IF(H179="","",IF(O179&lt;=0,"Payée",IF(M179="","Pas encore livrée",IF(P179=0,"Non échue",IF(P179&gt;=Paramètres!$B$7,"Relance 3 : appel direction",IF(P179&gt;=Paramètres!$B$6,"Relance 2",IF(P179&gt;=Paramètres!$B$5,"Relance 1","Échue, relance à venir")))))))</f>
        <v/>
      </c>
      <c r="R179" s="25">
        <f>IF(B179="","",IF(U179=Paramètres!$B$4,"Relancé aujourd'hui",TRIM(IF(LEFT(Q179,7)="Relance",Q179&amp;" ","")&amp;IF(K179="En retard","· Prévenir du retard de livraison",""))))</f>
        <v/>
      </c>
      <c r="S179" s="28">
        <f>IF(B179="","",IF(LEFT(Q179,9)="Relance 3","Bonjour "&amp;D179&amp;", nous revenons vers vous au sujet de la commande "&amp;A179&amp;" du "&amp;TEXT(B179,"dd/mm/yyyy")&amp;" : "&amp;SUBSTITUTE(TEXT(O179,"#,##0"),","," ")&amp;" FCFA restent à régler depuis le "&amp;TEXT(M179,"dd/mm/yyyy")&amp;". Notre responsable souhaite vous appeler pour convenir ensemble d'une solution. Quel moment vous arrange cette semaine ? "&amp;Paramètres!$B$11&amp;", "&amp;Paramètres!$B$12,IF(LEFT(Q179,7)="Relance","Bonjour "&amp;D179&amp;", sauf erreur de notre part, la commande "&amp;A179&amp;" du "&amp;TEXT(B179,"dd/mm/yyyy")&amp;" ("&amp;E179&amp;") présente un reste à payer de "&amp;SUBSTITUTE(TEXT(O179,"#,##0"),","," ")&amp;" FCFA, échu depuis le "&amp;TEXT(M179,"dd/mm/yyyy")&amp;". Pouvez-vous nous indiquer la date de règlement prévue ? Si le paiement est déjà parti, merci de nous envoyer la preuve et ne tenez pas compte de ce message. "&amp;Paramètres!$B$11&amp;", "&amp;Paramètres!$B$12,IF(K179="En retard","Bonjour "&amp;D179&amp;", votre commande "&amp;A179&amp;" ("&amp;E179&amp;", "&amp;F179&amp;" pièces) prévue le "&amp;TEXT(I179,"dd/mm/yyyy")&amp;" a pris du retard. Nous vous confirmons la nouvelle date de livraison dans la journée. Toutes nos excuses pour ce contretemps. "&amp;Paramètres!$B$11&amp;", "&amp;Paramètres!$B$12,""))))</f>
        <v/>
      </c>
      <c r="T179" s="21" t="n"/>
      <c r="U179" s="26" t="n"/>
      <c r="V179" s="21" t="n"/>
    </row>
    <row r="180">
      <c r="A180" s="21" t="n"/>
      <c r="B180" s="26" t="n"/>
      <c r="C180" s="21" t="n"/>
      <c r="D180" s="25">
        <f>IF(C180="","",IFERROR(VLOOKUP(C180,Revendeurs!$A:$B,2,FALSE),"Code inconnu"))</f>
        <v/>
      </c>
      <c r="E180" s="21" t="n"/>
      <c r="F180" s="21" t="n"/>
      <c r="G180" s="22" t="n"/>
      <c r="H180" s="23">
        <f>IF(OR(F180="",G180=""),"",F180*G180)</f>
        <v/>
      </c>
      <c r="I180" s="26" t="n"/>
      <c r="J180" s="26" t="n"/>
      <c r="K180" s="25">
        <f>IF(B180="","",IF(J180&lt;&gt;"","Livrée",IF(I180="","À planifier",IF(Paramètres!$B$4&gt;I180+Paramètres!$B$8,"En retard","En cours"))))</f>
        <v/>
      </c>
      <c r="L180" s="25">
        <f>IF(K180="En retard",Paramètres!$B$4-I180,"")</f>
        <v/>
      </c>
      <c r="M180" s="27">
        <f>IF(OR(B180="",J180=""),"",J180+IFERROR(IF(VLOOKUP(C180,Revendeurs!$A:$G,7,FALSE)="",Paramètres!$B$9,VLOOKUP(C180,Revendeurs!$A:$G,7,FALSE)),Paramètres!$B$9))</f>
        <v/>
      </c>
      <c r="N180" s="22" t="n"/>
      <c r="O180" s="23">
        <f>IF(H180="","",H180-N180)</f>
        <v/>
      </c>
      <c r="P180" s="25">
        <f>IF(OR(M180="",O180=""),"",IF(O180&lt;=0,0,MAX(0,Paramètres!$B$4-M180)))</f>
        <v/>
      </c>
      <c r="Q180" s="25">
        <f>IF(H180="","",IF(O180&lt;=0,"Payée",IF(M180="","Pas encore livrée",IF(P180=0,"Non échue",IF(P180&gt;=Paramètres!$B$7,"Relance 3 : appel direction",IF(P180&gt;=Paramètres!$B$6,"Relance 2",IF(P180&gt;=Paramètres!$B$5,"Relance 1","Échue, relance à venir")))))))</f>
        <v/>
      </c>
      <c r="R180" s="25">
        <f>IF(B180="","",IF(U180=Paramètres!$B$4,"Relancé aujourd'hui",TRIM(IF(LEFT(Q180,7)="Relance",Q180&amp;" ","")&amp;IF(K180="En retard","· Prévenir du retard de livraison",""))))</f>
        <v/>
      </c>
      <c r="S180" s="28">
        <f>IF(B180="","",IF(LEFT(Q180,9)="Relance 3","Bonjour "&amp;D180&amp;", nous revenons vers vous au sujet de la commande "&amp;A180&amp;" du "&amp;TEXT(B180,"dd/mm/yyyy")&amp;" : "&amp;SUBSTITUTE(TEXT(O180,"#,##0"),","," ")&amp;" FCFA restent à régler depuis le "&amp;TEXT(M180,"dd/mm/yyyy")&amp;". Notre responsable souhaite vous appeler pour convenir ensemble d'une solution. Quel moment vous arrange cette semaine ? "&amp;Paramètres!$B$11&amp;", "&amp;Paramètres!$B$12,IF(LEFT(Q180,7)="Relance","Bonjour "&amp;D180&amp;", sauf erreur de notre part, la commande "&amp;A180&amp;" du "&amp;TEXT(B180,"dd/mm/yyyy")&amp;" ("&amp;E180&amp;") présente un reste à payer de "&amp;SUBSTITUTE(TEXT(O180,"#,##0"),","," ")&amp;" FCFA, échu depuis le "&amp;TEXT(M180,"dd/mm/yyyy")&amp;". Pouvez-vous nous indiquer la date de règlement prévue ? Si le paiement est déjà parti, merci de nous envoyer la preuve et ne tenez pas compte de ce message. "&amp;Paramètres!$B$11&amp;", "&amp;Paramètres!$B$12,IF(K180="En retard","Bonjour "&amp;D180&amp;", votre commande "&amp;A180&amp;" ("&amp;E180&amp;", "&amp;F180&amp;" pièces) prévue le "&amp;TEXT(I180,"dd/mm/yyyy")&amp;" a pris du retard. Nous vous confirmons la nouvelle date de livraison dans la journée. Toutes nos excuses pour ce contretemps. "&amp;Paramètres!$B$11&amp;", "&amp;Paramètres!$B$12,""))))</f>
        <v/>
      </c>
      <c r="T180" s="21" t="n"/>
      <c r="U180" s="26" t="n"/>
      <c r="V180" s="21" t="n"/>
    </row>
    <row r="181">
      <c r="A181" s="21" t="n"/>
      <c r="B181" s="26" t="n"/>
      <c r="C181" s="21" t="n"/>
      <c r="D181" s="25">
        <f>IF(C181="","",IFERROR(VLOOKUP(C181,Revendeurs!$A:$B,2,FALSE),"Code inconnu"))</f>
        <v/>
      </c>
      <c r="E181" s="21" t="n"/>
      <c r="F181" s="21" t="n"/>
      <c r="G181" s="22" t="n"/>
      <c r="H181" s="23">
        <f>IF(OR(F181="",G181=""),"",F181*G181)</f>
        <v/>
      </c>
      <c r="I181" s="26" t="n"/>
      <c r="J181" s="26" t="n"/>
      <c r="K181" s="25">
        <f>IF(B181="","",IF(J181&lt;&gt;"","Livrée",IF(I181="","À planifier",IF(Paramètres!$B$4&gt;I181+Paramètres!$B$8,"En retard","En cours"))))</f>
        <v/>
      </c>
      <c r="L181" s="25">
        <f>IF(K181="En retard",Paramètres!$B$4-I181,"")</f>
        <v/>
      </c>
      <c r="M181" s="27">
        <f>IF(OR(B181="",J181=""),"",J181+IFERROR(IF(VLOOKUP(C181,Revendeurs!$A:$G,7,FALSE)="",Paramètres!$B$9,VLOOKUP(C181,Revendeurs!$A:$G,7,FALSE)),Paramètres!$B$9))</f>
        <v/>
      </c>
      <c r="N181" s="22" t="n"/>
      <c r="O181" s="23">
        <f>IF(H181="","",H181-N181)</f>
        <v/>
      </c>
      <c r="P181" s="25">
        <f>IF(OR(M181="",O181=""),"",IF(O181&lt;=0,0,MAX(0,Paramètres!$B$4-M181)))</f>
        <v/>
      </c>
      <c r="Q181" s="25">
        <f>IF(H181="","",IF(O181&lt;=0,"Payée",IF(M181="","Pas encore livrée",IF(P181=0,"Non échue",IF(P181&gt;=Paramètres!$B$7,"Relance 3 : appel direction",IF(P181&gt;=Paramètres!$B$6,"Relance 2",IF(P181&gt;=Paramètres!$B$5,"Relance 1","Échue, relance à venir")))))))</f>
        <v/>
      </c>
      <c r="R181" s="25">
        <f>IF(B181="","",IF(U181=Paramètres!$B$4,"Relancé aujourd'hui",TRIM(IF(LEFT(Q181,7)="Relance",Q181&amp;" ","")&amp;IF(K181="En retard","· Prévenir du retard de livraison",""))))</f>
        <v/>
      </c>
      <c r="S181" s="28">
        <f>IF(B181="","",IF(LEFT(Q181,9)="Relance 3","Bonjour "&amp;D181&amp;", nous revenons vers vous au sujet de la commande "&amp;A181&amp;" du "&amp;TEXT(B181,"dd/mm/yyyy")&amp;" : "&amp;SUBSTITUTE(TEXT(O181,"#,##0"),","," ")&amp;" FCFA restent à régler depuis le "&amp;TEXT(M181,"dd/mm/yyyy")&amp;". Notre responsable souhaite vous appeler pour convenir ensemble d'une solution. Quel moment vous arrange cette semaine ? "&amp;Paramètres!$B$11&amp;", "&amp;Paramètres!$B$12,IF(LEFT(Q181,7)="Relance","Bonjour "&amp;D181&amp;", sauf erreur de notre part, la commande "&amp;A181&amp;" du "&amp;TEXT(B181,"dd/mm/yyyy")&amp;" ("&amp;E181&amp;") présente un reste à payer de "&amp;SUBSTITUTE(TEXT(O181,"#,##0"),","," ")&amp;" FCFA, échu depuis le "&amp;TEXT(M181,"dd/mm/yyyy")&amp;". Pouvez-vous nous indiquer la date de règlement prévue ? Si le paiement est déjà parti, merci de nous envoyer la preuve et ne tenez pas compte de ce message. "&amp;Paramètres!$B$11&amp;", "&amp;Paramètres!$B$12,IF(K181="En retard","Bonjour "&amp;D181&amp;", votre commande "&amp;A181&amp;" ("&amp;E181&amp;", "&amp;F181&amp;" pièces) prévue le "&amp;TEXT(I181,"dd/mm/yyyy")&amp;" a pris du retard. Nous vous confirmons la nouvelle date de livraison dans la journée. Toutes nos excuses pour ce contretemps. "&amp;Paramètres!$B$11&amp;", "&amp;Paramètres!$B$12,""))))</f>
        <v/>
      </c>
      <c r="T181" s="21" t="n"/>
      <c r="U181" s="26" t="n"/>
      <c r="V181" s="21" t="n"/>
    </row>
    <row r="182">
      <c r="A182" s="21" t="n"/>
      <c r="B182" s="26" t="n"/>
      <c r="C182" s="21" t="n"/>
      <c r="D182" s="25">
        <f>IF(C182="","",IFERROR(VLOOKUP(C182,Revendeurs!$A:$B,2,FALSE),"Code inconnu"))</f>
        <v/>
      </c>
      <c r="E182" s="21" t="n"/>
      <c r="F182" s="21" t="n"/>
      <c r="G182" s="22" t="n"/>
      <c r="H182" s="23">
        <f>IF(OR(F182="",G182=""),"",F182*G182)</f>
        <v/>
      </c>
      <c r="I182" s="26" t="n"/>
      <c r="J182" s="26" t="n"/>
      <c r="K182" s="25">
        <f>IF(B182="","",IF(J182&lt;&gt;"","Livrée",IF(I182="","À planifier",IF(Paramètres!$B$4&gt;I182+Paramètres!$B$8,"En retard","En cours"))))</f>
        <v/>
      </c>
      <c r="L182" s="25">
        <f>IF(K182="En retard",Paramètres!$B$4-I182,"")</f>
        <v/>
      </c>
      <c r="M182" s="27">
        <f>IF(OR(B182="",J182=""),"",J182+IFERROR(IF(VLOOKUP(C182,Revendeurs!$A:$G,7,FALSE)="",Paramètres!$B$9,VLOOKUP(C182,Revendeurs!$A:$G,7,FALSE)),Paramètres!$B$9))</f>
        <v/>
      </c>
      <c r="N182" s="22" t="n"/>
      <c r="O182" s="23">
        <f>IF(H182="","",H182-N182)</f>
        <v/>
      </c>
      <c r="P182" s="25">
        <f>IF(OR(M182="",O182=""),"",IF(O182&lt;=0,0,MAX(0,Paramètres!$B$4-M182)))</f>
        <v/>
      </c>
      <c r="Q182" s="25">
        <f>IF(H182="","",IF(O182&lt;=0,"Payée",IF(M182="","Pas encore livrée",IF(P182=0,"Non échue",IF(P182&gt;=Paramètres!$B$7,"Relance 3 : appel direction",IF(P182&gt;=Paramètres!$B$6,"Relance 2",IF(P182&gt;=Paramètres!$B$5,"Relance 1","Échue, relance à venir")))))))</f>
        <v/>
      </c>
      <c r="R182" s="25">
        <f>IF(B182="","",IF(U182=Paramètres!$B$4,"Relancé aujourd'hui",TRIM(IF(LEFT(Q182,7)="Relance",Q182&amp;" ","")&amp;IF(K182="En retard","· Prévenir du retard de livraison",""))))</f>
        <v/>
      </c>
      <c r="S182" s="28">
        <f>IF(B182="","",IF(LEFT(Q182,9)="Relance 3","Bonjour "&amp;D182&amp;", nous revenons vers vous au sujet de la commande "&amp;A182&amp;" du "&amp;TEXT(B182,"dd/mm/yyyy")&amp;" : "&amp;SUBSTITUTE(TEXT(O182,"#,##0"),","," ")&amp;" FCFA restent à régler depuis le "&amp;TEXT(M182,"dd/mm/yyyy")&amp;". Notre responsable souhaite vous appeler pour convenir ensemble d'une solution. Quel moment vous arrange cette semaine ? "&amp;Paramètres!$B$11&amp;", "&amp;Paramètres!$B$12,IF(LEFT(Q182,7)="Relance","Bonjour "&amp;D182&amp;", sauf erreur de notre part, la commande "&amp;A182&amp;" du "&amp;TEXT(B182,"dd/mm/yyyy")&amp;" ("&amp;E182&amp;") présente un reste à payer de "&amp;SUBSTITUTE(TEXT(O182,"#,##0"),","," ")&amp;" FCFA, échu depuis le "&amp;TEXT(M182,"dd/mm/yyyy")&amp;". Pouvez-vous nous indiquer la date de règlement prévue ? Si le paiement est déjà parti, merci de nous envoyer la preuve et ne tenez pas compte de ce message. "&amp;Paramètres!$B$11&amp;", "&amp;Paramètres!$B$12,IF(K182="En retard","Bonjour "&amp;D182&amp;", votre commande "&amp;A182&amp;" ("&amp;E182&amp;", "&amp;F182&amp;" pièces) prévue le "&amp;TEXT(I182,"dd/mm/yyyy")&amp;" a pris du retard. Nous vous confirmons la nouvelle date de livraison dans la journée. Toutes nos excuses pour ce contretemps. "&amp;Paramètres!$B$11&amp;", "&amp;Paramètres!$B$12,""))))</f>
        <v/>
      </c>
      <c r="T182" s="21" t="n"/>
      <c r="U182" s="26" t="n"/>
      <c r="V182" s="21" t="n"/>
    </row>
    <row r="183">
      <c r="A183" s="21" t="n"/>
      <c r="B183" s="26" t="n"/>
      <c r="C183" s="21" t="n"/>
      <c r="D183" s="25">
        <f>IF(C183="","",IFERROR(VLOOKUP(C183,Revendeurs!$A:$B,2,FALSE),"Code inconnu"))</f>
        <v/>
      </c>
      <c r="E183" s="21" t="n"/>
      <c r="F183" s="21" t="n"/>
      <c r="G183" s="22" t="n"/>
      <c r="H183" s="23">
        <f>IF(OR(F183="",G183=""),"",F183*G183)</f>
        <v/>
      </c>
      <c r="I183" s="26" t="n"/>
      <c r="J183" s="26" t="n"/>
      <c r="K183" s="25">
        <f>IF(B183="","",IF(J183&lt;&gt;"","Livrée",IF(I183="","À planifier",IF(Paramètres!$B$4&gt;I183+Paramètres!$B$8,"En retard","En cours"))))</f>
        <v/>
      </c>
      <c r="L183" s="25">
        <f>IF(K183="En retard",Paramètres!$B$4-I183,"")</f>
        <v/>
      </c>
      <c r="M183" s="27">
        <f>IF(OR(B183="",J183=""),"",J183+IFERROR(IF(VLOOKUP(C183,Revendeurs!$A:$G,7,FALSE)="",Paramètres!$B$9,VLOOKUP(C183,Revendeurs!$A:$G,7,FALSE)),Paramètres!$B$9))</f>
        <v/>
      </c>
      <c r="N183" s="22" t="n"/>
      <c r="O183" s="23">
        <f>IF(H183="","",H183-N183)</f>
        <v/>
      </c>
      <c r="P183" s="25">
        <f>IF(OR(M183="",O183=""),"",IF(O183&lt;=0,0,MAX(0,Paramètres!$B$4-M183)))</f>
        <v/>
      </c>
      <c r="Q183" s="25">
        <f>IF(H183="","",IF(O183&lt;=0,"Payée",IF(M183="","Pas encore livrée",IF(P183=0,"Non échue",IF(P183&gt;=Paramètres!$B$7,"Relance 3 : appel direction",IF(P183&gt;=Paramètres!$B$6,"Relance 2",IF(P183&gt;=Paramètres!$B$5,"Relance 1","Échue, relance à venir")))))))</f>
        <v/>
      </c>
      <c r="R183" s="25">
        <f>IF(B183="","",IF(U183=Paramètres!$B$4,"Relancé aujourd'hui",TRIM(IF(LEFT(Q183,7)="Relance",Q183&amp;" ","")&amp;IF(K183="En retard","· Prévenir du retard de livraison",""))))</f>
        <v/>
      </c>
      <c r="S183" s="28">
        <f>IF(B183="","",IF(LEFT(Q183,9)="Relance 3","Bonjour "&amp;D183&amp;", nous revenons vers vous au sujet de la commande "&amp;A183&amp;" du "&amp;TEXT(B183,"dd/mm/yyyy")&amp;" : "&amp;SUBSTITUTE(TEXT(O183,"#,##0"),","," ")&amp;" FCFA restent à régler depuis le "&amp;TEXT(M183,"dd/mm/yyyy")&amp;". Notre responsable souhaite vous appeler pour convenir ensemble d'une solution. Quel moment vous arrange cette semaine ? "&amp;Paramètres!$B$11&amp;", "&amp;Paramètres!$B$12,IF(LEFT(Q183,7)="Relance","Bonjour "&amp;D183&amp;", sauf erreur de notre part, la commande "&amp;A183&amp;" du "&amp;TEXT(B183,"dd/mm/yyyy")&amp;" ("&amp;E183&amp;") présente un reste à payer de "&amp;SUBSTITUTE(TEXT(O183,"#,##0"),","," ")&amp;" FCFA, échu depuis le "&amp;TEXT(M183,"dd/mm/yyyy")&amp;". Pouvez-vous nous indiquer la date de règlement prévue ? Si le paiement est déjà parti, merci de nous envoyer la preuve et ne tenez pas compte de ce message. "&amp;Paramètres!$B$11&amp;", "&amp;Paramètres!$B$12,IF(K183="En retard","Bonjour "&amp;D183&amp;", votre commande "&amp;A183&amp;" ("&amp;E183&amp;", "&amp;F183&amp;" pièces) prévue le "&amp;TEXT(I183,"dd/mm/yyyy")&amp;" a pris du retard. Nous vous confirmons la nouvelle date de livraison dans la journée. Toutes nos excuses pour ce contretemps. "&amp;Paramètres!$B$11&amp;", "&amp;Paramètres!$B$12,""))))</f>
        <v/>
      </c>
      <c r="T183" s="21" t="n"/>
      <c r="U183" s="26" t="n"/>
      <c r="V183" s="21" t="n"/>
    </row>
    <row r="184">
      <c r="A184" s="21" t="n"/>
      <c r="B184" s="26" t="n"/>
      <c r="C184" s="21" t="n"/>
      <c r="D184" s="25">
        <f>IF(C184="","",IFERROR(VLOOKUP(C184,Revendeurs!$A:$B,2,FALSE),"Code inconnu"))</f>
        <v/>
      </c>
      <c r="E184" s="21" t="n"/>
      <c r="F184" s="21" t="n"/>
      <c r="G184" s="22" t="n"/>
      <c r="H184" s="23">
        <f>IF(OR(F184="",G184=""),"",F184*G184)</f>
        <v/>
      </c>
      <c r="I184" s="26" t="n"/>
      <c r="J184" s="26" t="n"/>
      <c r="K184" s="25">
        <f>IF(B184="","",IF(J184&lt;&gt;"","Livrée",IF(I184="","À planifier",IF(Paramètres!$B$4&gt;I184+Paramètres!$B$8,"En retard","En cours"))))</f>
        <v/>
      </c>
      <c r="L184" s="25">
        <f>IF(K184="En retard",Paramètres!$B$4-I184,"")</f>
        <v/>
      </c>
      <c r="M184" s="27">
        <f>IF(OR(B184="",J184=""),"",J184+IFERROR(IF(VLOOKUP(C184,Revendeurs!$A:$G,7,FALSE)="",Paramètres!$B$9,VLOOKUP(C184,Revendeurs!$A:$G,7,FALSE)),Paramètres!$B$9))</f>
        <v/>
      </c>
      <c r="N184" s="22" t="n"/>
      <c r="O184" s="23">
        <f>IF(H184="","",H184-N184)</f>
        <v/>
      </c>
      <c r="P184" s="25">
        <f>IF(OR(M184="",O184=""),"",IF(O184&lt;=0,0,MAX(0,Paramètres!$B$4-M184)))</f>
        <v/>
      </c>
      <c r="Q184" s="25">
        <f>IF(H184="","",IF(O184&lt;=0,"Payée",IF(M184="","Pas encore livrée",IF(P184=0,"Non échue",IF(P184&gt;=Paramètres!$B$7,"Relance 3 : appel direction",IF(P184&gt;=Paramètres!$B$6,"Relance 2",IF(P184&gt;=Paramètres!$B$5,"Relance 1","Échue, relance à venir")))))))</f>
        <v/>
      </c>
      <c r="R184" s="25">
        <f>IF(B184="","",IF(U184=Paramètres!$B$4,"Relancé aujourd'hui",TRIM(IF(LEFT(Q184,7)="Relance",Q184&amp;" ","")&amp;IF(K184="En retard","· Prévenir du retard de livraison",""))))</f>
        <v/>
      </c>
      <c r="S184" s="28">
        <f>IF(B184="","",IF(LEFT(Q184,9)="Relance 3","Bonjour "&amp;D184&amp;", nous revenons vers vous au sujet de la commande "&amp;A184&amp;" du "&amp;TEXT(B184,"dd/mm/yyyy")&amp;" : "&amp;SUBSTITUTE(TEXT(O184,"#,##0"),","," ")&amp;" FCFA restent à régler depuis le "&amp;TEXT(M184,"dd/mm/yyyy")&amp;". Notre responsable souhaite vous appeler pour convenir ensemble d'une solution. Quel moment vous arrange cette semaine ? "&amp;Paramètres!$B$11&amp;", "&amp;Paramètres!$B$12,IF(LEFT(Q184,7)="Relance","Bonjour "&amp;D184&amp;", sauf erreur de notre part, la commande "&amp;A184&amp;" du "&amp;TEXT(B184,"dd/mm/yyyy")&amp;" ("&amp;E184&amp;") présente un reste à payer de "&amp;SUBSTITUTE(TEXT(O184,"#,##0"),","," ")&amp;" FCFA, échu depuis le "&amp;TEXT(M184,"dd/mm/yyyy")&amp;". Pouvez-vous nous indiquer la date de règlement prévue ? Si le paiement est déjà parti, merci de nous envoyer la preuve et ne tenez pas compte de ce message. "&amp;Paramètres!$B$11&amp;", "&amp;Paramètres!$B$12,IF(K184="En retard","Bonjour "&amp;D184&amp;", votre commande "&amp;A184&amp;" ("&amp;E184&amp;", "&amp;F184&amp;" pièces) prévue le "&amp;TEXT(I184,"dd/mm/yyyy")&amp;" a pris du retard. Nous vous confirmons la nouvelle date de livraison dans la journée. Toutes nos excuses pour ce contretemps. "&amp;Paramètres!$B$11&amp;", "&amp;Paramètres!$B$12,""))))</f>
        <v/>
      </c>
      <c r="T184" s="21" t="n"/>
      <c r="U184" s="26" t="n"/>
      <c r="V184" s="21" t="n"/>
    </row>
    <row r="185">
      <c r="A185" s="21" t="n"/>
      <c r="B185" s="26" t="n"/>
      <c r="C185" s="21" t="n"/>
      <c r="D185" s="25">
        <f>IF(C185="","",IFERROR(VLOOKUP(C185,Revendeurs!$A:$B,2,FALSE),"Code inconnu"))</f>
        <v/>
      </c>
      <c r="E185" s="21" t="n"/>
      <c r="F185" s="21" t="n"/>
      <c r="G185" s="22" t="n"/>
      <c r="H185" s="23">
        <f>IF(OR(F185="",G185=""),"",F185*G185)</f>
        <v/>
      </c>
      <c r="I185" s="26" t="n"/>
      <c r="J185" s="26" t="n"/>
      <c r="K185" s="25">
        <f>IF(B185="","",IF(J185&lt;&gt;"","Livrée",IF(I185="","À planifier",IF(Paramètres!$B$4&gt;I185+Paramètres!$B$8,"En retard","En cours"))))</f>
        <v/>
      </c>
      <c r="L185" s="25">
        <f>IF(K185="En retard",Paramètres!$B$4-I185,"")</f>
        <v/>
      </c>
      <c r="M185" s="27">
        <f>IF(OR(B185="",J185=""),"",J185+IFERROR(IF(VLOOKUP(C185,Revendeurs!$A:$G,7,FALSE)="",Paramètres!$B$9,VLOOKUP(C185,Revendeurs!$A:$G,7,FALSE)),Paramètres!$B$9))</f>
        <v/>
      </c>
      <c r="N185" s="22" t="n"/>
      <c r="O185" s="23">
        <f>IF(H185="","",H185-N185)</f>
        <v/>
      </c>
      <c r="P185" s="25">
        <f>IF(OR(M185="",O185=""),"",IF(O185&lt;=0,0,MAX(0,Paramètres!$B$4-M185)))</f>
        <v/>
      </c>
      <c r="Q185" s="25">
        <f>IF(H185="","",IF(O185&lt;=0,"Payée",IF(M185="","Pas encore livrée",IF(P185=0,"Non échue",IF(P185&gt;=Paramètres!$B$7,"Relance 3 : appel direction",IF(P185&gt;=Paramètres!$B$6,"Relance 2",IF(P185&gt;=Paramètres!$B$5,"Relance 1","Échue, relance à venir")))))))</f>
        <v/>
      </c>
      <c r="R185" s="25">
        <f>IF(B185="","",IF(U185=Paramètres!$B$4,"Relancé aujourd'hui",TRIM(IF(LEFT(Q185,7)="Relance",Q185&amp;" ","")&amp;IF(K185="En retard","· Prévenir du retard de livraison",""))))</f>
        <v/>
      </c>
      <c r="S185" s="28">
        <f>IF(B185="","",IF(LEFT(Q185,9)="Relance 3","Bonjour "&amp;D185&amp;", nous revenons vers vous au sujet de la commande "&amp;A185&amp;" du "&amp;TEXT(B185,"dd/mm/yyyy")&amp;" : "&amp;SUBSTITUTE(TEXT(O185,"#,##0"),","," ")&amp;" FCFA restent à régler depuis le "&amp;TEXT(M185,"dd/mm/yyyy")&amp;". Notre responsable souhaite vous appeler pour convenir ensemble d'une solution. Quel moment vous arrange cette semaine ? "&amp;Paramètres!$B$11&amp;", "&amp;Paramètres!$B$12,IF(LEFT(Q185,7)="Relance","Bonjour "&amp;D185&amp;", sauf erreur de notre part, la commande "&amp;A185&amp;" du "&amp;TEXT(B185,"dd/mm/yyyy")&amp;" ("&amp;E185&amp;") présente un reste à payer de "&amp;SUBSTITUTE(TEXT(O185,"#,##0"),","," ")&amp;" FCFA, échu depuis le "&amp;TEXT(M185,"dd/mm/yyyy")&amp;". Pouvez-vous nous indiquer la date de règlement prévue ? Si le paiement est déjà parti, merci de nous envoyer la preuve et ne tenez pas compte de ce message. "&amp;Paramètres!$B$11&amp;", "&amp;Paramètres!$B$12,IF(K185="En retard","Bonjour "&amp;D185&amp;", votre commande "&amp;A185&amp;" ("&amp;E185&amp;", "&amp;F185&amp;" pièces) prévue le "&amp;TEXT(I185,"dd/mm/yyyy")&amp;" a pris du retard. Nous vous confirmons la nouvelle date de livraison dans la journée. Toutes nos excuses pour ce contretemps. "&amp;Paramètres!$B$11&amp;", "&amp;Paramètres!$B$12,""))))</f>
        <v/>
      </c>
      <c r="T185" s="21" t="n"/>
      <c r="U185" s="26" t="n"/>
      <c r="V185" s="21" t="n"/>
    </row>
    <row r="186">
      <c r="A186" s="21" t="n"/>
      <c r="B186" s="26" t="n"/>
      <c r="C186" s="21" t="n"/>
      <c r="D186" s="25">
        <f>IF(C186="","",IFERROR(VLOOKUP(C186,Revendeurs!$A:$B,2,FALSE),"Code inconnu"))</f>
        <v/>
      </c>
      <c r="E186" s="21" t="n"/>
      <c r="F186" s="21" t="n"/>
      <c r="G186" s="22" t="n"/>
      <c r="H186" s="23">
        <f>IF(OR(F186="",G186=""),"",F186*G186)</f>
        <v/>
      </c>
      <c r="I186" s="26" t="n"/>
      <c r="J186" s="26" t="n"/>
      <c r="K186" s="25">
        <f>IF(B186="","",IF(J186&lt;&gt;"","Livrée",IF(I186="","À planifier",IF(Paramètres!$B$4&gt;I186+Paramètres!$B$8,"En retard","En cours"))))</f>
        <v/>
      </c>
      <c r="L186" s="25">
        <f>IF(K186="En retard",Paramètres!$B$4-I186,"")</f>
        <v/>
      </c>
      <c r="M186" s="27">
        <f>IF(OR(B186="",J186=""),"",J186+IFERROR(IF(VLOOKUP(C186,Revendeurs!$A:$G,7,FALSE)="",Paramètres!$B$9,VLOOKUP(C186,Revendeurs!$A:$G,7,FALSE)),Paramètres!$B$9))</f>
        <v/>
      </c>
      <c r="N186" s="22" t="n"/>
      <c r="O186" s="23">
        <f>IF(H186="","",H186-N186)</f>
        <v/>
      </c>
      <c r="P186" s="25">
        <f>IF(OR(M186="",O186=""),"",IF(O186&lt;=0,0,MAX(0,Paramètres!$B$4-M186)))</f>
        <v/>
      </c>
      <c r="Q186" s="25">
        <f>IF(H186="","",IF(O186&lt;=0,"Payée",IF(M186="","Pas encore livrée",IF(P186=0,"Non échue",IF(P186&gt;=Paramètres!$B$7,"Relance 3 : appel direction",IF(P186&gt;=Paramètres!$B$6,"Relance 2",IF(P186&gt;=Paramètres!$B$5,"Relance 1","Échue, relance à venir")))))))</f>
        <v/>
      </c>
      <c r="R186" s="25">
        <f>IF(B186="","",IF(U186=Paramètres!$B$4,"Relancé aujourd'hui",TRIM(IF(LEFT(Q186,7)="Relance",Q186&amp;" ","")&amp;IF(K186="En retard","· Prévenir du retard de livraison",""))))</f>
        <v/>
      </c>
      <c r="S186" s="28">
        <f>IF(B186="","",IF(LEFT(Q186,9)="Relance 3","Bonjour "&amp;D186&amp;", nous revenons vers vous au sujet de la commande "&amp;A186&amp;" du "&amp;TEXT(B186,"dd/mm/yyyy")&amp;" : "&amp;SUBSTITUTE(TEXT(O186,"#,##0"),","," ")&amp;" FCFA restent à régler depuis le "&amp;TEXT(M186,"dd/mm/yyyy")&amp;". Notre responsable souhaite vous appeler pour convenir ensemble d'une solution. Quel moment vous arrange cette semaine ? "&amp;Paramètres!$B$11&amp;", "&amp;Paramètres!$B$12,IF(LEFT(Q186,7)="Relance","Bonjour "&amp;D186&amp;", sauf erreur de notre part, la commande "&amp;A186&amp;" du "&amp;TEXT(B186,"dd/mm/yyyy")&amp;" ("&amp;E186&amp;") présente un reste à payer de "&amp;SUBSTITUTE(TEXT(O186,"#,##0"),","," ")&amp;" FCFA, échu depuis le "&amp;TEXT(M186,"dd/mm/yyyy")&amp;". Pouvez-vous nous indiquer la date de règlement prévue ? Si le paiement est déjà parti, merci de nous envoyer la preuve et ne tenez pas compte de ce message. "&amp;Paramètres!$B$11&amp;", "&amp;Paramètres!$B$12,IF(K186="En retard","Bonjour "&amp;D186&amp;", votre commande "&amp;A186&amp;" ("&amp;E186&amp;", "&amp;F186&amp;" pièces) prévue le "&amp;TEXT(I186,"dd/mm/yyyy")&amp;" a pris du retard. Nous vous confirmons la nouvelle date de livraison dans la journée. Toutes nos excuses pour ce contretemps. "&amp;Paramètres!$B$11&amp;", "&amp;Paramètres!$B$12,""))))</f>
        <v/>
      </c>
      <c r="T186" s="21" t="n"/>
      <c r="U186" s="26" t="n"/>
      <c r="V186" s="21" t="n"/>
    </row>
    <row r="187">
      <c r="A187" s="21" t="n"/>
      <c r="B187" s="26" t="n"/>
      <c r="C187" s="21" t="n"/>
      <c r="D187" s="25">
        <f>IF(C187="","",IFERROR(VLOOKUP(C187,Revendeurs!$A:$B,2,FALSE),"Code inconnu"))</f>
        <v/>
      </c>
      <c r="E187" s="21" t="n"/>
      <c r="F187" s="21" t="n"/>
      <c r="G187" s="22" t="n"/>
      <c r="H187" s="23">
        <f>IF(OR(F187="",G187=""),"",F187*G187)</f>
        <v/>
      </c>
      <c r="I187" s="26" t="n"/>
      <c r="J187" s="26" t="n"/>
      <c r="K187" s="25">
        <f>IF(B187="","",IF(J187&lt;&gt;"","Livrée",IF(I187="","À planifier",IF(Paramètres!$B$4&gt;I187+Paramètres!$B$8,"En retard","En cours"))))</f>
        <v/>
      </c>
      <c r="L187" s="25">
        <f>IF(K187="En retard",Paramètres!$B$4-I187,"")</f>
        <v/>
      </c>
      <c r="M187" s="27">
        <f>IF(OR(B187="",J187=""),"",J187+IFERROR(IF(VLOOKUP(C187,Revendeurs!$A:$G,7,FALSE)="",Paramètres!$B$9,VLOOKUP(C187,Revendeurs!$A:$G,7,FALSE)),Paramètres!$B$9))</f>
        <v/>
      </c>
      <c r="N187" s="22" t="n"/>
      <c r="O187" s="23">
        <f>IF(H187="","",H187-N187)</f>
        <v/>
      </c>
      <c r="P187" s="25">
        <f>IF(OR(M187="",O187=""),"",IF(O187&lt;=0,0,MAX(0,Paramètres!$B$4-M187)))</f>
        <v/>
      </c>
      <c r="Q187" s="25">
        <f>IF(H187="","",IF(O187&lt;=0,"Payée",IF(M187="","Pas encore livrée",IF(P187=0,"Non échue",IF(P187&gt;=Paramètres!$B$7,"Relance 3 : appel direction",IF(P187&gt;=Paramètres!$B$6,"Relance 2",IF(P187&gt;=Paramètres!$B$5,"Relance 1","Échue, relance à venir")))))))</f>
        <v/>
      </c>
      <c r="R187" s="25">
        <f>IF(B187="","",IF(U187=Paramètres!$B$4,"Relancé aujourd'hui",TRIM(IF(LEFT(Q187,7)="Relance",Q187&amp;" ","")&amp;IF(K187="En retard","· Prévenir du retard de livraison",""))))</f>
        <v/>
      </c>
      <c r="S187" s="28">
        <f>IF(B187="","",IF(LEFT(Q187,9)="Relance 3","Bonjour "&amp;D187&amp;", nous revenons vers vous au sujet de la commande "&amp;A187&amp;" du "&amp;TEXT(B187,"dd/mm/yyyy")&amp;" : "&amp;SUBSTITUTE(TEXT(O187,"#,##0"),","," ")&amp;" FCFA restent à régler depuis le "&amp;TEXT(M187,"dd/mm/yyyy")&amp;". Notre responsable souhaite vous appeler pour convenir ensemble d'une solution. Quel moment vous arrange cette semaine ? "&amp;Paramètres!$B$11&amp;", "&amp;Paramètres!$B$12,IF(LEFT(Q187,7)="Relance","Bonjour "&amp;D187&amp;", sauf erreur de notre part, la commande "&amp;A187&amp;" du "&amp;TEXT(B187,"dd/mm/yyyy")&amp;" ("&amp;E187&amp;") présente un reste à payer de "&amp;SUBSTITUTE(TEXT(O187,"#,##0"),","," ")&amp;" FCFA, échu depuis le "&amp;TEXT(M187,"dd/mm/yyyy")&amp;". Pouvez-vous nous indiquer la date de règlement prévue ? Si le paiement est déjà parti, merci de nous envoyer la preuve et ne tenez pas compte de ce message. "&amp;Paramètres!$B$11&amp;", "&amp;Paramètres!$B$12,IF(K187="En retard","Bonjour "&amp;D187&amp;", votre commande "&amp;A187&amp;" ("&amp;E187&amp;", "&amp;F187&amp;" pièces) prévue le "&amp;TEXT(I187,"dd/mm/yyyy")&amp;" a pris du retard. Nous vous confirmons la nouvelle date de livraison dans la journée. Toutes nos excuses pour ce contretemps. "&amp;Paramètres!$B$11&amp;", "&amp;Paramètres!$B$12,""))))</f>
        <v/>
      </c>
      <c r="T187" s="21" t="n"/>
      <c r="U187" s="26" t="n"/>
      <c r="V187" s="21" t="n"/>
    </row>
    <row r="188">
      <c r="A188" s="21" t="n"/>
      <c r="B188" s="26" t="n"/>
      <c r="C188" s="21" t="n"/>
      <c r="D188" s="25">
        <f>IF(C188="","",IFERROR(VLOOKUP(C188,Revendeurs!$A:$B,2,FALSE),"Code inconnu"))</f>
        <v/>
      </c>
      <c r="E188" s="21" t="n"/>
      <c r="F188" s="21" t="n"/>
      <c r="G188" s="22" t="n"/>
      <c r="H188" s="23">
        <f>IF(OR(F188="",G188=""),"",F188*G188)</f>
        <v/>
      </c>
      <c r="I188" s="26" t="n"/>
      <c r="J188" s="26" t="n"/>
      <c r="K188" s="25">
        <f>IF(B188="","",IF(J188&lt;&gt;"","Livrée",IF(I188="","À planifier",IF(Paramètres!$B$4&gt;I188+Paramètres!$B$8,"En retard","En cours"))))</f>
        <v/>
      </c>
      <c r="L188" s="25">
        <f>IF(K188="En retard",Paramètres!$B$4-I188,"")</f>
        <v/>
      </c>
      <c r="M188" s="27">
        <f>IF(OR(B188="",J188=""),"",J188+IFERROR(IF(VLOOKUP(C188,Revendeurs!$A:$G,7,FALSE)="",Paramètres!$B$9,VLOOKUP(C188,Revendeurs!$A:$G,7,FALSE)),Paramètres!$B$9))</f>
        <v/>
      </c>
      <c r="N188" s="22" t="n"/>
      <c r="O188" s="23">
        <f>IF(H188="","",H188-N188)</f>
        <v/>
      </c>
      <c r="P188" s="25">
        <f>IF(OR(M188="",O188=""),"",IF(O188&lt;=0,0,MAX(0,Paramètres!$B$4-M188)))</f>
        <v/>
      </c>
      <c r="Q188" s="25">
        <f>IF(H188="","",IF(O188&lt;=0,"Payée",IF(M188="","Pas encore livrée",IF(P188=0,"Non échue",IF(P188&gt;=Paramètres!$B$7,"Relance 3 : appel direction",IF(P188&gt;=Paramètres!$B$6,"Relance 2",IF(P188&gt;=Paramètres!$B$5,"Relance 1","Échue, relance à venir")))))))</f>
        <v/>
      </c>
      <c r="R188" s="25">
        <f>IF(B188="","",IF(U188=Paramètres!$B$4,"Relancé aujourd'hui",TRIM(IF(LEFT(Q188,7)="Relance",Q188&amp;" ","")&amp;IF(K188="En retard","· Prévenir du retard de livraison",""))))</f>
        <v/>
      </c>
      <c r="S188" s="28">
        <f>IF(B188="","",IF(LEFT(Q188,9)="Relance 3","Bonjour "&amp;D188&amp;", nous revenons vers vous au sujet de la commande "&amp;A188&amp;" du "&amp;TEXT(B188,"dd/mm/yyyy")&amp;" : "&amp;SUBSTITUTE(TEXT(O188,"#,##0"),","," ")&amp;" FCFA restent à régler depuis le "&amp;TEXT(M188,"dd/mm/yyyy")&amp;". Notre responsable souhaite vous appeler pour convenir ensemble d'une solution. Quel moment vous arrange cette semaine ? "&amp;Paramètres!$B$11&amp;", "&amp;Paramètres!$B$12,IF(LEFT(Q188,7)="Relance","Bonjour "&amp;D188&amp;", sauf erreur de notre part, la commande "&amp;A188&amp;" du "&amp;TEXT(B188,"dd/mm/yyyy")&amp;" ("&amp;E188&amp;") présente un reste à payer de "&amp;SUBSTITUTE(TEXT(O188,"#,##0"),","," ")&amp;" FCFA, échu depuis le "&amp;TEXT(M188,"dd/mm/yyyy")&amp;". Pouvez-vous nous indiquer la date de règlement prévue ? Si le paiement est déjà parti, merci de nous envoyer la preuve et ne tenez pas compte de ce message. "&amp;Paramètres!$B$11&amp;", "&amp;Paramètres!$B$12,IF(K188="En retard","Bonjour "&amp;D188&amp;", votre commande "&amp;A188&amp;" ("&amp;E188&amp;", "&amp;F188&amp;" pièces) prévue le "&amp;TEXT(I188,"dd/mm/yyyy")&amp;" a pris du retard. Nous vous confirmons la nouvelle date de livraison dans la journée. Toutes nos excuses pour ce contretemps. "&amp;Paramètres!$B$11&amp;", "&amp;Paramètres!$B$12,""))))</f>
        <v/>
      </c>
      <c r="T188" s="21" t="n"/>
      <c r="U188" s="26" t="n"/>
      <c r="V188" s="21" t="n"/>
    </row>
    <row r="189">
      <c r="A189" s="21" t="n"/>
      <c r="B189" s="26" t="n"/>
      <c r="C189" s="21" t="n"/>
      <c r="D189" s="25">
        <f>IF(C189="","",IFERROR(VLOOKUP(C189,Revendeurs!$A:$B,2,FALSE),"Code inconnu"))</f>
        <v/>
      </c>
      <c r="E189" s="21" t="n"/>
      <c r="F189" s="21" t="n"/>
      <c r="G189" s="22" t="n"/>
      <c r="H189" s="23">
        <f>IF(OR(F189="",G189=""),"",F189*G189)</f>
        <v/>
      </c>
      <c r="I189" s="26" t="n"/>
      <c r="J189" s="26" t="n"/>
      <c r="K189" s="25">
        <f>IF(B189="","",IF(J189&lt;&gt;"","Livrée",IF(I189="","À planifier",IF(Paramètres!$B$4&gt;I189+Paramètres!$B$8,"En retard","En cours"))))</f>
        <v/>
      </c>
      <c r="L189" s="25">
        <f>IF(K189="En retard",Paramètres!$B$4-I189,"")</f>
        <v/>
      </c>
      <c r="M189" s="27">
        <f>IF(OR(B189="",J189=""),"",J189+IFERROR(IF(VLOOKUP(C189,Revendeurs!$A:$G,7,FALSE)="",Paramètres!$B$9,VLOOKUP(C189,Revendeurs!$A:$G,7,FALSE)),Paramètres!$B$9))</f>
        <v/>
      </c>
      <c r="N189" s="22" t="n"/>
      <c r="O189" s="23">
        <f>IF(H189="","",H189-N189)</f>
        <v/>
      </c>
      <c r="P189" s="25">
        <f>IF(OR(M189="",O189=""),"",IF(O189&lt;=0,0,MAX(0,Paramètres!$B$4-M189)))</f>
        <v/>
      </c>
      <c r="Q189" s="25">
        <f>IF(H189="","",IF(O189&lt;=0,"Payée",IF(M189="","Pas encore livrée",IF(P189=0,"Non échue",IF(P189&gt;=Paramètres!$B$7,"Relance 3 : appel direction",IF(P189&gt;=Paramètres!$B$6,"Relance 2",IF(P189&gt;=Paramètres!$B$5,"Relance 1","Échue, relance à venir")))))))</f>
        <v/>
      </c>
      <c r="R189" s="25">
        <f>IF(B189="","",IF(U189=Paramètres!$B$4,"Relancé aujourd'hui",TRIM(IF(LEFT(Q189,7)="Relance",Q189&amp;" ","")&amp;IF(K189="En retard","· Prévenir du retard de livraison",""))))</f>
        <v/>
      </c>
      <c r="S189" s="28">
        <f>IF(B189="","",IF(LEFT(Q189,9)="Relance 3","Bonjour "&amp;D189&amp;", nous revenons vers vous au sujet de la commande "&amp;A189&amp;" du "&amp;TEXT(B189,"dd/mm/yyyy")&amp;" : "&amp;SUBSTITUTE(TEXT(O189,"#,##0"),","," ")&amp;" FCFA restent à régler depuis le "&amp;TEXT(M189,"dd/mm/yyyy")&amp;". Notre responsable souhaite vous appeler pour convenir ensemble d'une solution. Quel moment vous arrange cette semaine ? "&amp;Paramètres!$B$11&amp;", "&amp;Paramètres!$B$12,IF(LEFT(Q189,7)="Relance","Bonjour "&amp;D189&amp;", sauf erreur de notre part, la commande "&amp;A189&amp;" du "&amp;TEXT(B189,"dd/mm/yyyy")&amp;" ("&amp;E189&amp;") présente un reste à payer de "&amp;SUBSTITUTE(TEXT(O189,"#,##0"),","," ")&amp;" FCFA, échu depuis le "&amp;TEXT(M189,"dd/mm/yyyy")&amp;". Pouvez-vous nous indiquer la date de règlement prévue ? Si le paiement est déjà parti, merci de nous envoyer la preuve et ne tenez pas compte de ce message. "&amp;Paramètres!$B$11&amp;", "&amp;Paramètres!$B$12,IF(K189="En retard","Bonjour "&amp;D189&amp;", votre commande "&amp;A189&amp;" ("&amp;E189&amp;", "&amp;F189&amp;" pièces) prévue le "&amp;TEXT(I189,"dd/mm/yyyy")&amp;" a pris du retard. Nous vous confirmons la nouvelle date de livraison dans la journée. Toutes nos excuses pour ce contretemps. "&amp;Paramètres!$B$11&amp;", "&amp;Paramètres!$B$12,""))))</f>
        <v/>
      </c>
      <c r="T189" s="21" t="n"/>
      <c r="U189" s="26" t="n"/>
      <c r="V189" s="21" t="n"/>
    </row>
    <row r="190">
      <c r="A190" s="21" t="n"/>
      <c r="B190" s="26" t="n"/>
      <c r="C190" s="21" t="n"/>
      <c r="D190" s="25">
        <f>IF(C190="","",IFERROR(VLOOKUP(C190,Revendeurs!$A:$B,2,FALSE),"Code inconnu"))</f>
        <v/>
      </c>
      <c r="E190" s="21" t="n"/>
      <c r="F190" s="21" t="n"/>
      <c r="G190" s="22" t="n"/>
      <c r="H190" s="23">
        <f>IF(OR(F190="",G190=""),"",F190*G190)</f>
        <v/>
      </c>
      <c r="I190" s="26" t="n"/>
      <c r="J190" s="26" t="n"/>
      <c r="K190" s="25">
        <f>IF(B190="","",IF(J190&lt;&gt;"","Livrée",IF(I190="","À planifier",IF(Paramètres!$B$4&gt;I190+Paramètres!$B$8,"En retard","En cours"))))</f>
        <v/>
      </c>
      <c r="L190" s="25">
        <f>IF(K190="En retard",Paramètres!$B$4-I190,"")</f>
        <v/>
      </c>
      <c r="M190" s="27">
        <f>IF(OR(B190="",J190=""),"",J190+IFERROR(IF(VLOOKUP(C190,Revendeurs!$A:$G,7,FALSE)="",Paramètres!$B$9,VLOOKUP(C190,Revendeurs!$A:$G,7,FALSE)),Paramètres!$B$9))</f>
        <v/>
      </c>
      <c r="N190" s="22" t="n"/>
      <c r="O190" s="23">
        <f>IF(H190="","",H190-N190)</f>
        <v/>
      </c>
      <c r="P190" s="25">
        <f>IF(OR(M190="",O190=""),"",IF(O190&lt;=0,0,MAX(0,Paramètres!$B$4-M190)))</f>
        <v/>
      </c>
      <c r="Q190" s="25">
        <f>IF(H190="","",IF(O190&lt;=0,"Payée",IF(M190="","Pas encore livrée",IF(P190=0,"Non échue",IF(P190&gt;=Paramètres!$B$7,"Relance 3 : appel direction",IF(P190&gt;=Paramètres!$B$6,"Relance 2",IF(P190&gt;=Paramètres!$B$5,"Relance 1","Échue, relance à venir")))))))</f>
        <v/>
      </c>
      <c r="R190" s="25">
        <f>IF(B190="","",IF(U190=Paramètres!$B$4,"Relancé aujourd'hui",TRIM(IF(LEFT(Q190,7)="Relance",Q190&amp;" ","")&amp;IF(K190="En retard","· Prévenir du retard de livraison",""))))</f>
        <v/>
      </c>
      <c r="S190" s="28">
        <f>IF(B190="","",IF(LEFT(Q190,9)="Relance 3","Bonjour "&amp;D190&amp;", nous revenons vers vous au sujet de la commande "&amp;A190&amp;" du "&amp;TEXT(B190,"dd/mm/yyyy")&amp;" : "&amp;SUBSTITUTE(TEXT(O190,"#,##0"),","," ")&amp;" FCFA restent à régler depuis le "&amp;TEXT(M190,"dd/mm/yyyy")&amp;". Notre responsable souhaite vous appeler pour convenir ensemble d'une solution. Quel moment vous arrange cette semaine ? "&amp;Paramètres!$B$11&amp;", "&amp;Paramètres!$B$12,IF(LEFT(Q190,7)="Relance","Bonjour "&amp;D190&amp;", sauf erreur de notre part, la commande "&amp;A190&amp;" du "&amp;TEXT(B190,"dd/mm/yyyy")&amp;" ("&amp;E190&amp;") présente un reste à payer de "&amp;SUBSTITUTE(TEXT(O190,"#,##0"),","," ")&amp;" FCFA, échu depuis le "&amp;TEXT(M190,"dd/mm/yyyy")&amp;". Pouvez-vous nous indiquer la date de règlement prévue ? Si le paiement est déjà parti, merci de nous envoyer la preuve et ne tenez pas compte de ce message. "&amp;Paramètres!$B$11&amp;", "&amp;Paramètres!$B$12,IF(K190="En retard","Bonjour "&amp;D190&amp;", votre commande "&amp;A190&amp;" ("&amp;E190&amp;", "&amp;F190&amp;" pièces) prévue le "&amp;TEXT(I190,"dd/mm/yyyy")&amp;" a pris du retard. Nous vous confirmons la nouvelle date de livraison dans la journée. Toutes nos excuses pour ce contretemps. "&amp;Paramètres!$B$11&amp;", "&amp;Paramètres!$B$12,""))))</f>
        <v/>
      </c>
      <c r="T190" s="21" t="n"/>
      <c r="U190" s="26" t="n"/>
      <c r="V190" s="21" t="n"/>
    </row>
    <row r="191">
      <c r="A191" s="21" t="n"/>
      <c r="B191" s="26" t="n"/>
      <c r="C191" s="21" t="n"/>
      <c r="D191" s="25">
        <f>IF(C191="","",IFERROR(VLOOKUP(C191,Revendeurs!$A:$B,2,FALSE),"Code inconnu"))</f>
        <v/>
      </c>
      <c r="E191" s="21" t="n"/>
      <c r="F191" s="21" t="n"/>
      <c r="G191" s="22" t="n"/>
      <c r="H191" s="23">
        <f>IF(OR(F191="",G191=""),"",F191*G191)</f>
        <v/>
      </c>
      <c r="I191" s="26" t="n"/>
      <c r="J191" s="26" t="n"/>
      <c r="K191" s="25">
        <f>IF(B191="","",IF(J191&lt;&gt;"","Livrée",IF(I191="","À planifier",IF(Paramètres!$B$4&gt;I191+Paramètres!$B$8,"En retard","En cours"))))</f>
        <v/>
      </c>
      <c r="L191" s="25">
        <f>IF(K191="En retard",Paramètres!$B$4-I191,"")</f>
        <v/>
      </c>
      <c r="M191" s="27">
        <f>IF(OR(B191="",J191=""),"",J191+IFERROR(IF(VLOOKUP(C191,Revendeurs!$A:$G,7,FALSE)="",Paramètres!$B$9,VLOOKUP(C191,Revendeurs!$A:$G,7,FALSE)),Paramètres!$B$9))</f>
        <v/>
      </c>
      <c r="N191" s="22" t="n"/>
      <c r="O191" s="23">
        <f>IF(H191="","",H191-N191)</f>
        <v/>
      </c>
      <c r="P191" s="25">
        <f>IF(OR(M191="",O191=""),"",IF(O191&lt;=0,0,MAX(0,Paramètres!$B$4-M191)))</f>
        <v/>
      </c>
      <c r="Q191" s="25">
        <f>IF(H191="","",IF(O191&lt;=0,"Payée",IF(M191="","Pas encore livrée",IF(P191=0,"Non échue",IF(P191&gt;=Paramètres!$B$7,"Relance 3 : appel direction",IF(P191&gt;=Paramètres!$B$6,"Relance 2",IF(P191&gt;=Paramètres!$B$5,"Relance 1","Échue, relance à venir")))))))</f>
        <v/>
      </c>
      <c r="R191" s="25">
        <f>IF(B191="","",IF(U191=Paramètres!$B$4,"Relancé aujourd'hui",TRIM(IF(LEFT(Q191,7)="Relance",Q191&amp;" ","")&amp;IF(K191="En retard","· Prévenir du retard de livraison",""))))</f>
        <v/>
      </c>
      <c r="S191" s="28">
        <f>IF(B191="","",IF(LEFT(Q191,9)="Relance 3","Bonjour "&amp;D191&amp;", nous revenons vers vous au sujet de la commande "&amp;A191&amp;" du "&amp;TEXT(B191,"dd/mm/yyyy")&amp;" : "&amp;SUBSTITUTE(TEXT(O191,"#,##0"),","," ")&amp;" FCFA restent à régler depuis le "&amp;TEXT(M191,"dd/mm/yyyy")&amp;". Notre responsable souhaite vous appeler pour convenir ensemble d'une solution. Quel moment vous arrange cette semaine ? "&amp;Paramètres!$B$11&amp;", "&amp;Paramètres!$B$12,IF(LEFT(Q191,7)="Relance","Bonjour "&amp;D191&amp;", sauf erreur de notre part, la commande "&amp;A191&amp;" du "&amp;TEXT(B191,"dd/mm/yyyy")&amp;" ("&amp;E191&amp;") présente un reste à payer de "&amp;SUBSTITUTE(TEXT(O191,"#,##0"),","," ")&amp;" FCFA, échu depuis le "&amp;TEXT(M191,"dd/mm/yyyy")&amp;". Pouvez-vous nous indiquer la date de règlement prévue ? Si le paiement est déjà parti, merci de nous envoyer la preuve et ne tenez pas compte de ce message. "&amp;Paramètres!$B$11&amp;", "&amp;Paramètres!$B$12,IF(K191="En retard","Bonjour "&amp;D191&amp;", votre commande "&amp;A191&amp;" ("&amp;E191&amp;", "&amp;F191&amp;" pièces) prévue le "&amp;TEXT(I191,"dd/mm/yyyy")&amp;" a pris du retard. Nous vous confirmons la nouvelle date de livraison dans la journée. Toutes nos excuses pour ce contretemps. "&amp;Paramètres!$B$11&amp;", "&amp;Paramètres!$B$12,""))))</f>
        <v/>
      </c>
      <c r="T191" s="21" t="n"/>
      <c r="U191" s="26" t="n"/>
      <c r="V191" s="21" t="n"/>
    </row>
    <row r="192">
      <c r="A192" s="21" t="n"/>
      <c r="B192" s="26" t="n"/>
      <c r="C192" s="21" t="n"/>
      <c r="D192" s="25">
        <f>IF(C192="","",IFERROR(VLOOKUP(C192,Revendeurs!$A:$B,2,FALSE),"Code inconnu"))</f>
        <v/>
      </c>
      <c r="E192" s="21" t="n"/>
      <c r="F192" s="21" t="n"/>
      <c r="G192" s="22" t="n"/>
      <c r="H192" s="23">
        <f>IF(OR(F192="",G192=""),"",F192*G192)</f>
        <v/>
      </c>
      <c r="I192" s="26" t="n"/>
      <c r="J192" s="26" t="n"/>
      <c r="K192" s="25">
        <f>IF(B192="","",IF(J192&lt;&gt;"","Livrée",IF(I192="","À planifier",IF(Paramètres!$B$4&gt;I192+Paramètres!$B$8,"En retard","En cours"))))</f>
        <v/>
      </c>
      <c r="L192" s="25">
        <f>IF(K192="En retard",Paramètres!$B$4-I192,"")</f>
        <v/>
      </c>
      <c r="M192" s="27">
        <f>IF(OR(B192="",J192=""),"",J192+IFERROR(IF(VLOOKUP(C192,Revendeurs!$A:$G,7,FALSE)="",Paramètres!$B$9,VLOOKUP(C192,Revendeurs!$A:$G,7,FALSE)),Paramètres!$B$9))</f>
        <v/>
      </c>
      <c r="N192" s="22" t="n"/>
      <c r="O192" s="23">
        <f>IF(H192="","",H192-N192)</f>
        <v/>
      </c>
      <c r="P192" s="25">
        <f>IF(OR(M192="",O192=""),"",IF(O192&lt;=0,0,MAX(0,Paramètres!$B$4-M192)))</f>
        <v/>
      </c>
      <c r="Q192" s="25">
        <f>IF(H192="","",IF(O192&lt;=0,"Payée",IF(M192="","Pas encore livrée",IF(P192=0,"Non échue",IF(P192&gt;=Paramètres!$B$7,"Relance 3 : appel direction",IF(P192&gt;=Paramètres!$B$6,"Relance 2",IF(P192&gt;=Paramètres!$B$5,"Relance 1","Échue, relance à venir")))))))</f>
        <v/>
      </c>
      <c r="R192" s="25">
        <f>IF(B192="","",IF(U192=Paramètres!$B$4,"Relancé aujourd'hui",TRIM(IF(LEFT(Q192,7)="Relance",Q192&amp;" ","")&amp;IF(K192="En retard","· Prévenir du retard de livraison",""))))</f>
        <v/>
      </c>
      <c r="S192" s="28">
        <f>IF(B192="","",IF(LEFT(Q192,9)="Relance 3","Bonjour "&amp;D192&amp;", nous revenons vers vous au sujet de la commande "&amp;A192&amp;" du "&amp;TEXT(B192,"dd/mm/yyyy")&amp;" : "&amp;SUBSTITUTE(TEXT(O192,"#,##0"),","," ")&amp;" FCFA restent à régler depuis le "&amp;TEXT(M192,"dd/mm/yyyy")&amp;". Notre responsable souhaite vous appeler pour convenir ensemble d'une solution. Quel moment vous arrange cette semaine ? "&amp;Paramètres!$B$11&amp;", "&amp;Paramètres!$B$12,IF(LEFT(Q192,7)="Relance","Bonjour "&amp;D192&amp;", sauf erreur de notre part, la commande "&amp;A192&amp;" du "&amp;TEXT(B192,"dd/mm/yyyy")&amp;" ("&amp;E192&amp;") présente un reste à payer de "&amp;SUBSTITUTE(TEXT(O192,"#,##0"),","," ")&amp;" FCFA, échu depuis le "&amp;TEXT(M192,"dd/mm/yyyy")&amp;". Pouvez-vous nous indiquer la date de règlement prévue ? Si le paiement est déjà parti, merci de nous envoyer la preuve et ne tenez pas compte de ce message. "&amp;Paramètres!$B$11&amp;", "&amp;Paramètres!$B$12,IF(K192="En retard","Bonjour "&amp;D192&amp;", votre commande "&amp;A192&amp;" ("&amp;E192&amp;", "&amp;F192&amp;" pièces) prévue le "&amp;TEXT(I192,"dd/mm/yyyy")&amp;" a pris du retard. Nous vous confirmons la nouvelle date de livraison dans la journée. Toutes nos excuses pour ce contretemps. "&amp;Paramètres!$B$11&amp;", "&amp;Paramètres!$B$12,""))))</f>
        <v/>
      </c>
      <c r="T192" s="21" t="n"/>
      <c r="U192" s="26" t="n"/>
      <c r="V192" s="21" t="n"/>
    </row>
    <row r="193">
      <c r="A193" s="21" t="n"/>
      <c r="B193" s="26" t="n"/>
      <c r="C193" s="21" t="n"/>
      <c r="D193" s="25">
        <f>IF(C193="","",IFERROR(VLOOKUP(C193,Revendeurs!$A:$B,2,FALSE),"Code inconnu"))</f>
        <v/>
      </c>
      <c r="E193" s="21" t="n"/>
      <c r="F193" s="21" t="n"/>
      <c r="G193" s="22" t="n"/>
      <c r="H193" s="23">
        <f>IF(OR(F193="",G193=""),"",F193*G193)</f>
        <v/>
      </c>
      <c r="I193" s="26" t="n"/>
      <c r="J193" s="26" t="n"/>
      <c r="K193" s="25">
        <f>IF(B193="","",IF(J193&lt;&gt;"","Livrée",IF(I193="","À planifier",IF(Paramètres!$B$4&gt;I193+Paramètres!$B$8,"En retard","En cours"))))</f>
        <v/>
      </c>
      <c r="L193" s="25">
        <f>IF(K193="En retard",Paramètres!$B$4-I193,"")</f>
        <v/>
      </c>
      <c r="M193" s="27">
        <f>IF(OR(B193="",J193=""),"",J193+IFERROR(IF(VLOOKUP(C193,Revendeurs!$A:$G,7,FALSE)="",Paramètres!$B$9,VLOOKUP(C193,Revendeurs!$A:$G,7,FALSE)),Paramètres!$B$9))</f>
        <v/>
      </c>
      <c r="N193" s="22" t="n"/>
      <c r="O193" s="23">
        <f>IF(H193="","",H193-N193)</f>
        <v/>
      </c>
      <c r="P193" s="25">
        <f>IF(OR(M193="",O193=""),"",IF(O193&lt;=0,0,MAX(0,Paramètres!$B$4-M193)))</f>
        <v/>
      </c>
      <c r="Q193" s="25">
        <f>IF(H193="","",IF(O193&lt;=0,"Payée",IF(M193="","Pas encore livrée",IF(P193=0,"Non échue",IF(P193&gt;=Paramètres!$B$7,"Relance 3 : appel direction",IF(P193&gt;=Paramètres!$B$6,"Relance 2",IF(P193&gt;=Paramètres!$B$5,"Relance 1","Échue, relance à venir")))))))</f>
        <v/>
      </c>
      <c r="R193" s="25">
        <f>IF(B193="","",IF(U193=Paramètres!$B$4,"Relancé aujourd'hui",TRIM(IF(LEFT(Q193,7)="Relance",Q193&amp;" ","")&amp;IF(K193="En retard","· Prévenir du retard de livraison",""))))</f>
        <v/>
      </c>
      <c r="S193" s="28">
        <f>IF(B193="","",IF(LEFT(Q193,9)="Relance 3","Bonjour "&amp;D193&amp;", nous revenons vers vous au sujet de la commande "&amp;A193&amp;" du "&amp;TEXT(B193,"dd/mm/yyyy")&amp;" : "&amp;SUBSTITUTE(TEXT(O193,"#,##0"),","," ")&amp;" FCFA restent à régler depuis le "&amp;TEXT(M193,"dd/mm/yyyy")&amp;". Notre responsable souhaite vous appeler pour convenir ensemble d'une solution. Quel moment vous arrange cette semaine ? "&amp;Paramètres!$B$11&amp;", "&amp;Paramètres!$B$12,IF(LEFT(Q193,7)="Relance","Bonjour "&amp;D193&amp;", sauf erreur de notre part, la commande "&amp;A193&amp;" du "&amp;TEXT(B193,"dd/mm/yyyy")&amp;" ("&amp;E193&amp;") présente un reste à payer de "&amp;SUBSTITUTE(TEXT(O193,"#,##0"),","," ")&amp;" FCFA, échu depuis le "&amp;TEXT(M193,"dd/mm/yyyy")&amp;". Pouvez-vous nous indiquer la date de règlement prévue ? Si le paiement est déjà parti, merci de nous envoyer la preuve et ne tenez pas compte de ce message. "&amp;Paramètres!$B$11&amp;", "&amp;Paramètres!$B$12,IF(K193="En retard","Bonjour "&amp;D193&amp;", votre commande "&amp;A193&amp;" ("&amp;E193&amp;", "&amp;F193&amp;" pièces) prévue le "&amp;TEXT(I193,"dd/mm/yyyy")&amp;" a pris du retard. Nous vous confirmons la nouvelle date de livraison dans la journée. Toutes nos excuses pour ce contretemps. "&amp;Paramètres!$B$11&amp;", "&amp;Paramètres!$B$12,""))))</f>
        <v/>
      </c>
      <c r="T193" s="21" t="n"/>
      <c r="U193" s="26" t="n"/>
      <c r="V193" s="21" t="n"/>
    </row>
    <row r="194">
      <c r="A194" s="21" t="n"/>
      <c r="B194" s="26" t="n"/>
      <c r="C194" s="21" t="n"/>
      <c r="D194" s="25">
        <f>IF(C194="","",IFERROR(VLOOKUP(C194,Revendeurs!$A:$B,2,FALSE),"Code inconnu"))</f>
        <v/>
      </c>
      <c r="E194" s="21" t="n"/>
      <c r="F194" s="21" t="n"/>
      <c r="G194" s="22" t="n"/>
      <c r="H194" s="23">
        <f>IF(OR(F194="",G194=""),"",F194*G194)</f>
        <v/>
      </c>
      <c r="I194" s="26" t="n"/>
      <c r="J194" s="26" t="n"/>
      <c r="K194" s="25">
        <f>IF(B194="","",IF(J194&lt;&gt;"","Livrée",IF(I194="","À planifier",IF(Paramètres!$B$4&gt;I194+Paramètres!$B$8,"En retard","En cours"))))</f>
        <v/>
      </c>
      <c r="L194" s="25">
        <f>IF(K194="En retard",Paramètres!$B$4-I194,"")</f>
        <v/>
      </c>
      <c r="M194" s="27">
        <f>IF(OR(B194="",J194=""),"",J194+IFERROR(IF(VLOOKUP(C194,Revendeurs!$A:$G,7,FALSE)="",Paramètres!$B$9,VLOOKUP(C194,Revendeurs!$A:$G,7,FALSE)),Paramètres!$B$9))</f>
        <v/>
      </c>
      <c r="N194" s="22" t="n"/>
      <c r="O194" s="23">
        <f>IF(H194="","",H194-N194)</f>
        <v/>
      </c>
      <c r="P194" s="25">
        <f>IF(OR(M194="",O194=""),"",IF(O194&lt;=0,0,MAX(0,Paramètres!$B$4-M194)))</f>
        <v/>
      </c>
      <c r="Q194" s="25">
        <f>IF(H194="","",IF(O194&lt;=0,"Payée",IF(M194="","Pas encore livrée",IF(P194=0,"Non échue",IF(P194&gt;=Paramètres!$B$7,"Relance 3 : appel direction",IF(P194&gt;=Paramètres!$B$6,"Relance 2",IF(P194&gt;=Paramètres!$B$5,"Relance 1","Échue, relance à venir")))))))</f>
        <v/>
      </c>
      <c r="R194" s="25">
        <f>IF(B194="","",IF(U194=Paramètres!$B$4,"Relancé aujourd'hui",TRIM(IF(LEFT(Q194,7)="Relance",Q194&amp;" ","")&amp;IF(K194="En retard","· Prévenir du retard de livraison",""))))</f>
        <v/>
      </c>
      <c r="S194" s="28">
        <f>IF(B194="","",IF(LEFT(Q194,9)="Relance 3","Bonjour "&amp;D194&amp;", nous revenons vers vous au sujet de la commande "&amp;A194&amp;" du "&amp;TEXT(B194,"dd/mm/yyyy")&amp;" : "&amp;SUBSTITUTE(TEXT(O194,"#,##0"),","," ")&amp;" FCFA restent à régler depuis le "&amp;TEXT(M194,"dd/mm/yyyy")&amp;". Notre responsable souhaite vous appeler pour convenir ensemble d'une solution. Quel moment vous arrange cette semaine ? "&amp;Paramètres!$B$11&amp;", "&amp;Paramètres!$B$12,IF(LEFT(Q194,7)="Relance","Bonjour "&amp;D194&amp;", sauf erreur de notre part, la commande "&amp;A194&amp;" du "&amp;TEXT(B194,"dd/mm/yyyy")&amp;" ("&amp;E194&amp;") présente un reste à payer de "&amp;SUBSTITUTE(TEXT(O194,"#,##0"),","," ")&amp;" FCFA, échu depuis le "&amp;TEXT(M194,"dd/mm/yyyy")&amp;". Pouvez-vous nous indiquer la date de règlement prévue ? Si le paiement est déjà parti, merci de nous envoyer la preuve et ne tenez pas compte de ce message. "&amp;Paramètres!$B$11&amp;", "&amp;Paramètres!$B$12,IF(K194="En retard","Bonjour "&amp;D194&amp;", votre commande "&amp;A194&amp;" ("&amp;E194&amp;", "&amp;F194&amp;" pièces) prévue le "&amp;TEXT(I194,"dd/mm/yyyy")&amp;" a pris du retard. Nous vous confirmons la nouvelle date de livraison dans la journée. Toutes nos excuses pour ce contretemps. "&amp;Paramètres!$B$11&amp;", "&amp;Paramètres!$B$12,""))))</f>
        <v/>
      </c>
      <c r="T194" s="21" t="n"/>
      <c r="U194" s="26" t="n"/>
      <c r="V194" s="21" t="n"/>
    </row>
    <row r="195">
      <c r="A195" s="21" t="n"/>
      <c r="B195" s="26" t="n"/>
      <c r="C195" s="21" t="n"/>
      <c r="D195" s="25">
        <f>IF(C195="","",IFERROR(VLOOKUP(C195,Revendeurs!$A:$B,2,FALSE),"Code inconnu"))</f>
        <v/>
      </c>
      <c r="E195" s="21" t="n"/>
      <c r="F195" s="21" t="n"/>
      <c r="G195" s="22" t="n"/>
      <c r="H195" s="23">
        <f>IF(OR(F195="",G195=""),"",F195*G195)</f>
        <v/>
      </c>
      <c r="I195" s="26" t="n"/>
      <c r="J195" s="26" t="n"/>
      <c r="K195" s="25">
        <f>IF(B195="","",IF(J195&lt;&gt;"","Livrée",IF(I195="","À planifier",IF(Paramètres!$B$4&gt;I195+Paramètres!$B$8,"En retard","En cours"))))</f>
        <v/>
      </c>
      <c r="L195" s="25">
        <f>IF(K195="En retard",Paramètres!$B$4-I195,"")</f>
        <v/>
      </c>
      <c r="M195" s="27">
        <f>IF(OR(B195="",J195=""),"",J195+IFERROR(IF(VLOOKUP(C195,Revendeurs!$A:$G,7,FALSE)="",Paramètres!$B$9,VLOOKUP(C195,Revendeurs!$A:$G,7,FALSE)),Paramètres!$B$9))</f>
        <v/>
      </c>
      <c r="N195" s="22" t="n"/>
      <c r="O195" s="23">
        <f>IF(H195="","",H195-N195)</f>
        <v/>
      </c>
      <c r="P195" s="25">
        <f>IF(OR(M195="",O195=""),"",IF(O195&lt;=0,0,MAX(0,Paramètres!$B$4-M195)))</f>
        <v/>
      </c>
      <c r="Q195" s="25">
        <f>IF(H195="","",IF(O195&lt;=0,"Payée",IF(M195="","Pas encore livrée",IF(P195=0,"Non échue",IF(P195&gt;=Paramètres!$B$7,"Relance 3 : appel direction",IF(P195&gt;=Paramètres!$B$6,"Relance 2",IF(P195&gt;=Paramètres!$B$5,"Relance 1","Échue, relance à venir")))))))</f>
        <v/>
      </c>
      <c r="R195" s="25">
        <f>IF(B195="","",IF(U195=Paramètres!$B$4,"Relancé aujourd'hui",TRIM(IF(LEFT(Q195,7)="Relance",Q195&amp;" ","")&amp;IF(K195="En retard","· Prévenir du retard de livraison",""))))</f>
        <v/>
      </c>
      <c r="S195" s="28">
        <f>IF(B195="","",IF(LEFT(Q195,9)="Relance 3","Bonjour "&amp;D195&amp;", nous revenons vers vous au sujet de la commande "&amp;A195&amp;" du "&amp;TEXT(B195,"dd/mm/yyyy")&amp;" : "&amp;SUBSTITUTE(TEXT(O195,"#,##0"),","," ")&amp;" FCFA restent à régler depuis le "&amp;TEXT(M195,"dd/mm/yyyy")&amp;". Notre responsable souhaite vous appeler pour convenir ensemble d'une solution. Quel moment vous arrange cette semaine ? "&amp;Paramètres!$B$11&amp;", "&amp;Paramètres!$B$12,IF(LEFT(Q195,7)="Relance","Bonjour "&amp;D195&amp;", sauf erreur de notre part, la commande "&amp;A195&amp;" du "&amp;TEXT(B195,"dd/mm/yyyy")&amp;" ("&amp;E195&amp;") présente un reste à payer de "&amp;SUBSTITUTE(TEXT(O195,"#,##0"),","," ")&amp;" FCFA, échu depuis le "&amp;TEXT(M195,"dd/mm/yyyy")&amp;". Pouvez-vous nous indiquer la date de règlement prévue ? Si le paiement est déjà parti, merci de nous envoyer la preuve et ne tenez pas compte de ce message. "&amp;Paramètres!$B$11&amp;", "&amp;Paramètres!$B$12,IF(K195="En retard","Bonjour "&amp;D195&amp;", votre commande "&amp;A195&amp;" ("&amp;E195&amp;", "&amp;F195&amp;" pièces) prévue le "&amp;TEXT(I195,"dd/mm/yyyy")&amp;" a pris du retard. Nous vous confirmons la nouvelle date de livraison dans la journée. Toutes nos excuses pour ce contretemps. "&amp;Paramètres!$B$11&amp;", "&amp;Paramètres!$B$12,""))))</f>
        <v/>
      </c>
      <c r="T195" s="21" t="n"/>
      <c r="U195" s="26" t="n"/>
      <c r="V195" s="21" t="n"/>
    </row>
    <row r="196">
      <c r="A196" s="21" t="n"/>
      <c r="B196" s="26" t="n"/>
      <c r="C196" s="21" t="n"/>
      <c r="D196" s="25">
        <f>IF(C196="","",IFERROR(VLOOKUP(C196,Revendeurs!$A:$B,2,FALSE),"Code inconnu"))</f>
        <v/>
      </c>
      <c r="E196" s="21" t="n"/>
      <c r="F196" s="21" t="n"/>
      <c r="G196" s="22" t="n"/>
      <c r="H196" s="23">
        <f>IF(OR(F196="",G196=""),"",F196*G196)</f>
        <v/>
      </c>
      <c r="I196" s="26" t="n"/>
      <c r="J196" s="26" t="n"/>
      <c r="K196" s="25">
        <f>IF(B196="","",IF(J196&lt;&gt;"","Livrée",IF(I196="","À planifier",IF(Paramètres!$B$4&gt;I196+Paramètres!$B$8,"En retard","En cours"))))</f>
        <v/>
      </c>
      <c r="L196" s="25">
        <f>IF(K196="En retard",Paramètres!$B$4-I196,"")</f>
        <v/>
      </c>
      <c r="M196" s="27">
        <f>IF(OR(B196="",J196=""),"",J196+IFERROR(IF(VLOOKUP(C196,Revendeurs!$A:$G,7,FALSE)="",Paramètres!$B$9,VLOOKUP(C196,Revendeurs!$A:$G,7,FALSE)),Paramètres!$B$9))</f>
        <v/>
      </c>
      <c r="N196" s="22" t="n"/>
      <c r="O196" s="23">
        <f>IF(H196="","",H196-N196)</f>
        <v/>
      </c>
      <c r="P196" s="25">
        <f>IF(OR(M196="",O196=""),"",IF(O196&lt;=0,0,MAX(0,Paramètres!$B$4-M196)))</f>
        <v/>
      </c>
      <c r="Q196" s="25">
        <f>IF(H196="","",IF(O196&lt;=0,"Payée",IF(M196="","Pas encore livrée",IF(P196=0,"Non échue",IF(P196&gt;=Paramètres!$B$7,"Relance 3 : appel direction",IF(P196&gt;=Paramètres!$B$6,"Relance 2",IF(P196&gt;=Paramètres!$B$5,"Relance 1","Échue, relance à venir")))))))</f>
        <v/>
      </c>
      <c r="R196" s="25">
        <f>IF(B196="","",IF(U196=Paramètres!$B$4,"Relancé aujourd'hui",TRIM(IF(LEFT(Q196,7)="Relance",Q196&amp;" ","")&amp;IF(K196="En retard","· Prévenir du retard de livraison",""))))</f>
        <v/>
      </c>
      <c r="S196" s="28">
        <f>IF(B196="","",IF(LEFT(Q196,9)="Relance 3","Bonjour "&amp;D196&amp;", nous revenons vers vous au sujet de la commande "&amp;A196&amp;" du "&amp;TEXT(B196,"dd/mm/yyyy")&amp;" : "&amp;SUBSTITUTE(TEXT(O196,"#,##0"),","," ")&amp;" FCFA restent à régler depuis le "&amp;TEXT(M196,"dd/mm/yyyy")&amp;". Notre responsable souhaite vous appeler pour convenir ensemble d'une solution. Quel moment vous arrange cette semaine ? "&amp;Paramètres!$B$11&amp;", "&amp;Paramètres!$B$12,IF(LEFT(Q196,7)="Relance","Bonjour "&amp;D196&amp;", sauf erreur de notre part, la commande "&amp;A196&amp;" du "&amp;TEXT(B196,"dd/mm/yyyy")&amp;" ("&amp;E196&amp;") présente un reste à payer de "&amp;SUBSTITUTE(TEXT(O196,"#,##0"),","," ")&amp;" FCFA, échu depuis le "&amp;TEXT(M196,"dd/mm/yyyy")&amp;". Pouvez-vous nous indiquer la date de règlement prévue ? Si le paiement est déjà parti, merci de nous envoyer la preuve et ne tenez pas compte de ce message. "&amp;Paramètres!$B$11&amp;", "&amp;Paramètres!$B$12,IF(K196="En retard","Bonjour "&amp;D196&amp;", votre commande "&amp;A196&amp;" ("&amp;E196&amp;", "&amp;F196&amp;" pièces) prévue le "&amp;TEXT(I196,"dd/mm/yyyy")&amp;" a pris du retard. Nous vous confirmons la nouvelle date de livraison dans la journée. Toutes nos excuses pour ce contretemps. "&amp;Paramètres!$B$11&amp;", "&amp;Paramètres!$B$12,""))))</f>
        <v/>
      </c>
      <c r="T196" s="21" t="n"/>
      <c r="U196" s="26" t="n"/>
      <c r="V196" s="21" t="n"/>
    </row>
    <row r="197">
      <c r="A197" s="21" t="n"/>
      <c r="B197" s="26" t="n"/>
      <c r="C197" s="21" t="n"/>
      <c r="D197" s="25">
        <f>IF(C197="","",IFERROR(VLOOKUP(C197,Revendeurs!$A:$B,2,FALSE),"Code inconnu"))</f>
        <v/>
      </c>
      <c r="E197" s="21" t="n"/>
      <c r="F197" s="21" t="n"/>
      <c r="G197" s="22" t="n"/>
      <c r="H197" s="23">
        <f>IF(OR(F197="",G197=""),"",F197*G197)</f>
        <v/>
      </c>
      <c r="I197" s="26" t="n"/>
      <c r="J197" s="26" t="n"/>
      <c r="K197" s="25">
        <f>IF(B197="","",IF(J197&lt;&gt;"","Livrée",IF(I197="","À planifier",IF(Paramètres!$B$4&gt;I197+Paramètres!$B$8,"En retard","En cours"))))</f>
        <v/>
      </c>
      <c r="L197" s="25">
        <f>IF(K197="En retard",Paramètres!$B$4-I197,"")</f>
        <v/>
      </c>
      <c r="M197" s="27">
        <f>IF(OR(B197="",J197=""),"",J197+IFERROR(IF(VLOOKUP(C197,Revendeurs!$A:$G,7,FALSE)="",Paramètres!$B$9,VLOOKUP(C197,Revendeurs!$A:$G,7,FALSE)),Paramètres!$B$9))</f>
        <v/>
      </c>
      <c r="N197" s="22" t="n"/>
      <c r="O197" s="23">
        <f>IF(H197="","",H197-N197)</f>
        <v/>
      </c>
      <c r="P197" s="25">
        <f>IF(OR(M197="",O197=""),"",IF(O197&lt;=0,0,MAX(0,Paramètres!$B$4-M197)))</f>
        <v/>
      </c>
      <c r="Q197" s="25">
        <f>IF(H197="","",IF(O197&lt;=0,"Payée",IF(M197="","Pas encore livrée",IF(P197=0,"Non échue",IF(P197&gt;=Paramètres!$B$7,"Relance 3 : appel direction",IF(P197&gt;=Paramètres!$B$6,"Relance 2",IF(P197&gt;=Paramètres!$B$5,"Relance 1","Échue, relance à venir")))))))</f>
        <v/>
      </c>
      <c r="R197" s="25">
        <f>IF(B197="","",IF(U197=Paramètres!$B$4,"Relancé aujourd'hui",TRIM(IF(LEFT(Q197,7)="Relance",Q197&amp;" ","")&amp;IF(K197="En retard","· Prévenir du retard de livraison",""))))</f>
        <v/>
      </c>
      <c r="S197" s="28">
        <f>IF(B197="","",IF(LEFT(Q197,9)="Relance 3","Bonjour "&amp;D197&amp;", nous revenons vers vous au sujet de la commande "&amp;A197&amp;" du "&amp;TEXT(B197,"dd/mm/yyyy")&amp;" : "&amp;SUBSTITUTE(TEXT(O197,"#,##0"),","," ")&amp;" FCFA restent à régler depuis le "&amp;TEXT(M197,"dd/mm/yyyy")&amp;". Notre responsable souhaite vous appeler pour convenir ensemble d'une solution. Quel moment vous arrange cette semaine ? "&amp;Paramètres!$B$11&amp;", "&amp;Paramètres!$B$12,IF(LEFT(Q197,7)="Relance","Bonjour "&amp;D197&amp;", sauf erreur de notre part, la commande "&amp;A197&amp;" du "&amp;TEXT(B197,"dd/mm/yyyy")&amp;" ("&amp;E197&amp;") présente un reste à payer de "&amp;SUBSTITUTE(TEXT(O197,"#,##0"),","," ")&amp;" FCFA, échu depuis le "&amp;TEXT(M197,"dd/mm/yyyy")&amp;". Pouvez-vous nous indiquer la date de règlement prévue ? Si le paiement est déjà parti, merci de nous envoyer la preuve et ne tenez pas compte de ce message. "&amp;Paramètres!$B$11&amp;", "&amp;Paramètres!$B$12,IF(K197="En retard","Bonjour "&amp;D197&amp;", votre commande "&amp;A197&amp;" ("&amp;E197&amp;", "&amp;F197&amp;" pièces) prévue le "&amp;TEXT(I197,"dd/mm/yyyy")&amp;" a pris du retard. Nous vous confirmons la nouvelle date de livraison dans la journée. Toutes nos excuses pour ce contretemps. "&amp;Paramètres!$B$11&amp;", "&amp;Paramètres!$B$12,""))))</f>
        <v/>
      </c>
      <c r="T197" s="21" t="n"/>
      <c r="U197" s="26" t="n"/>
      <c r="V197" s="21" t="n"/>
    </row>
    <row r="198">
      <c r="A198" s="21" t="n"/>
      <c r="B198" s="26" t="n"/>
      <c r="C198" s="21" t="n"/>
      <c r="D198" s="25">
        <f>IF(C198="","",IFERROR(VLOOKUP(C198,Revendeurs!$A:$B,2,FALSE),"Code inconnu"))</f>
        <v/>
      </c>
      <c r="E198" s="21" t="n"/>
      <c r="F198" s="21" t="n"/>
      <c r="G198" s="22" t="n"/>
      <c r="H198" s="23">
        <f>IF(OR(F198="",G198=""),"",F198*G198)</f>
        <v/>
      </c>
      <c r="I198" s="26" t="n"/>
      <c r="J198" s="26" t="n"/>
      <c r="K198" s="25">
        <f>IF(B198="","",IF(J198&lt;&gt;"","Livrée",IF(I198="","À planifier",IF(Paramètres!$B$4&gt;I198+Paramètres!$B$8,"En retard","En cours"))))</f>
        <v/>
      </c>
      <c r="L198" s="25">
        <f>IF(K198="En retard",Paramètres!$B$4-I198,"")</f>
        <v/>
      </c>
      <c r="M198" s="27">
        <f>IF(OR(B198="",J198=""),"",J198+IFERROR(IF(VLOOKUP(C198,Revendeurs!$A:$G,7,FALSE)="",Paramètres!$B$9,VLOOKUP(C198,Revendeurs!$A:$G,7,FALSE)),Paramètres!$B$9))</f>
        <v/>
      </c>
      <c r="N198" s="22" t="n"/>
      <c r="O198" s="23">
        <f>IF(H198="","",H198-N198)</f>
        <v/>
      </c>
      <c r="P198" s="25">
        <f>IF(OR(M198="",O198=""),"",IF(O198&lt;=0,0,MAX(0,Paramètres!$B$4-M198)))</f>
        <v/>
      </c>
      <c r="Q198" s="25">
        <f>IF(H198="","",IF(O198&lt;=0,"Payée",IF(M198="","Pas encore livrée",IF(P198=0,"Non échue",IF(P198&gt;=Paramètres!$B$7,"Relance 3 : appel direction",IF(P198&gt;=Paramètres!$B$6,"Relance 2",IF(P198&gt;=Paramètres!$B$5,"Relance 1","Échue, relance à venir")))))))</f>
        <v/>
      </c>
      <c r="R198" s="25">
        <f>IF(B198="","",IF(U198=Paramètres!$B$4,"Relancé aujourd'hui",TRIM(IF(LEFT(Q198,7)="Relance",Q198&amp;" ","")&amp;IF(K198="En retard","· Prévenir du retard de livraison",""))))</f>
        <v/>
      </c>
      <c r="S198" s="28">
        <f>IF(B198="","",IF(LEFT(Q198,9)="Relance 3","Bonjour "&amp;D198&amp;", nous revenons vers vous au sujet de la commande "&amp;A198&amp;" du "&amp;TEXT(B198,"dd/mm/yyyy")&amp;" : "&amp;SUBSTITUTE(TEXT(O198,"#,##0"),","," ")&amp;" FCFA restent à régler depuis le "&amp;TEXT(M198,"dd/mm/yyyy")&amp;". Notre responsable souhaite vous appeler pour convenir ensemble d'une solution. Quel moment vous arrange cette semaine ? "&amp;Paramètres!$B$11&amp;", "&amp;Paramètres!$B$12,IF(LEFT(Q198,7)="Relance","Bonjour "&amp;D198&amp;", sauf erreur de notre part, la commande "&amp;A198&amp;" du "&amp;TEXT(B198,"dd/mm/yyyy")&amp;" ("&amp;E198&amp;") présente un reste à payer de "&amp;SUBSTITUTE(TEXT(O198,"#,##0"),","," ")&amp;" FCFA, échu depuis le "&amp;TEXT(M198,"dd/mm/yyyy")&amp;". Pouvez-vous nous indiquer la date de règlement prévue ? Si le paiement est déjà parti, merci de nous envoyer la preuve et ne tenez pas compte de ce message. "&amp;Paramètres!$B$11&amp;", "&amp;Paramètres!$B$12,IF(K198="En retard","Bonjour "&amp;D198&amp;", votre commande "&amp;A198&amp;" ("&amp;E198&amp;", "&amp;F198&amp;" pièces) prévue le "&amp;TEXT(I198,"dd/mm/yyyy")&amp;" a pris du retard. Nous vous confirmons la nouvelle date de livraison dans la journée. Toutes nos excuses pour ce contretemps. "&amp;Paramètres!$B$11&amp;", "&amp;Paramètres!$B$12,""))))</f>
        <v/>
      </c>
      <c r="T198" s="21" t="n"/>
      <c r="U198" s="26" t="n"/>
      <c r="V198" s="21" t="n"/>
    </row>
    <row r="199">
      <c r="A199" s="21" t="n"/>
      <c r="B199" s="26" t="n"/>
      <c r="C199" s="21" t="n"/>
      <c r="D199" s="25">
        <f>IF(C199="","",IFERROR(VLOOKUP(C199,Revendeurs!$A:$B,2,FALSE),"Code inconnu"))</f>
        <v/>
      </c>
      <c r="E199" s="21" t="n"/>
      <c r="F199" s="21" t="n"/>
      <c r="G199" s="22" t="n"/>
      <c r="H199" s="23">
        <f>IF(OR(F199="",G199=""),"",F199*G199)</f>
        <v/>
      </c>
      <c r="I199" s="26" t="n"/>
      <c r="J199" s="26" t="n"/>
      <c r="K199" s="25">
        <f>IF(B199="","",IF(J199&lt;&gt;"","Livrée",IF(I199="","À planifier",IF(Paramètres!$B$4&gt;I199+Paramètres!$B$8,"En retard","En cours"))))</f>
        <v/>
      </c>
      <c r="L199" s="25">
        <f>IF(K199="En retard",Paramètres!$B$4-I199,"")</f>
        <v/>
      </c>
      <c r="M199" s="27">
        <f>IF(OR(B199="",J199=""),"",J199+IFERROR(IF(VLOOKUP(C199,Revendeurs!$A:$G,7,FALSE)="",Paramètres!$B$9,VLOOKUP(C199,Revendeurs!$A:$G,7,FALSE)),Paramètres!$B$9))</f>
        <v/>
      </c>
      <c r="N199" s="22" t="n"/>
      <c r="O199" s="23">
        <f>IF(H199="","",H199-N199)</f>
        <v/>
      </c>
      <c r="P199" s="25">
        <f>IF(OR(M199="",O199=""),"",IF(O199&lt;=0,0,MAX(0,Paramètres!$B$4-M199)))</f>
        <v/>
      </c>
      <c r="Q199" s="25">
        <f>IF(H199="","",IF(O199&lt;=0,"Payée",IF(M199="","Pas encore livrée",IF(P199=0,"Non échue",IF(P199&gt;=Paramètres!$B$7,"Relance 3 : appel direction",IF(P199&gt;=Paramètres!$B$6,"Relance 2",IF(P199&gt;=Paramètres!$B$5,"Relance 1","Échue, relance à venir")))))))</f>
        <v/>
      </c>
      <c r="R199" s="25">
        <f>IF(B199="","",IF(U199=Paramètres!$B$4,"Relancé aujourd'hui",TRIM(IF(LEFT(Q199,7)="Relance",Q199&amp;" ","")&amp;IF(K199="En retard","· Prévenir du retard de livraison",""))))</f>
        <v/>
      </c>
      <c r="S199" s="28">
        <f>IF(B199="","",IF(LEFT(Q199,9)="Relance 3","Bonjour "&amp;D199&amp;", nous revenons vers vous au sujet de la commande "&amp;A199&amp;" du "&amp;TEXT(B199,"dd/mm/yyyy")&amp;" : "&amp;SUBSTITUTE(TEXT(O199,"#,##0"),","," ")&amp;" FCFA restent à régler depuis le "&amp;TEXT(M199,"dd/mm/yyyy")&amp;". Notre responsable souhaite vous appeler pour convenir ensemble d'une solution. Quel moment vous arrange cette semaine ? "&amp;Paramètres!$B$11&amp;", "&amp;Paramètres!$B$12,IF(LEFT(Q199,7)="Relance","Bonjour "&amp;D199&amp;", sauf erreur de notre part, la commande "&amp;A199&amp;" du "&amp;TEXT(B199,"dd/mm/yyyy")&amp;" ("&amp;E199&amp;") présente un reste à payer de "&amp;SUBSTITUTE(TEXT(O199,"#,##0"),","," ")&amp;" FCFA, échu depuis le "&amp;TEXT(M199,"dd/mm/yyyy")&amp;". Pouvez-vous nous indiquer la date de règlement prévue ? Si le paiement est déjà parti, merci de nous envoyer la preuve et ne tenez pas compte de ce message. "&amp;Paramètres!$B$11&amp;", "&amp;Paramètres!$B$12,IF(K199="En retard","Bonjour "&amp;D199&amp;", votre commande "&amp;A199&amp;" ("&amp;E199&amp;", "&amp;F199&amp;" pièces) prévue le "&amp;TEXT(I199,"dd/mm/yyyy")&amp;" a pris du retard. Nous vous confirmons la nouvelle date de livraison dans la journée. Toutes nos excuses pour ce contretemps. "&amp;Paramètres!$B$11&amp;", "&amp;Paramètres!$B$12,""))))</f>
        <v/>
      </c>
      <c r="T199" s="21" t="n"/>
      <c r="U199" s="26" t="n"/>
      <c r="V199" s="21" t="n"/>
    </row>
    <row r="200">
      <c r="A200" s="21" t="n"/>
      <c r="B200" s="26" t="n"/>
      <c r="C200" s="21" t="n"/>
      <c r="D200" s="25">
        <f>IF(C200="","",IFERROR(VLOOKUP(C200,Revendeurs!$A:$B,2,FALSE),"Code inconnu"))</f>
        <v/>
      </c>
      <c r="E200" s="21" t="n"/>
      <c r="F200" s="21" t="n"/>
      <c r="G200" s="22" t="n"/>
      <c r="H200" s="23">
        <f>IF(OR(F200="",G200=""),"",F200*G200)</f>
        <v/>
      </c>
      <c r="I200" s="26" t="n"/>
      <c r="J200" s="26" t="n"/>
      <c r="K200" s="25">
        <f>IF(B200="","",IF(J200&lt;&gt;"","Livrée",IF(I200="","À planifier",IF(Paramètres!$B$4&gt;I200+Paramètres!$B$8,"En retard","En cours"))))</f>
        <v/>
      </c>
      <c r="L200" s="25">
        <f>IF(K200="En retard",Paramètres!$B$4-I200,"")</f>
        <v/>
      </c>
      <c r="M200" s="27">
        <f>IF(OR(B200="",J200=""),"",J200+IFERROR(IF(VLOOKUP(C200,Revendeurs!$A:$G,7,FALSE)="",Paramètres!$B$9,VLOOKUP(C200,Revendeurs!$A:$G,7,FALSE)),Paramètres!$B$9))</f>
        <v/>
      </c>
      <c r="N200" s="22" t="n"/>
      <c r="O200" s="23">
        <f>IF(H200="","",H200-N200)</f>
        <v/>
      </c>
      <c r="P200" s="25">
        <f>IF(OR(M200="",O200=""),"",IF(O200&lt;=0,0,MAX(0,Paramètres!$B$4-M200)))</f>
        <v/>
      </c>
      <c r="Q200" s="25">
        <f>IF(H200="","",IF(O200&lt;=0,"Payée",IF(M200="","Pas encore livrée",IF(P200=0,"Non échue",IF(P200&gt;=Paramètres!$B$7,"Relance 3 : appel direction",IF(P200&gt;=Paramètres!$B$6,"Relance 2",IF(P200&gt;=Paramètres!$B$5,"Relance 1","Échue, relance à venir")))))))</f>
        <v/>
      </c>
      <c r="R200" s="25">
        <f>IF(B200="","",IF(U200=Paramètres!$B$4,"Relancé aujourd'hui",TRIM(IF(LEFT(Q200,7)="Relance",Q200&amp;" ","")&amp;IF(K200="En retard","· Prévenir du retard de livraison",""))))</f>
        <v/>
      </c>
      <c r="S200" s="28">
        <f>IF(B200="","",IF(LEFT(Q200,9)="Relance 3","Bonjour "&amp;D200&amp;", nous revenons vers vous au sujet de la commande "&amp;A200&amp;" du "&amp;TEXT(B200,"dd/mm/yyyy")&amp;" : "&amp;SUBSTITUTE(TEXT(O200,"#,##0"),","," ")&amp;" FCFA restent à régler depuis le "&amp;TEXT(M200,"dd/mm/yyyy")&amp;". Notre responsable souhaite vous appeler pour convenir ensemble d'une solution. Quel moment vous arrange cette semaine ? "&amp;Paramètres!$B$11&amp;", "&amp;Paramètres!$B$12,IF(LEFT(Q200,7)="Relance","Bonjour "&amp;D200&amp;", sauf erreur de notre part, la commande "&amp;A200&amp;" du "&amp;TEXT(B200,"dd/mm/yyyy")&amp;" ("&amp;E200&amp;") présente un reste à payer de "&amp;SUBSTITUTE(TEXT(O200,"#,##0"),","," ")&amp;" FCFA, échu depuis le "&amp;TEXT(M200,"dd/mm/yyyy")&amp;". Pouvez-vous nous indiquer la date de règlement prévue ? Si le paiement est déjà parti, merci de nous envoyer la preuve et ne tenez pas compte de ce message. "&amp;Paramètres!$B$11&amp;", "&amp;Paramètres!$B$12,IF(K200="En retard","Bonjour "&amp;D200&amp;", votre commande "&amp;A200&amp;" ("&amp;E200&amp;", "&amp;F200&amp;" pièces) prévue le "&amp;TEXT(I200,"dd/mm/yyyy")&amp;" a pris du retard. Nous vous confirmons la nouvelle date de livraison dans la journée. Toutes nos excuses pour ce contretemps. "&amp;Paramètres!$B$11&amp;", "&amp;Paramètres!$B$12,""))))</f>
        <v/>
      </c>
      <c r="T200" s="21" t="n"/>
      <c r="U200" s="26" t="n"/>
      <c r="V200" s="21" t="n"/>
    </row>
    <row r="201">
      <c r="A201" s="21" t="n"/>
      <c r="B201" s="26" t="n"/>
      <c r="C201" s="21" t="n"/>
      <c r="D201" s="25">
        <f>IF(C201="","",IFERROR(VLOOKUP(C201,Revendeurs!$A:$B,2,FALSE),"Code inconnu"))</f>
        <v/>
      </c>
      <c r="E201" s="21" t="n"/>
      <c r="F201" s="21" t="n"/>
      <c r="G201" s="22" t="n"/>
      <c r="H201" s="23">
        <f>IF(OR(F201="",G201=""),"",F201*G201)</f>
        <v/>
      </c>
      <c r="I201" s="26" t="n"/>
      <c r="J201" s="26" t="n"/>
      <c r="K201" s="25">
        <f>IF(B201="","",IF(J201&lt;&gt;"","Livrée",IF(I201="","À planifier",IF(Paramètres!$B$4&gt;I201+Paramètres!$B$8,"En retard","En cours"))))</f>
        <v/>
      </c>
      <c r="L201" s="25">
        <f>IF(K201="En retard",Paramètres!$B$4-I201,"")</f>
        <v/>
      </c>
      <c r="M201" s="27">
        <f>IF(OR(B201="",J201=""),"",J201+IFERROR(IF(VLOOKUP(C201,Revendeurs!$A:$G,7,FALSE)="",Paramètres!$B$9,VLOOKUP(C201,Revendeurs!$A:$G,7,FALSE)),Paramètres!$B$9))</f>
        <v/>
      </c>
      <c r="N201" s="22" t="n"/>
      <c r="O201" s="23">
        <f>IF(H201="","",H201-N201)</f>
        <v/>
      </c>
      <c r="P201" s="25">
        <f>IF(OR(M201="",O201=""),"",IF(O201&lt;=0,0,MAX(0,Paramètres!$B$4-M201)))</f>
        <v/>
      </c>
      <c r="Q201" s="25">
        <f>IF(H201="","",IF(O201&lt;=0,"Payée",IF(M201="","Pas encore livrée",IF(P201=0,"Non échue",IF(P201&gt;=Paramètres!$B$7,"Relance 3 : appel direction",IF(P201&gt;=Paramètres!$B$6,"Relance 2",IF(P201&gt;=Paramètres!$B$5,"Relance 1","Échue, relance à venir")))))))</f>
        <v/>
      </c>
      <c r="R201" s="25">
        <f>IF(B201="","",IF(U201=Paramètres!$B$4,"Relancé aujourd'hui",TRIM(IF(LEFT(Q201,7)="Relance",Q201&amp;" ","")&amp;IF(K201="En retard","· Prévenir du retard de livraison",""))))</f>
        <v/>
      </c>
      <c r="S201" s="28">
        <f>IF(B201="","",IF(LEFT(Q201,9)="Relance 3","Bonjour "&amp;D201&amp;", nous revenons vers vous au sujet de la commande "&amp;A201&amp;" du "&amp;TEXT(B201,"dd/mm/yyyy")&amp;" : "&amp;SUBSTITUTE(TEXT(O201,"#,##0"),","," ")&amp;" FCFA restent à régler depuis le "&amp;TEXT(M201,"dd/mm/yyyy")&amp;". Notre responsable souhaite vous appeler pour convenir ensemble d'une solution. Quel moment vous arrange cette semaine ? "&amp;Paramètres!$B$11&amp;", "&amp;Paramètres!$B$12,IF(LEFT(Q201,7)="Relance","Bonjour "&amp;D201&amp;", sauf erreur de notre part, la commande "&amp;A201&amp;" du "&amp;TEXT(B201,"dd/mm/yyyy")&amp;" ("&amp;E201&amp;") présente un reste à payer de "&amp;SUBSTITUTE(TEXT(O201,"#,##0"),","," ")&amp;" FCFA, échu depuis le "&amp;TEXT(M201,"dd/mm/yyyy")&amp;". Pouvez-vous nous indiquer la date de règlement prévue ? Si le paiement est déjà parti, merci de nous envoyer la preuve et ne tenez pas compte de ce message. "&amp;Paramètres!$B$11&amp;", "&amp;Paramètres!$B$12,IF(K201="En retard","Bonjour "&amp;D201&amp;", votre commande "&amp;A201&amp;" ("&amp;E201&amp;", "&amp;F201&amp;" pièces) prévue le "&amp;TEXT(I201,"dd/mm/yyyy")&amp;" a pris du retard. Nous vous confirmons la nouvelle date de livraison dans la journée. Toutes nos excuses pour ce contretemps. "&amp;Paramètres!$B$11&amp;", "&amp;Paramètres!$B$12,""))))</f>
        <v/>
      </c>
      <c r="T201" s="21" t="n"/>
      <c r="U201" s="26" t="n"/>
      <c r="V201" s="21" t="n"/>
    </row>
    <row r="202">
      <c r="A202" s="21" t="n"/>
      <c r="B202" s="26" t="n"/>
      <c r="C202" s="21" t="n"/>
      <c r="D202" s="25">
        <f>IF(C202="","",IFERROR(VLOOKUP(C202,Revendeurs!$A:$B,2,FALSE),"Code inconnu"))</f>
        <v/>
      </c>
      <c r="E202" s="21" t="n"/>
      <c r="F202" s="21" t="n"/>
      <c r="G202" s="22" t="n"/>
      <c r="H202" s="23">
        <f>IF(OR(F202="",G202=""),"",F202*G202)</f>
        <v/>
      </c>
      <c r="I202" s="26" t="n"/>
      <c r="J202" s="26" t="n"/>
      <c r="K202" s="25">
        <f>IF(B202="","",IF(J202&lt;&gt;"","Livrée",IF(I202="","À planifier",IF(Paramètres!$B$4&gt;I202+Paramètres!$B$8,"En retard","En cours"))))</f>
        <v/>
      </c>
      <c r="L202" s="25">
        <f>IF(K202="En retard",Paramètres!$B$4-I202,"")</f>
        <v/>
      </c>
      <c r="M202" s="27">
        <f>IF(OR(B202="",J202=""),"",J202+IFERROR(IF(VLOOKUP(C202,Revendeurs!$A:$G,7,FALSE)="",Paramètres!$B$9,VLOOKUP(C202,Revendeurs!$A:$G,7,FALSE)),Paramètres!$B$9))</f>
        <v/>
      </c>
      <c r="N202" s="22" t="n"/>
      <c r="O202" s="23">
        <f>IF(H202="","",H202-N202)</f>
        <v/>
      </c>
      <c r="P202" s="25">
        <f>IF(OR(M202="",O202=""),"",IF(O202&lt;=0,0,MAX(0,Paramètres!$B$4-M202)))</f>
        <v/>
      </c>
      <c r="Q202" s="25">
        <f>IF(H202="","",IF(O202&lt;=0,"Payée",IF(M202="","Pas encore livrée",IF(P202=0,"Non échue",IF(P202&gt;=Paramètres!$B$7,"Relance 3 : appel direction",IF(P202&gt;=Paramètres!$B$6,"Relance 2",IF(P202&gt;=Paramètres!$B$5,"Relance 1","Échue, relance à venir")))))))</f>
        <v/>
      </c>
      <c r="R202" s="25">
        <f>IF(B202="","",IF(U202=Paramètres!$B$4,"Relancé aujourd'hui",TRIM(IF(LEFT(Q202,7)="Relance",Q202&amp;" ","")&amp;IF(K202="En retard","· Prévenir du retard de livraison",""))))</f>
        <v/>
      </c>
      <c r="S202" s="28">
        <f>IF(B202="","",IF(LEFT(Q202,9)="Relance 3","Bonjour "&amp;D202&amp;", nous revenons vers vous au sujet de la commande "&amp;A202&amp;" du "&amp;TEXT(B202,"dd/mm/yyyy")&amp;" : "&amp;SUBSTITUTE(TEXT(O202,"#,##0"),","," ")&amp;" FCFA restent à régler depuis le "&amp;TEXT(M202,"dd/mm/yyyy")&amp;". Notre responsable souhaite vous appeler pour convenir ensemble d'une solution. Quel moment vous arrange cette semaine ? "&amp;Paramètres!$B$11&amp;", "&amp;Paramètres!$B$12,IF(LEFT(Q202,7)="Relance","Bonjour "&amp;D202&amp;", sauf erreur de notre part, la commande "&amp;A202&amp;" du "&amp;TEXT(B202,"dd/mm/yyyy")&amp;" ("&amp;E202&amp;") présente un reste à payer de "&amp;SUBSTITUTE(TEXT(O202,"#,##0"),","," ")&amp;" FCFA, échu depuis le "&amp;TEXT(M202,"dd/mm/yyyy")&amp;". Pouvez-vous nous indiquer la date de règlement prévue ? Si le paiement est déjà parti, merci de nous envoyer la preuve et ne tenez pas compte de ce message. "&amp;Paramètres!$B$11&amp;", "&amp;Paramètres!$B$12,IF(K202="En retard","Bonjour "&amp;D202&amp;", votre commande "&amp;A202&amp;" ("&amp;E202&amp;", "&amp;F202&amp;" pièces) prévue le "&amp;TEXT(I202,"dd/mm/yyyy")&amp;" a pris du retard. Nous vous confirmons la nouvelle date de livraison dans la journée. Toutes nos excuses pour ce contretemps. "&amp;Paramètres!$B$11&amp;", "&amp;Paramètres!$B$12,""))))</f>
        <v/>
      </c>
      <c r="T202" s="21" t="n"/>
      <c r="U202" s="26" t="n"/>
      <c r="V202" s="21" t="n"/>
    </row>
    <row r="203">
      <c r="A203" s="21" t="n"/>
      <c r="B203" s="26" t="n"/>
      <c r="C203" s="21" t="n"/>
      <c r="D203" s="25">
        <f>IF(C203="","",IFERROR(VLOOKUP(C203,Revendeurs!$A:$B,2,FALSE),"Code inconnu"))</f>
        <v/>
      </c>
      <c r="E203" s="21" t="n"/>
      <c r="F203" s="21" t="n"/>
      <c r="G203" s="22" t="n"/>
      <c r="H203" s="23">
        <f>IF(OR(F203="",G203=""),"",F203*G203)</f>
        <v/>
      </c>
      <c r="I203" s="26" t="n"/>
      <c r="J203" s="26" t="n"/>
      <c r="K203" s="25">
        <f>IF(B203="","",IF(J203&lt;&gt;"","Livrée",IF(I203="","À planifier",IF(Paramètres!$B$4&gt;I203+Paramètres!$B$8,"En retard","En cours"))))</f>
        <v/>
      </c>
      <c r="L203" s="25">
        <f>IF(K203="En retard",Paramètres!$B$4-I203,"")</f>
        <v/>
      </c>
      <c r="M203" s="27">
        <f>IF(OR(B203="",J203=""),"",J203+IFERROR(IF(VLOOKUP(C203,Revendeurs!$A:$G,7,FALSE)="",Paramètres!$B$9,VLOOKUP(C203,Revendeurs!$A:$G,7,FALSE)),Paramètres!$B$9))</f>
        <v/>
      </c>
      <c r="N203" s="22" t="n"/>
      <c r="O203" s="23">
        <f>IF(H203="","",H203-N203)</f>
        <v/>
      </c>
      <c r="P203" s="25">
        <f>IF(OR(M203="",O203=""),"",IF(O203&lt;=0,0,MAX(0,Paramètres!$B$4-M203)))</f>
        <v/>
      </c>
      <c r="Q203" s="25">
        <f>IF(H203="","",IF(O203&lt;=0,"Payée",IF(M203="","Pas encore livrée",IF(P203=0,"Non échue",IF(P203&gt;=Paramètres!$B$7,"Relance 3 : appel direction",IF(P203&gt;=Paramètres!$B$6,"Relance 2",IF(P203&gt;=Paramètres!$B$5,"Relance 1","Échue, relance à venir")))))))</f>
        <v/>
      </c>
      <c r="R203" s="25">
        <f>IF(B203="","",IF(U203=Paramètres!$B$4,"Relancé aujourd'hui",TRIM(IF(LEFT(Q203,7)="Relance",Q203&amp;" ","")&amp;IF(K203="En retard","· Prévenir du retard de livraison",""))))</f>
        <v/>
      </c>
      <c r="S203" s="28">
        <f>IF(B203="","",IF(LEFT(Q203,9)="Relance 3","Bonjour "&amp;D203&amp;", nous revenons vers vous au sujet de la commande "&amp;A203&amp;" du "&amp;TEXT(B203,"dd/mm/yyyy")&amp;" : "&amp;SUBSTITUTE(TEXT(O203,"#,##0"),","," ")&amp;" FCFA restent à régler depuis le "&amp;TEXT(M203,"dd/mm/yyyy")&amp;". Notre responsable souhaite vous appeler pour convenir ensemble d'une solution. Quel moment vous arrange cette semaine ? "&amp;Paramètres!$B$11&amp;", "&amp;Paramètres!$B$12,IF(LEFT(Q203,7)="Relance","Bonjour "&amp;D203&amp;", sauf erreur de notre part, la commande "&amp;A203&amp;" du "&amp;TEXT(B203,"dd/mm/yyyy")&amp;" ("&amp;E203&amp;") présente un reste à payer de "&amp;SUBSTITUTE(TEXT(O203,"#,##0"),","," ")&amp;" FCFA, échu depuis le "&amp;TEXT(M203,"dd/mm/yyyy")&amp;". Pouvez-vous nous indiquer la date de règlement prévue ? Si le paiement est déjà parti, merci de nous envoyer la preuve et ne tenez pas compte de ce message. "&amp;Paramètres!$B$11&amp;", "&amp;Paramètres!$B$12,IF(K203="En retard","Bonjour "&amp;D203&amp;", votre commande "&amp;A203&amp;" ("&amp;E203&amp;", "&amp;F203&amp;" pièces) prévue le "&amp;TEXT(I203,"dd/mm/yyyy")&amp;" a pris du retard. Nous vous confirmons la nouvelle date de livraison dans la journée. Toutes nos excuses pour ce contretemps. "&amp;Paramètres!$B$11&amp;", "&amp;Paramètres!$B$12,""))))</f>
        <v/>
      </c>
      <c r="T203" s="21" t="n"/>
      <c r="U203" s="26" t="n"/>
      <c r="V203" s="21" t="n"/>
    </row>
    <row r="204">
      <c r="A204" s="21" t="n"/>
      <c r="B204" s="26" t="n"/>
      <c r="C204" s="21" t="n"/>
      <c r="D204" s="25">
        <f>IF(C204="","",IFERROR(VLOOKUP(C204,Revendeurs!$A:$B,2,FALSE),"Code inconnu"))</f>
        <v/>
      </c>
      <c r="E204" s="21" t="n"/>
      <c r="F204" s="21" t="n"/>
      <c r="G204" s="22" t="n"/>
      <c r="H204" s="23">
        <f>IF(OR(F204="",G204=""),"",F204*G204)</f>
        <v/>
      </c>
      <c r="I204" s="26" t="n"/>
      <c r="J204" s="26" t="n"/>
      <c r="K204" s="25">
        <f>IF(B204="","",IF(J204&lt;&gt;"","Livrée",IF(I204="","À planifier",IF(Paramètres!$B$4&gt;I204+Paramètres!$B$8,"En retard","En cours"))))</f>
        <v/>
      </c>
      <c r="L204" s="25">
        <f>IF(K204="En retard",Paramètres!$B$4-I204,"")</f>
        <v/>
      </c>
      <c r="M204" s="27">
        <f>IF(OR(B204="",J204=""),"",J204+IFERROR(IF(VLOOKUP(C204,Revendeurs!$A:$G,7,FALSE)="",Paramètres!$B$9,VLOOKUP(C204,Revendeurs!$A:$G,7,FALSE)),Paramètres!$B$9))</f>
        <v/>
      </c>
      <c r="N204" s="22" t="n"/>
      <c r="O204" s="23">
        <f>IF(H204="","",H204-N204)</f>
        <v/>
      </c>
      <c r="P204" s="25">
        <f>IF(OR(M204="",O204=""),"",IF(O204&lt;=0,0,MAX(0,Paramètres!$B$4-M204)))</f>
        <v/>
      </c>
      <c r="Q204" s="25">
        <f>IF(H204="","",IF(O204&lt;=0,"Payée",IF(M204="","Pas encore livrée",IF(P204=0,"Non échue",IF(P204&gt;=Paramètres!$B$7,"Relance 3 : appel direction",IF(P204&gt;=Paramètres!$B$6,"Relance 2",IF(P204&gt;=Paramètres!$B$5,"Relance 1","Échue, relance à venir")))))))</f>
        <v/>
      </c>
      <c r="R204" s="25">
        <f>IF(B204="","",IF(U204=Paramètres!$B$4,"Relancé aujourd'hui",TRIM(IF(LEFT(Q204,7)="Relance",Q204&amp;" ","")&amp;IF(K204="En retard","· Prévenir du retard de livraison",""))))</f>
        <v/>
      </c>
      <c r="S204" s="28">
        <f>IF(B204="","",IF(LEFT(Q204,9)="Relance 3","Bonjour "&amp;D204&amp;", nous revenons vers vous au sujet de la commande "&amp;A204&amp;" du "&amp;TEXT(B204,"dd/mm/yyyy")&amp;" : "&amp;SUBSTITUTE(TEXT(O204,"#,##0"),","," ")&amp;" FCFA restent à régler depuis le "&amp;TEXT(M204,"dd/mm/yyyy")&amp;". Notre responsable souhaite vous appeler pour convenir ensemble d'une solution. Quel moment vous arrange cette semaine ? "&amp;Paramètres!$B$11&amp;", "&amp;Paramètres!$B$12,IF(LEFT(Q204,7)="Relance","Bonjour "&amp;D204&amp;", sauf erreur de notre part, la commande "&amp;A204&amp;" du "&amp;TEXT(B204,"dd/mm/yyyy")&amp;" ("&amp;E204&amp;") présente un reste à payer de "&amp;SUBSTITUTE(TEXT(O204,"#,##0"),","," ")&amp;" FCFA, échu depuis le "&amp;TEXT(M204,"dd/mm/yyyy")&amp;". Pouvez-vous nous indiquer la date de règlement prévue ? Si le paiement est déjà parti, merci de nous envoyer la preuve et ne tenez pas compte de ce message. "&amp;Paramètres!$B$11&amp;", "&amp;Paramètres!$B$12,IF(K204="En retard","Bonjour "&amp;D204&amp;", votre commande "&amp;A204&amp;" ("&amp;E204&amp;", "&amp;F204&amp;" pièces) prévue le "&amp;TEXT(I204,"dd/mm/yyyy")&amp;" a pris du retard. Nous vous confirmons la nouvelle date de livraison dans la journée. Toutes nos excuses pour ce contretemps. "&amp;Paramètres!$B$11&amp;", "&amp;Paramètres!$B$12,""))))</f>
        <v/>
      </c>
      <c r="T204" s="21" t="n"/>
      <c r="U204" s="26" t="n"/>
      <c r="V204" s="21" t="n"/>
    </row>
    <row r="205">
      <c r="A205" s="21" t="n"/>
      <c r="B205" s="26" t="n"/>
      <c r="C205" s="21" t="n"/>
      <c r="D205" s="25">
        <f>IF(C205="","",IFERROR(VLOOKUP(C205,Revendeurs!$A:$B,2,FALSE),"Code inconnu"))</f>
        <v/>
      </c>
      <c r="E205" s="21" t="n"/>
      <c r="F205" s="21" t="n"/>
      <c r="G205" s="22" t="n"/>
      <c r="H205" s="23">
        <f>IF(OR(F205="",G205=""),"",F205*G205)</f>
        <v/>
      </c>
      <c r="I205" s="26" t="n"/>
      <c r="J205" s="26" t="n"/>
      <c r="K205" s="25">
        <f>IF(B205="","",IF(J205&lt;&gt;"","Livrée",IF(I205="","À planifier",IF(Paramètres!$B$4&gt;I205+Paramètres!$B$8,"En retard","En cours"))))</f>
        <v/>
      </c>
      <c r="L205" s="25">
        <f>IF(K205="En retard",Paramètres!$B$4-I205,"")</f>
        <v/>
      </c>
      <c r="M205" s="27">
        <f>IF(OR(B205="",J205=""),"",J205+IFERROR(IF(VLOOKUP(C205,Revendeurs!$A:$G,7,FALSE)="",Paramètres!$B$9,VLOOKUP(C205,Revendeurs!$A:$G,7,FALSE)),Paramètres!$B$9))</f>
        <v/>
      </c>
      <c r="N205" s="22" t="n"/>
      <c r="O205" s="23">
        <f>IF(H205="","",H205-N205)</f>
        <v/>
      </c>
      <c r="P205" s="25">
        <f>IF(OR(M205="",O205=""),"",IF(O205&lt;=0,0,MAX(0,Paramètres!$B$4-M205)))</f>
        <v/>
      </c>
      <c r="Q205" s="25">
        <f>IF(H205="","",IF(O205&lt;=0,"Payée",IF(M205="","Pas encore livrée",IF(P205=0,"Non échue",IF(P205&gt;=Paramètres!$B$7,"Relance 3 : appel direction",IF(P205&gt;=Paramètres!$B$6,"Relance 2",IF(P205&gt;=Paramètres!$B$5,"Relance 1","Échue, relance à venir")))))))</f>
        <v/>
      </c>
      <c r="R205" s="25">
        <f>IF(B205="","",IF(U205=Paramètres!$B$4,"Relancé aujourd'hui",TRIM(IF(LEFT(Q205,7)="Relance",Q205&amp;" ","")&amp;IF(K205="En retard","· Prévenir du retard de livraison",""))))</f>
        <v/>
      </c>
      <c r="S205" s="28">
        <f>IF(B205="","",IF(LEFT(Q205,9)="Relance 3","Bonjour "&amp;D205&amp;", nous revenons vers vous au sujet de la commande "&amp;A205&amp;" du "&amp;TEXT(B205,"dd/mm/yyyy")&amp;" : "&amp;SUBSTITUTE(TEXT(O205,"#,##0"),","," ")&amp;" FCFA restent à régler depuis le "&amp;TEXT(M205,"dd/mm/yyyy")&amp;". Notre responsable souhaite vous appeler pour convenir ensemble d'une solution. Quel moment vous arrange cette semaine ? "&amp;Paramètres!$B$11&amp;", "&amp;Paramètres!$B$12,IF(LEFT(Q205,7)="Relance","Bonjour "&amp;D205&amp;", sauf erreur de notre part, la commande "&amp;A205&amp;" du "&amp;TEXT(B205,"dd/mm/yyyy")&amp;" ("&amp;E205&amp;") présente un reste à payer de "&amp;SUBSTITUTE(TEXT(O205,"#,##0"),","," ")&amp;" FCFA, échu depuis le "&amp;TEXT(M205,"dd/mm/yyyy")&amp;". Pouvez-vous nous indiquer la date de règlement prévue ? Si le paiement est déjà parti, merci de nous envoyer la preuve et ne tenez pas compte de ce message. "&amp;Paramètres!$B$11&amp;", "&amp;Paramètres!$B$12,IF(K205="En retard","Bonjour "&amp;D205&amp;", votre commande "&amp;A205&amp;" ("&amp;E205&amp;", "&amp;F205&amp;" pièces) prévue le "&amp;TEXT(I205,"dd/mm/yyyy")&amp;" a pris du retard. Nous vous confirmons la nouvelle date de livraison dans la journée. Toutes nos excuses pour ce contretemps. "&amp;Paramètres!$B$11&amp;", "&amp;Paramètres!$B$12,""))))</f>
        <v/>
      </c>
      <c r="T205" s="21" t="n"/>
      <c r="U205" s="26" t="n"/>
      <c r="V205" s="21" t="n"/>
    </row>
    <row r="206">
      <c r="A206" s="21" t="n"/>
      <c r="B206" s="26" t="n"/>
      <c r="C206" s="21" t="n"/>
      <c r="D206" s="25">
        <f>IF(C206="","",IFERROR(VLOOKUP(C206,Revendeurs!$A:$B,2,FALSE),"Code inconnu"))</f>
        <v/>
      </c>
      <c r="E206" s="21" t="n"/>
      <c r="F206" s="21" t="n"/>
      <c r="G206" s="22" t="n"/>
      <c r="H206" s="23">
        <f>IF(OR(F206="",G206=""),"",F206*G206)</f>
        <v/>
      </c>
      <c r="I206" s="26" t="n"/>
      <c r="J206" s="26" t="n"/>
      <c r="K206" s="25">
        <f>IF(B206="","",IF(J206&lt;&gt;"","Livrée",IF(I206="","À planifier",IF(Paramètres!$B$4&gt;I206+Paramètres!$B$8,"En retard","En cours"))))</f>
        <v/>
      </c>
      <c r="L206" s="25">
        <f>IF(K206="En retard",Paramètres!$B$4-I206,"")</f>
        <v/>
      </c>
      <c r="M206" s="27">
        <f>IF(OR(B206="",J206=""),"",J206+IFERROR(IF(VLOOKUP(C206,Revendeurs!$A:$G,7,FALSE)="",Paramètres!$B$9,VLOOKUP(C206,Revendeurs!$A:$G,7,FALSE)),Paramètres!$B$9))</f>
        <v/>
      </c>
      <c r="N206" s="22" t="n"/>
      <c r="O206" s="23">
        <f>IF(H206="","",H206-N206)</f>
        <v/>
      </c>
      <c r="P206" s="25">
        <f>IF(OR(M206="",O206=""),"",IF(O206&lt;=0,0,MAX(0,Paramètres!$B$4-M206)))</f>
        <v/>
      </c>
      <c r="Q206" s="25">
        <f>IF(H206="","",IF(O206&lt;=0,"Payée",IF(M206="","Pas encore livrée",IF(P206=0,"Non échue",IF(P206&gt;=Paramètres!$B$7,"Relance 3 : appel direction",IF(P206&gt;=Paramètres!$B$6,"Relance 2",IF(P206&gt;=Paramètres!$B$5,"Relance 1","Échue, relance à venir")))))))</f>
        <v/>
      </c>
      <c r="R206" s="25">
        <f>IF(B206="","",IF(U206=Paramètres!$B$4,"Relancé aujourd'hui",TRIM(IF(LEFT(Q206,7)="Relance",Q206&amp;" ","")&amp;IF(K206="En retard","· Prévenir du retard de livraison",""))))</f>
        <v/>
      </c>
      <c r="S206" s="28">
        <f>IF(B206="","",IF(LEFT(Q206,9)="Relance 3","Bonjour "&amp;D206&amp;", nous revenons vers vous au sujet de la commande "&amp;A206&amp;" du "&amp;TEXT(B206,"dd/mm/yyyy")&amp;" : "&amp;SUBSTITUTE(TEXT(O206,"#,##0"),","," ")&amp;" FCFA restent à régler depuis le "&amp;TEXT(M206,"dd/mm/yyyy")&amp;". Notre responsable souhaite vous appeler pour convenir ensemble d'une solution. Quel moment vous arrange cette semaine ? "&amp;Paramètres!$B$11&amp;", "&amp;Paramètres!$B$12,IF(LEFT(Q206,7)="Relance","Bonjour "&amp;D206&amp;", sauf erreur de notre part, la commande "&amp;A206&amp;" du "&amp;TEXT(B206,"dd/mm/yyyy")&amp;" ("&amp;E206&amp;") présente un reste à payer de "&amp;SUBSTITUTE(TEXT(O206,"#,##0"),","," ")&amp;" FCFA, échu depuis le "&amp;TEXT(M206,"dd/mm/yyyy")&amp;". Pouvez-vous nous indiquer la date de règlement prévue ? Si le paiement est déjà parti, merci de nous envoyer la preuve et ne tenez pas compte de ce message. "&amp;Paramètres!$B$11&amp;", "&amp;Paramètres!$B$12,IF(K206="En retard","Bonjour "&amp;D206&amp;", votre commande "&amp;A206&amp;" ("&amp;E206&amp;", "&amp;F206&amp;" pièces) prévue le "&amp;TEXT(I206,"dd/mm/yyyy")&amp;" a pris du retard. Nous vous confirmons la nouvelle date de livraison dans la journée. Toutes nos excuses pour ce contretemps. "&amp;Paramètres!$B$11&amp;", "&amp;Paramètres!$B$12,""))))</f>
        <v/>
      </c>
      <c r="T206" s="21" t="n"/>
      <c r="U206" s="26" t="n"/>
      <c r="V206" s="21" t="n"/>
    </row>
    <row r="207">
      <c r="A207" s="21" t="n"/>
      <c r="B207" s="26" t="n"/>
      <c r="C207" s="21" t="n"/>
      <c r="D207" s="25">
        <f>IF(C207="","",IFERROR(VLOOKUP(C207,Revendeurs!$A:$B,2,FALSE),"Code inconnu"))</f>
        <v/>
      </c>
      <c r="E207" s="21" t="n"/>
      <c r="F207" s="21" t="n"/>
      <c r="G207" s="22" t="n"/>
      <c r="H207" s="23">
        <f>IF(OR(F207="",G207=""),"",F207*G207)</f>
        <v/>
      </c>
      <c r="I207" s="26" t="n"/>
      <c r="J207" s="26" t="n"/>
      <c r="K207" s="25">
        <f>IF(B207="","",IF(J207&lt;&gt;"","Livrée",IF(I207="","À planifier",IF(Paramètres!$B$4&gt;I207+Paramètres!$B$8,"En retard","En cours"))))</f>
        <v/>
      </c>
      <c r="L207" s="25">
        <f>IF(K207="En retard",Paramètres!$B$4-I207,"")</f>
        <v/>
      </c>
      <c r="M207" s="27">
        <f>IF(OR(B207="",J207=""),"",J207+IFERROR(IF(VLOOKUP(C207,Revendeurs!$A:$G,7,FALSE)="",Paramètres!$B$9,VLOOKUP(C207,Revendeurs!$A:$G,7,FALSE)),Paramètres!$B$9))</f>
        <v/>
      </c>
      <c r="N207" s="22" t="n"/>
      <c r="O207" s="23">
        <f>IF(H207="","",H207-N207)</f>
        <v/>
      </c>
      <c r="P207" s="25">
        <f>IF(OR(M207="",O207=""),"",IF(O207&lt;=0,0,MAX(0,Paramètres!$B$4-M207)))</f>
        <v/>
      </c>
      <c r="Q207" s="25">
        <f>IF(H207="","",IF(O207&lt;=0,"Payée",IF(M207="","Pas encore livrée",IF(P207=0,"Non échue",IF(P207&gt;=Paramètres!$B$7,"Relance 3 : appel direction",IF(P207&gt;=Paramètres!$B$6,"Relance 2",IF(P207&gt;=Paramètres!$B$5,"Relance 1","Échue, relance à venir")))))))</f>
        <v/>
      </c>
      <c r="R207" s="25">
        <f>IF(B207="","",IF(U207=Paramètres!$B$4,"Relancé aujourd'hui",TRIM(IF(LEFT(Q207,7)="Relance",Q207&amp;" ","")&amp;IF(K207="En retard","· Prévenir du retard de livraison",""))))</f>
        <v/>
      </c>
      <c r="S207" s="28">
        <f>IF(B207="","",IF(LEFT(Q207,9)="Relance 3","Bonjour "&amp;D207&amp;", nous revenons vers vous au sujet de la commande "&amp;A207&amp;" du "&amp;TEXT(B207,"dd/mm/yyyy")&amp;" : "&amp;SUBSTITUTE(TEXT(O207,"#,##0"),","," ")&amp;" FCFA restent à régler depuis le "&amp;TEXT(M207,"dd/mm/yyyy")&amp;". Notre responsable souhaite vous appeler pour convenir ensemble d'une solution. Quel moment vous arrange cette semaine ? "&amp;Paramètres!$B$11&amp;", "&amp;Paramètres!$B$12,IF(LEFT(Q207,7)="Relance","Bonjour "&amp;D207&amp;", sauf erreur de notre part, la commande "&amp;A207&amp;" du "&amp;TEXT(B207,"dd/mm/yyyy")&amp;" ("&amp;E207&amp;") présente un reste à payer de "&amp;SUBSTITUTE(TEXT(O207,"#,##0"),","," ")&amp;" FCFA, échu depuis le "&amp;TEXT(M207,"dd/mm/yyyy")&amp;". Pouvez-vous nous indiquer la date de règlement prévue ? Si le paiement est déjà parti, merci de nous envoyer la preuve et ne tenez pas compte de ce message. "&amp;Paramètres!$B$11&amp;", "&amp;Paramètres!$B$12,IF(K207="En retard","Bonjour "&amp;D207&amp;", votre commande "&amp;A207&amp;" ("&amp;E207&amp;", "&amp;F207&amp;" pièces) prévue le "&amp;TEXT(I207,"dd/mm/yyyy")&amp;" a pris du retard. Nous vous confirmons la nouvelle date de livraison dans la journée. Toutes nos excuses pour ce contretemps. "&amp;Paramètres!$B$11&amp;", "&amp;Paramètres!$B$12,""))))</f>
        <v/>
      </c>
      <c r="T207" s="21" t="n"/>
      <c r="U207" s="26" t="n"/>
      <c r="V207" s="21" t="n"/>
    </row>
    <row r="208">
      <c r="A208" s="21" t="n"/>
      <c r="B208" s="26" t="n"/>
      <c r="C208" s="21" t="n"/>
      <c r="D208" s="25">
        <f>IF(C208="","",IFERROR(VLOOKUP(C208,Revendeurs!$A:$B,2,FALSE),"Code inconnu"))</f>
        <v/>
      </c>
      <c r="E208" s="21" t="n"/>
      <c r="F208" s="21" t="n"/>
      <c r="G208" s="22" t="n"/>
      <c r="H208" s="23">
        <f>IF(OR(F208="",G208=""),"",F208*G208)</f>
        <v/>
      </c>
      <c r="I208" s="26" t="n"/>
      <c r="J208" s="26" t="n"/>
      <c r="K208" s="25">
        <f>IF(B208="","",IF(J208&lt;&gt;"","Livrée",IF(I208="","À planifier",IF(Paramètres!$B$4&gt;I208+Paramètres!$B$8,"En retard","En cours"))))</f>
        <v/>
      </c>
      <c r="L208" s="25">
        <f>IF(K208="En retard",Paramètres!$B$4-I208,"")</f>
        <v/>
      </c>
      <c r="M208" s="27">
        <f>IF(OR(B208="",J208=""),"",J208+IFERROR(IF(VLOOKUP(C208,Revendeurs!$A:$G,7,FALSE)="",Paramètres!$B$9,VLOOKUP(C208,Revendeurs!$A:$G,7,FALSE)),Paramètres!$B$9))</f>
        <v/>
      </c>
      <c r="N208" s="22" t="n"/>
      <c r="O208" s="23">
        <f>IF(H208="","",H208-N208)</f>
        <v/>
      </c>
      <c r="P208" s="25">
        <f>IF(OR(M208="",O208=""),"",IF(O208&lt;=0,0,MAX(0,Paramètres!$B$4-M208)))</f>
        <v/>
      </c>
      <c r="Q208" s="25">
        <f>IF(H208="","",IF(O208&lt;=0,"Payée",IF(M208="","Pas encore livrée",IF(P208=0,"Non échue",IF(P208&gt;=Paramètres!$B$7,"Relance 3 : appel direction",IF(P208&gt;=Paramètres!$B$6,"Relance 2",IF(P208&gt;=Paramètres!$B$5,"Relance 1","Échue, relance à venir")))))))</f>
        <v/>
      </c>
      <c r="R208" s="25">
        <f>IF(B208="","",IF(U208=Paramètres!$B$4,"Relancé aujourd'hui",TRIM(IF(LEFT(Q208,7)="Relance",Q208&amp;" ","")&amp;IF(K208="En retard","· Prévenir du retard de livraison",""))))</f>
        <v/>
      </c>
      <c r="S208" s="28">
        <f>IF(B208="","",IF(LEFT(Q208,9)="Relance 3","Bonjour "&amp;D208&amp;", nous revenons vers vous au sujet de la commande "&amp;A208&amp;" du "&amp;TEXT(B208,"dd/mm/yyyy")&amp;" : "&amp;SUBSTITUTE(TEXT(O208,"#,##0"),","," ")&amp;" FCFA restent à régler depuis le "&amp;TEXT(M208,"dd/mm/yyyy")&amp;". Notre responsable souhaite vous appeler pour convenir ensemble d'une solution. Quel moment vous arrange cette semaine ? "&amp;Paramètres!$B$11&amp;", "&amp;Paramètres!$B$12,IF(LEFT(Q208,7)="Relance","Bonjour "&amp;D208&amp;", sauf erreur de notre part, la commande "&amp;A208&amp;" du "&amp;TEXT(B208,"dd/mm/yyyy")&amp;" ("&amp;E208&amp;") présente un reste à payer de "&amp;SUBSTITUTE(TEXT(O208,"#,##0"),","," ")&amp;" FCFA, échu depuis le "&amp;TEXT(M208,"dd/mm/yyyy")&amp;". Pouvez-vous nous indiquer la date de règlement prévue ? Si le paiement est déjà parti, merci de nous envoyer la preuve et ne tenez pas compte de ce message. "&amp;Paramètres!$B$11&amp;", "&amp;Paramètres!$B$12,IF(K208="En retard","Bonjour "&amp;D208&amp;", votre commande "&amp;A208&amp;" ("&amp;E208&amp;", "&amp;F208&amp;" pièces) prévue le "&amp;TEXT(I208,"dd/mm/yyyy")&amp;" a pris du retard. Nous vous confirmons la nouvelle date de livraison dans la journée. Toutes nos excuses pour ce contretemps. "&amp;Paramètres!$B$11&amp;", "&amp;Paramètres!$B$12,""))))</f>
        <v/>
      </c>
      <c r="T208" s="21" t="n"/>
      <c r="U208" s="26" t="n"/>
      <c r="V208" s="21" t="n"/>
    </row>
    <row r="209">
      <c r="A209" s="21" t="n"/>
      <c r="B209" s="26" t="n"/>
      <c r="C209" s="21" t="n"/>
      <c r="D209" s="25">
        <f>IF(C209="","",IFERROR(VLOOKUP(C209,Revendeurs!$A:$B,2,FALSE),"Code inconnu"))</f>
        <v/>
      </c>
      <c r="E209" s="21" t="n"/>
      <c r="F209" s="21" t="n"/>
      <c r="G209" s="22" t="n"/>
      <c r="H209" s="23">
        <f>IF(OR(F209="",G209=""),"",F209*G209)</f>
        <v/>
      </c>
      <c r="I209" s="26" t="n"/>
      <c r="J209" s="26" t="n"/>
      <c r="K209" s="25">
        <f>IF(B209="","",IF(J209&lt;&gt;"","Livrée",IF(I209="","À planifier",IF(Paramètres!$B$4&gt;I209+Paramètres!$B$8,"En retard","En cours"))))</f>
        <v/>
      </c>
      <c r="L209" s="25">
        <f>IF(K209="En retard",Paramètres!$B$4-I209,"")</f>
        <v/>
      </c>
      <c r="M209" s="27">
        <f>IF(OR(B209="",J209=""),"",J209+IFERROR(IF(VLOOKUP(C209,Revendeurs!$A:$G,7,FALSE)="",Paramètres!$B$9,VLOOKUP(C209,Revendeurs!$A:$G,7,FALSE)),Paramètres!$B$9))</f>
        <v/>
      </c>
      <c r="N209" s="22" t="n"/>
      <c r="O209" s="23">
        <f>IF(H209="","",H209-N209)</f>
        <v/>
      </c>
      <c r="P209" s="25">
        <f>IF(OR(M209="",O209=""),"",IF(O209&lt;=0,0,MAX(0,Paramètres!$B$4-M209)))</f>
        <v/>
      </c>
      <c r="Q209" s="25">
        <f>IF(H209="","",IF(O209&lt;=0,"Payée",IF(M209="","Pas encore livrée",IF(P209=0,"Non échue",IF(P209&gt;=Paramètres!$B$7,"Relance 3 : appel direction",IF(P209&gt;=Paramètres!$B$6,"Relance 2",IF(P209&gt;=Paramètres!$B$5,"Relance 1","Échue, relance à venir")))))))</f>
        <v/>
      </c>
      <c r="R209" s="25">
        <f>IF(B209="","",IF(U209=Paramètres!$B$4,"Relancé aujourd'hui",TRIM(IF(LEFT(Q209,7)="Relance",Q209&amp;" ","")&amp;IF(K209="En retard","· Prévenir du retard de livraison",""))))</f>
        <v/>
      </c>
      <c r="S209" s="28">
        <f>IF(B209="","",IF(LEFT(Q209,9)="Relance 3","Bonjour "&amp;D209&amp;", nous revenons vers vous au sujet de la commande "&amp;A209&amp;" du "&amp;TEXT(B209,"dd/mm/yyyy")&amp;" : "&amp;SUBSTITUTE(TEXT(O209,"#,##0"),","," ")&amp;" FCFA restent à régler depuis le "&amp;TEXT(M209,"dd/mm/yyyy")&amp;". Notre responsable souhaite vous appeler pour convenir ensemble d'une solution. Quel moment vous arrange cette semaine ? "&amp;Paramètres!$B$11&amp;", "&amp;Paramètres!$B$12,IF(LEFT(Q209,7)="Relance","Bonjour "&amp;D209&amp;", sauf erreur de notre part, la commande "&amp;A209&amp;" du "&amp;TEXT(B209,"dd/mm/yyyy")&amp;" ("&amp;E209&amp;") présente un reste à payer de "&amp;SUBSTITUTE(TEXT(O209,"#,##0"),","," ")&amp;" FCFA, échu depuis le "&amp;TEXT(M209,"dd/mm/yyyy")&amp;". Pouvez-vous nous indiquer la date de règlement prévue ? Si le paiement est déjà parti, merci de nous envoyer la preuve et ne tenez pas compte de ce message. "&amp;Paramètres!$B$11&amp;", "&amp;Paramètres!$B$12,IF(K209="En retard","Bonjour "&amp;D209&amp;", votre commande "&amp;A209&amp;" ("&amp;E209&amp;", "&amp;F209&amp;" pièces) prévue le "&amp;TEXT(I209,"dd/mm/yyyy")&amp;" a pris du retard. Nous vous confirmons la nouvelle date de livraison dans la journée. Toutes nos excuses pour ce contretemps. "&amp;Paramètres!$B$11&amp;", "&amp;Paramètres!$B$12,""))))</f>
        <v/>
      </c>
      <c r="T209" s="21" t="n"/>
      <c r="U209" s="26" t="n"/>
      <c r="V209" s="21" t="n"/>
    </row>
    <row r="210">
      <c r="A210" s="21" t="n"/>
      <c r="B210" s="26" t="n"/>
      <c r="C210" s="21" t="n"/>
      <c r="D210" s="25">
        <f>IF(C210="","",IFERROR(VLOOKUP(C210,Revendeurs!$A:$B,2,FALSE),"Code inconnu"))</f>
        <v/>
      </c>
      <c r="E210" s="21" t="n"/>
      <c r="F210" s="21" t="n"/>
      <c r="G210" s="22" t="n"/>
      <c r="H210" s="23">
        <f>IF(OR(F210="",G210=""),"",F210*G210)</f>
        <v/>
      </c>
      <c r="I210" s="26" t="n"/>
      <c r="J210" s="26" t="n"/>
      <c r="K210" s="25">
        <f>IF(B210="","",IF(J210&lt;&gt;"","Livrée",IF(I210="","À planifier",IF(Paramètres!$B$4&gt;I210+Paramètres!$B$8,"En retard","En cours"))))</f>
        <v/>
      </c>
      <c r="L210" s="25">
        <f>IF(K210="En retard",Paramètres!$B$4-I210,"")</f>
        <v/>
      </c>
      <c r="M210" s="27">
        <f>IF(OR(B210="",J210=""),"",J210+IFERROR(IF(VLOOKUP(C210,Revendeurs!$A:$G,7,FALSE)="",Paramètres!$B$9,VLOOKUP(C210,Revendeurs!$A:$G,7,FALSE)),Paramètres!$B$9))</f>
        <v/>
      </c>
      <c r="N210" s="22" t="n"/>
      <c r="O210" s="23">
        <f>IF(H210="","",H210-N210)</f>
        <v/>
      </c>
      <c r="P210" s="25">
        <f>IF(OR(M210="",O210=""),"",IF(O210&lt;=0,0,MAX(0,Paramètres!$B$4-M210)))</f>
        <v/>
      </c>
      <c r="Q210" s="25">
        <f>IF(H210="","",IF(O210&lt;=0,"Payée",IF(M210="","Pas encore livrée",IF(P210=0,"Non échue",IF(P210&gt;=Paramètres!$B$7,"Relance 3 : appel direction",IF(P210&gt;=Paramètres!$B$6,"Relance 2",IF(P210&gt;=Paramètres!$B$5,"Relance 1","Échue, relance à venir")))))))</f>
        <v/>
      </c>
      <c r="R210" s="25">
        <f>IF(B210="","",IF(U210=Paramètres!$B$4,"Relancé aujourd'hui",TRIM(IF(LEFT(Q210,7)="Relance",Q210&amp;" ","")&amp;IF(K210="En retard","· Prévenir du retard de livraison",""))))</f>
        <v/>
      </c>
      <c r="S210" s="28">
        <f>IF(B210="","",IF(LEFT(Q210,9)="Relance 3","Bonjour "&amp;D210&amp;", nous revenons vers vous au sujet de la commande "&amp;A210&amp;" du "&amp;TEXT(B210,"dd/mm/yyyy")&amp;" : "&amp;SUBSTITUTE(TEXT(O210,"#,##0"),","," ")&amp;" FCFA restent à régler depuis le "&amp;TEXT(M210,"dd/mm/yyyy")&amp;". Notre responsable souhaite vous appeler pour convenir ensemble d'une solution. Quel moment vous arrange cette semaine ? "&amp;Paramètres!$B$11&amp;", "&amp;Paramètres!$B$12,IF(LEFT(Q210,7)="Relance","Bonjour "&amp;D210&amp;", sauf erreur de notre part, la commande "&amp;A210&amp;" du "&amp;TEXT(B210,"dd/mm/yyyy")&amp;" ("&amp;E210&amp;") présente un reste à payer de "&amp;SUBSTITUTE(TEXT(O210,"#,##0"),","," ")&amp;" FCFA, échu depuis le "&amp;TEXT(M210,"dd/mm/yyyy")&amp;". Pouvez-vous nous indiquer la date de règlement prévue ? Si le paiement est déjà parti, merci de nous envoyer la preuve et ne tenez pas compte de ce message. "&amp;Paramètres!$B$11&amp;", "&amp;Paramètres!$B$12,IF(K210="En retard","Bonjour "&amp;D210&amp;", votre commande "&amp;A210&amp;" ("&amp;E210&amp;", "&amp;F210&amp;" pièces) prévue le "&amp;TEXT(I210,"dd/mm/yyyy")&amp;" a pris du retard. Nous vous confirmons la nouvelle date de livraison dans la journée. Toutes nos excuses pour ce contretemps. "&amp;Paramètres!$B$11&amp;", "&amp;Paramètres!$B$12,""))))</f>
        <v/>
      </c>
      <c r="T210" s="21" t="n"/>
      <c r="U210" s="26" t="n"/>
      <c r="V210" s="21" t="n"/>
    </row>
    <row r="211">
      <c r="A211" s="21" t="n"/>
      <c r="B211" s="26" t="n"/>
      <c r="C211" s="21" t="n"/>
      <c r="D211" s="25">
        <f>IF(C211="","",IFERROR(VLOOKUP(C211,Revendeurs!$A:$B,2,FALSE),"Code inconnu"))</f>
        <v/>
      </c>
      <c r="E211" s="21" t="n"/>
      <c r="F211" s="21" t="n"/>
      <c r="G211" s="22" t="n"/>
      <c r="H211" s="23">
        <f>IF(OR(F211="",G211=""),"",F211*G211)</f>
        <v/>
      </c>
      <c r="I211" s="26" t="n"/>
      <c r="J211" s="26" t="n"/>
      <c r="K211" s="25">
        <f>IF(B211="","",IF(J211&lt;&gt;"","Livrée",IF(I211="","À planifier",IF(Paramètres!$B$4&gt;I211+Paramètres!$B$8,"En retard","En cours"))))</f>
        <v/>
      </c>
      <c r="L211" s="25">
        <f>IF(K211="En retard",Paramètres!$B$4-I211,"")</f>
        <v/>
      </c>
      <c r="M211" s="27">
        <f>IF(OR(B211="",J211=""),"",J211+IFERROR(IF(VLOOKUP(C211,Revendeurs!$A:$G,7,FALSE)="",Paramètres!$B$9,VLOOKUP(C211,Revendeurs!$A:$G,7,FALSE)),Paramètres!$B$9))</f>
        <v/>
      </c>
      <c r="N211" s="22" t="n"/>
      <c r="O211" s="23">
        <f>IF(H211="","",H211-N211)</f>
        <v/>
      </c>
      <c r="P211" s="25">
        <f>IF(OR(M211="",O211=""),"",IF(O211&lt;=0,0,MAX(0,Paramètres!$B$4-M211)))</f>
        <v/>
      </c>
      <c r="Q211" s="25">
        <f>IF(H211="","",IF(O211&lt;=0,"Payée",IF(M211="","Pas encore livrée",IF(P211=0,"Non échue",IF(P211&gt;=Paramètres!$B$7,"Relance 3 : appel direction",IF(P211&gt;=Paramètres!$B$6,"Relance 2",IF(P211&gt;=Paramètres!$B$5,"Relance 1","Échue, relance à venir")))))))</f>
        <v/>
      </c>
      <c r="R211" s="25">
        <f>IF(B211="","",IF(U211=Paramètres!$B$4,"Relancé aujourd'hui",TRIM(IF(LEFT(Q211,7)="Relance",Q211&amp;" ","")&amp;IF(K211="En retard","· Prévenir du retard de livraison",""))))</f>
        <v/>
      </c>
      <c r="S211" s="28">
        <f>IF(B211="","",IF(LEFT(Q211,9)="Relance 3","Bonjour "&amp;D211&amp;", nous revenons vers vous au sujet de la commande "&amp;A211&amp;" du "&amp;TEXT(B211,"dd/mm/yyyy")&amp;" : "&amp;SUBSTITUTE(TEXT(O211,"#,##0"),","," ")&amp;" FCFA restent à régler depuis le "&amp;TEXT(M211,"dd/mm/yyyy")&amp;". Notre responsable souhaite vous appeler pour convenir ensemble d'une solution. Quel moment vous arrange cette semaine ? "&amp;Paramètres!$B$11&amp;", "&amp;Paramètres!$B$12,IF(LEFT(Q211,7)="Relance","Bonjour "&amp;D211&amp;", sauf erreur de notre part, la commande "&amp;A211&amp;" du "&amp;TEXT(B211,"dd/mm/yyyy")&amp;" ("&amp;E211&amp;") présente un reste à payer de "&amp;SUBSTITUTE(TEXT(O211,"#,##0"),","," ")&amp;" FCFA, échu depuis le "&amp;TEXT(M211,"dd/mm/yyyy")&amp;". Pouvez-vous nous indiquer la date de règlement prévue ? Si le paiement est déjà parti, merci de nous envoyer la preuve et ne tenez pas compte de ce message. "&amp;Paramètres!$B$11&amp;", "&amp;Paramètres!$B$12,IF(K211="En retard","Bonjour "&amp;D211&amp;", votre commande "&amp;A211&amp;" ("&amp;E211&amp;", "&amp;F211&amp;" pièces) prévue le "&amp;TEXT(I211,"dd/mm/yyyy")&amp;" a pris du retard. Nous vous confirmons la nouvelle date de livraison dans la journée. Toutes nos excuses pour ce contretemps. "&amp;Paramètres!$B$11&amp;", "&amp;Paramètres!$B$12,""))))</f>
        <v/>
      </c>
      <c r="T211" s="21" t="n"/>
      <c r="U211" s="26" t="n"/>
      <c r="V211" s="21" t="n"/>
    </row>
    <row r="212">
      <c r="A212" s="21" t="n"/>
      <c r="B212" s="26" t="n"/>
      <c r="C212" s="21" t="n"/>
      <c r="D212" s="25">
        <f>IF(C212="","",IFERROR(VLOOKUP(C212,Revendeurs!$A:$B,2,FALSE),"Code inconnu"))</f>
        <v/>
      </c>
      <c r="E212" s="21" t="n"/>
      <c r="F212" s="21" t="n"/>
      <c r="G212" s="22" t="n"/>
      <c r="H212" s="23">
        <f>IF(OR(F212="",G212=""),"",F212*G212)</f>
        <v/>
      </c>
      <c r="I212" s="26" t="n"/>
      <c r="J212" s="26" t="n"/>
      <c r="K212" s="25">
        <f>IF(B212="","",IF(J212&lt;&gt;"","Livrée",IF(I212="","À planifier",IF(Paramètres!$B$4&gt;I212+Paramètres!$B$8,"En retard","En cours"))))</f>
        <v/>
      </c>
      <c r="L212" s="25">
        <f>IF(K212="En retard",Paramètres!$B$4-I212,"")</f>
        <v/>
      </c>
      <c r="M212" s="27">
        <f>IF(OR(B212="",J212=""),"",J212+IFERROR(IF(VLOOKUP(C212,Revendeurs!$A:$G,7,FALSE)="",Paramètres!$B$9,VLOOKUP(C212,Revendeurs!$A:$G,7,FALSE)),Paramètres!$B$9))</f>
        <v/>
      </c>
      <c r="N212" s="22" t="n"/>
      <c r="O212" s="23">
        <f>IF(H212="","",H212-N212)</f>
        <v/>
      </c>
      <c r="P212" s="25">
        <f>IF(OR(M212="",O212=""),"",IF(O212&lt;=0,0,MAX(0,Paramètres!$B$4-M212)))</f>
        <v/>
      </c>
      <c r="Q212" s="25">
        <f>IF(H212="","",IF(O212&lt;=0,"Payée",IF(M212="","Pas encore livrée",IF(P212=0,"Non échue",IF(P212&gt;=Paramètres!$B$7,"Relance 3 : appel direction",IF(P212&gt;=Paramètres!$B$6,"Relance 2",IF(P212&gt;=Paramètres!$B$5,"Relance 1","Échue, relance à venir")))))))</f>
        <v/>
      </c>
      <c r="R212" s="25">
        <f>IF(B212="","",IF(U212=Paramètres!$B$4,"Relancé aujourd'hui",TRIM(IF(LEFT(Q212,7)="Relance",Q212&amp;" ","")&amp;IF(K212="En retard","· Prévenir du retard de livraison",""))))</f>
        <v/>
      </c>
      <c r="S212" s="28">
        <f>IF(B212="","",IF(LEFT(Q212,9)="Relance 3","Bonjour "&amp;D212&amp;", nous revenons vers vous au sujet de la commande "&amp;A212&amp;" du "&amp;TEXT(B212,"dd/mm/yyyy")&amp;" : "&amp;SUBSTITUTE(TEXT(O212,"#,##0"),","," ")&amp;" FCFA restent à régler depuis le "&amp;TEXT(M212,"dd/mm/yyyy")&amp;". Notre responsable souhaite vous appeler pour convenir ensemble d'une solution. Quel moment vous arrange cette semaine ? "&amp;Paramètres!$B$11&amp;", "&amp;Paramètres!$B$12,IF(LEFT(Q212,7)="Relance","Bonjour "&amp;D212&amp;", sauf erreur de notre part, la commande "&amp;A212&amp;" du "&amp;TEXT(B212,"dd/mm/yyyy")&amp;" ("&amp;E212&amp;") présente un reste à payer de "&amp;SUBSTITUTE(TEXT(O212,"#,##0"),","," ")&amp;" FCFA, échu depuis le "&amp;TEXT(M212,"dd/mm/yyyy")&amp;". Pouvez-vous nous indiquer la date de règlement prévue ? Si le paiement est déjà parti, merci de nous envoyer la preuve et ne tenez pas compte de ce message. "&amp;Paramètres!$B$11&amp;", "&amp;Paramètres!$B$12,IF(K212="En retard","Bonjour "&amp;D212&amp;", votre commande "&amp;A212&amp;" ("&amp;E212&amp;", "&amp;F212&amp;" pièces) prévue le "&amp;TEXT(I212,"dd/mm/yyyy")&amp;" a pris du retard. Nous vous confirmons la nouvelle date de livraison dans la journée. Toutes nos excuses pour ce contretemps. "&amp;Paramètres!$B$11&amp;", "&amp;Paramètres!$B$12,""))))</f>
        <v/>
      </c>
      <c r="T212" s="21" t="n"/>
      <c r="U212" s="26" t="n"/>
      <c r="V212" s="21" t="n"/>
    </row>
    <row r="213">
      <c r="A213" s="21" t="n"/>
      <c r="B213" s="26" t="n"/>
      <c r="C213" s="21" t="n"/>
      <c r="D213" s="25">
        <f>IF(C213="","",IFERROR(VLOOKUP(C213,Revendeurs!$A:$B,2,FALSE),"Code inconnu"))</f>
        <v/>
      </c>
      <c r="E213" s="21" t="n"/>
      <c r="F213" s="21" t="n"/>
      <c r="G213" s="22" t="n"/>
      <c r="H213" s="23">
        <f>IF(OR(F213="",G213=""),"",F213*G213)</f>
        <v/>
      </c>
      <c r="I213" s="26" t="n"/>
      <c r="J213" s="26" t="n"/>
      <c r="K213" s="25">
        <f>IF(B213="","",IF(J213&lt;&gt;"","Livrée",IF(I213="","À planifier",IF(Paramètres!$B$4&gt;I213+Paramètres!$B$8,"En retard","En cours"))))</f>
        <v/>
      </c>
      <c r="L213" s="25">
        <f>IF(K213="En retard",Paramètres!$B$4-I213,"")</f>
        <v/>
      </c>
      <c r="M213" s="27">
        <f>IF(OR(B213="",J213=""),"",J213+IFERROR(IF(VLOOKUP(C213,Revendeurs!$A:$G,7,FALSE)="",Paramètres!$B$9,VLOOKUP(C213,Revendeurs!$A:$G,7,FALSE)),Paramètres!$B$9))</f>
        <v/>
      </c>
      <c r="N213" s="22" t="n"/>
      <c r="O213" s="23">
        <f>IF(H213="","",H213-N213)</f>
        <v/>
      </c>
      <c r="P213" s="25">
        <f>IF(OR(M213="",O213=""),"",IF(O213&lt;=0,0,MAX(0,Paramètres!$B$4-M213)))</f>
        <v/>
      </c>
      <c r="Q213" s="25">
        <f>IF(H213="","",IF(O213&lt;=0,"Payée",IF(M213="","Pas encore livrée",IF(P213=0,"Non échue",IF(P213&gt;=Paramètres!$B$7,"Relance 3 : appel direction",IF(P213&gt;=Paramètres!$B$6,"Relance 2",IF(P213&gt;=Paramètres!$B$5,"Relance 1","Échue, relance à venir")))))))</f>
        <v/>
      </c>
      <c r="R213" s="25">
        <f>IF(B213="","",IF(U213=Paramètres!$B$4,"Relancé aujourd'hui",TRIM(IF(LEFT(Q213,7)="Relance",Q213&amp;" ","")&amp;IF(K213="En retard","· Prévenir du retard de livraison",""))))</f>
        <v/>
      </c>
      <c r="S213" s="28">
        <f>IF(B213="","",IF(LEFT(Q213,9)="Relance 3","Bonjour "&amp;D213&amp;", nous revenons vers vous au sujet de la commande "&amp;A213&amp;" du "&amp;TEXT(B213,"dd/mm/yyyy")&amp;" : "&amp;SUBSTITUTE(TEXT(O213,"#,##0"),","," ")&amp;" FCFA restent à régler depuis le "&amp;TEXT(M213,"dd/mm/yyyy")&amp;". Notre responsable souhaite vous appeler pour convenir ensemble d'une solution. Quel moment vous arrange cette semaine ? "&amp;Paramètres!$B$11&amp;", "&amp;Paramètres!$B$12,IF(LEFT(Q213,7)="Relance","Bonjour "&amp;D213&amp;", sauf erreur de notre part, la commande "&amp;A213&amp;" du "&amp;TEXT(B213,"dd/mm/yyyy")&amp;" ("&amp;E213&amp;") présente un reste à payer de "&amp;SUBSTITUTE(TEXT(O213,"#,##0"),","," ")&amp;" FCFA, échu depuis le "&amp;TEXT(M213,"dd/mm/yyyy")&amp;". Pouvez-vous nous indiquer la date de règlement prévue ? Si le paiement est déjà parti, merci de nous envoyer la preuve et ne tenez pas compte de ce message. "&amp;Paramètres!$B$11&amp;", "&amp;Paramètres!$B$12,IF(K213="En retard","Bonjour "&amp;D213&amp;", votre commande "&amp;A213&amp;" ("&amp;E213&amp;", "&amp;F213&amp;" pièces) prévue le "&amp;TEXT(I213,"dd/mm/yyyy")&amp;" a pris du retard. Nous vous confirmons la nouvelle date de livraison dans la journée. Toutes nos excuses pour ce contretemps. "&amp;Paramètres!$B$11&amp;", "&amp;Paramètres!$B$12,""))))</f>
        <v/>
      </c>
      <c r="T213" s="21" t="n"/>
      <c r="U213" s="26" t="n"/>
      <c r="V213" s="21" t="n"/>
    </row>
    <row r="214">
      <c r="A214" s="21" t="n"/>
      <c r="B214" s="26" t="n"/>
      <c r="C214" s="21" t="n"/>
      <c r="D214" s="25">
        <f>IF(C214="","",IFERROR(VLOOKUP(C214,Revendeurs!$A:$B,2,FALSE),"Code inconnu"))</f>
        <v/>
      </c>
      <c r="E214" s="21" t="n"/>
      <c r="F214" s="21" t="n"/>
      <c r="G214" s="22" t="n"/>
      <c r="H214" s="23">
        <f>IF(OR(F214="",G214=""),"",F214*G214)</f>
        <v/>
      </c>
      <c r="I214" s="26" t="n"/>
      <c r="J214" s="26" t="n"/>
      <c r="K214" s="25">
        <f>IF(B214="","",IF(J214&lt;&gt;"","Livrée",IF(I214="","À planifier",IF(Paramètres!$B$4&gt;I214+Paramètres!$B$8,"En retard","En cours"))))</f>
        <v/>
      </c>
      <c r="L214" s="25">
        <f>IF(K214="En retard",Paramètres!$B$4-I214,"")</f>
        <v/>
      </c>
      <c r="M214" s="27">
        <f>IF(OR(B214="",J214=""),"",J214+IFERROR(IF(VLOOKUP(C214,Revendeurs!$A:$G,7,FALSE)="",Paramètres!$B$9,VLOOKUP(C214,Revendeurs!$A:$G,7,FALSE)),Paramètres!$B$9))</f>
        <v/>
      </c>
      <c r="N214" s="22" t="n"/>
      <c r="O214" s="23">
        <f>IF(H214="","",H214-N214)</f>
        <v/>
      </c>
      <c r="P214" s="25">
        <f>IF(OR(M214="",O214=""),"",IF(O214&lt;=0,0,MAX(0,Paramètres!$B$4-M214)))</f>
        <v/>
      </c>
      <c r="Q214" s="25">
        <f>IF(H214="","",IF(O214&lt;=0,"Payée",IF(M214="","Pas encore livrée",IF(P214=0,"Non échue",IF(P214&gt;=Paramètres!$B$7,"Relance 3 : appel direction",IF(P214&gt;=Paramètres!$B$6,"Relance 2",IF(P214&gt;=Paramètres!$B$5,"Relance 1","Échue, relance à venir")))))))</f>
        <v/>
      </c>
      <c r="R214" s="25">
        <f>IF(B214="","",IF(U214=Paramètres!$B$4,"Relancé aujourd'hui",TRIM(IF(LEFT(Q214,7)="Relance",Q214&amp;" ","")&amp;IF(K214="En retard","· Prévenir du retard de livraison",""))))</f>
        <v/>
      </c>
      <c r="S214" s="28">
        <f>IF(B214="","",IF(LEFT(Q214,9)="Relance 3","Bonjour "&amp;D214&amp;", nous revenons vers vous au sujet de la commande "&amp;A214&amp;" du "&amp;TEXT(B214,"dd/mm/yyyy")&amp;" : "&amp;SUBSTITUTE(TEXT(O214,"#,##0"),","," ")&amp;" FCFA restent à régler depuis le "&amp;TEXT(M214,"dd/mm/yyyy")&amp;". Notre responsable souhaite vous appeler pour convenir ensemble d'une solution. Quel moment vous arrange cette semaine ? "&amp;Paramètres!$B$11&amp;", "&amp;Paramètres!$B$12,IF(LEFT(Q214,7)="Relance","Bonjour "&amp;D214&amp;", sauf erreur de notre part, la commande "&amp;A214&amp;" du "&amp;TEXT(B214,"dd/mm/yyyy")&amp;" ("&amp;E214&amp;") présente un reste à payer de "&amp;SUBSTITUTE(TEXT(O214,"#,##0"),","," ")&amp;" FCFA, échu depuis le "&amp;TEXT(M214,"dd/mm/yyyy")&amp;". Pouvez-vous nous indiquer la date de règlement prévue ? Si le paiement est déjà parti, merci de nous envoyer la preuve et ne tenez pas compte de ce message. "&amp;Paramètres!$B$11&amp;", "&amp;Paramètres!$B$12,IF(K214="En retard","Bonjour "&amp;D214&amp;", votre commande "&amp;A214&amp;" ("&amp;E214&amp;", "&amp;F214&amp;" pièces) prévue le "&amp;TEXT(I214,"dd/mm/yyyy")&amp;" a pris du retard. Nous vous confirmons la nouvelle date de livraison dans la journée. Toutes nos excuses pour ce contretemps. "&amp;Paramètres!$B$11&amp;", "&amp;Paramètres!$B$12,""))))</f>
        <v/>
      </c>
      <c r="T214" s="21" t="n"/>
      <c r="U214" s="26" t="n"/>
      <c r="V214" s="21" t="n"/>
    </row>
    <row r="215">
      <c r="A215" s="21" t="n"/>
      <c r="B215" s="26" t="n"/>
      <c r="C215" s="21" t="n"/>
      <c r="D215" s="25">
        <f>IF(C215="","",IFERROR(VLOOKUP(C215,Revendeurs!$A:$B,2,FALSE),"Code inconnu"))</f>
        <v/>
      </c>
      <c r="E215" s="21" t="n"/>
      <c r="F215" s="21" t="n"/>
      <c r="G215" s="22" t="n"/>
      <c r="H215" s="23">
        <f>IF(OR(F215="",G215=""),"",F215*G215)</f>
        <v/>
      </c>
      <c r="I215" s="26" t="n"/>
      <c r="J215" s="26" t="n"/>
      <c r="K215" s="25">
        <f>IF(B215="","",IF(J215&lt;&gt;"","Livrée",IF(I215="","À planifier",IF(Paramètres!$B$4&gt;I215+Paramètres!$B$8,"En retard","En cours"))))</f>
        <v/>
      </c>
      <c r="L215" s="25">
        <f>IF(K215="En retard",Paramètres!$B$4-I215,"")</f>
        <v/>
      </c>
      <c r="M215" s="27">
        <f>IF(OR(B215="",J215=""),"",J215+IFERROR(IF(VLOOKUP(C215,Revendeurs!$A:$G,7,FALSE)="",Paramètres!$B$9,VLOOKUP(C215,Revendeurs!$A:$G,7,FALSE)),Paramètres!$B$9))</f>
        <v/>
      </c>
      <c r="N215" s="22" t="n"/>
      <c r="O215" s="23">
        <f>IF(H215="","",H215-N215)</f>
        <v/>
      </c>
      <c r="P215" s="25">
        <f>IF(OR(M215="",O215=""),"",IF(O215&lt;=0,0,MAX(0,Paramètres!$B$4-M215)))</f>
        <v/>
      </c>
      <c r="Q215" s="25">
        <f>IF(H215="","",IF(O215&lt;=0,"Payée",IF(M215="","Pas encore livrée",IF(P215=0,"Non échue",IF(P215&gt;=Paramètres!$B$7,"Relance 3 : appel direction",IF(P215&gt;=Paramètres!$B$6,"Relance 2",IF(P215&gt;=Paramètres!$B$5,"Relance 1","Échue, relance à venir")))))))</f>
        <v/>
      </c>
      <c r="R215" s="25">
        <f>IF(B215="","",IF(U215=Paramètres!$B$4,"Relancé aujourd'hui",TRIM(IF(LEFT(Q215,7)="Relance",Q215&amp;" ","")&amp;IF(K215="En retard","· Prévenir du retard de livraison",""))))</f>
        <v/>
      </c>
      <c r="S215" s="28">
        <f>IF(B215="","",IF(LEFT(Q215,9)="Relance 3","Bonjour "&amp;D215&amp;", nous revenons vers vous au sujet de la commande "&amp;A215&amp;" du "&amp;TEXT(B215,"dd/mm/yyyy")&amp;" : "&amp;SUBSTITUTE(TEXT(O215,"#,##0"),","," ")&amp;" FCFA restent à régler depuis le "&amp;TEXT(M215,"dd/mm/yyyy")&amp;". Notre responsable souhaite vous appeler pour convenir ensemble d'une solution. Quel moment vous arrange cette semaine ? "&amp;Paramètres!$B$11&amp;", "&amp;Paramètres!$B$12,IF(LEFT(Q215,7)="Relance","Bonjour "&amp;D215&amp;", sauf erreur de notre part, la commande "&amp;A215&amp;" du "&amp;TEXT(B215,"dd/mm/yyyy")&amp;" ("&amp;E215&amp;") présente un reste à payer de "&amp;SUBSTITUTE(TEXT(O215,"#,##0"),","," ")&amp;" FCFA, échu depuis le "&amp;TEXT(M215,"dd/mm/yyyy")&amp;". Pouvez-vous nous indiquer la date de règlement prévue ? Si le paiement est déjà parti, merci de nous envoyer la preuve et ne tenez pas compte de ce message. "&amp;Paramètres!$B$11&amp;", "&amp;Paramètres!$B$12,IF(K215="En retard","Bonjour "&amp;D215&amp;", votre commande "&amp;A215&amp;" ("&amp;E215&amp;", "&amp;F215&amp;" pièces) prévue le "&amp;TEXT(I215,"dd/mm/yyyy")&amp;" a pris du retard. Nous vous confirmons la nouvelle date de livraison dans la journée. Toutes nos excuses pour ce contretemps. "&amp;Paramètres!$B$11&amp;", "&amp;Paramètres!$B$12,""))))</f>
        <v/>
      </c>
      <c r="T215" s="21" t="n"/>
      <c r="U215" s="26" t="n"/>
      <c r="V215" s="21" t="n"/>
    </row>
    <row r="216">
      <c r="A216" s="21" t="n"/>
      <c r="B216" s="26" t="n"/>
      <c r="C216" s="21" t="n"/>
      <c r="D216" s="25">
        <f>IF(C216="","",IFERROR(VLOOKUP(C216,Revendeurs!$A:$B,2,FALSE),"Code inconnu"))</f>
        <v/>
      </c>
      <c r="E216" s="21" t="n"/>
      <c r="F216" s="21" t="n"/>
      <c r="G216" s="22" t="n"/>
      <c r="H216" s="23">
        <f>IF(OR(F216="",G216=""),"",F216*G216)</f>
        <v/>
      </c>
      <c r="I216" s="26" t="n"/>
      <c r="J216" s="26" t="n"/>
      <c r="K216" s="25">
        <f>IF(B216="","",IF(J216&lt;&gt;"","Livrée",IF(I216="","À planifier",IF(Paramètres!$B$4&gt;I216+Paramètres!$B$8,"En retard","En cours"))))</f>
        <v/>
      </c>
      <c r="L216" s="25">
        <f>IF(K216="En retard",Paramètres!$B$4-I216,"")</f>
        <v/>
      </c>
      <c r="M216" s="27">
        <f>IF(OR(B216="",J216=""),"",J216+IFERROR(IF(VLOOKUP(C216,Revendeurs!$A:$G,7,FALSE)="",Paramètres!$B$9,VLOOKUP(C216,Revendeurs!$A:$G,7,FALSE)),Paramètres!$B$9))</f>
        <v/>
      </c>
      <c r="N216" s="22" t="n"/>
      <c r="O216" s="23">
        <f>IF(H216="","",H216-N216)</f>
        <v/>
      </c>
      <c r="P216" s="25">
        <f>IF(OR(M216="",O216=""),"",IF(O216&lt;=0,0,MAX(0,Paramètres!$B$4-M216)))</f>
        <v/>
      </c>
      <c r="Q216" s="25">
        <f>IF(H216="","",IF(O216&lt;=0,"Payée",IF(M216="","Pas encore livrée",IF(P216=0,"Non échue",IF(P216&gt;=Paramètres!$B$7,"Relance 3 : appel direction",IF(P216&gt;=Paramètres!$B$6,"Relance 2",IF(P216&gt;=Paramètres!$B$5,"Relance 1","Échue, relance à venir")))))))</f>
        <v/>
      </c>
      <c r="R216" s="25">
        <f>IF(B216="","",IF(U216=Paramètres!$B$4,"Relancé aujourd'hui",TRIM(IF(LEFT(Q216,7)="Relance",Q216&amp;" ","")&amp;IF(K216="En retard","· Prévenir du retard de livraison",""))))</f>
        <v/>
      </c>
      <c r="S216" s="28">
        <f>IF(B216="","",IF(LEFT(Q216,9)="Relance 3","Bonjour "&amp;D216&amp;", nous revenons vers vous au sujet de la commande "&amp;A216&amp;" du "&amp;TEXT(B216,"dd/mm/yyyy")&amp;" : "&amp;SUBSTITUTE(TEXT(O216,"#,##0"),","," ")&amp;" FCFA restent à régler depuis le "&amp;TEXT(M216,"dd/mm/yyyy")&amp;". Notre responsable souhaite vous appeler pour convenir ensemble d'une solution. Quel moment vous arrange cette semaine ? "&amp;Paramètres!$B$11&amp;", "&amp;Paramètres!$B$12,IF(LEFT(Q216,7)="Relance","Bonjour "&amp;D216&amp;", sauf erreur de notre part, la commande "&amp;A216&amp;" du "&amp;TEXT(B216,"dd/mm/yyyy")&amp;" ("&amp;E216&amp;") présente un reste à payer de "&amp;SUBSTITUTE(TEXT(O216,"#,##0"),","," ")&amp;" FCFA, échu depuis le "&amp;TEXT(M216,"dd/mm/yyyy")&amp;". Pouvez-vous nous indiquer la date de règlement prévue ? Si le paiement est déjà parti, merci de nous envoyer la preuve et ne tenez pas compte de ce message. "&amp;Paramètres!$B$11&amp;", "&amp;Paramètres!$B$12,IF(K216="En retard","Bonjour "&amp;D216&amp;", votre commande "&amp;A216&amp;" ("&amp;E216&amp;", "&amp;F216&amp;" pièces) prévue le "&amp;TEXT(I216,"dd/mm/yyyy")&amp;" a pris du retard. Nous vous confirmons la nouvelle date de livraison dans la journée. Toutes nos excuses pour ce contretemps. "&amp;Paramètres!$B$11&amp;", "&amp;Paramètres!$B$12,""))))</f>
        <v/>
      </c>
      <c r="T216" s="21" t="n"/>
      <c r="U216" s="26" t="n"/>
      <c r="V216" s="21" t="n"/>
    </row>
    <row r="217">
      <c r="A217" s="21" t="n"/>
      <c r="B217" s="26" t="n"/>
      <c r="C217" s="21" t="n"/>
      <c r="D217" s="25">
        <f>IF(C217="","",IFERROR(VLOOKUP(C217,Revendeurs!$A:$B,2,FALSE),"Code inconnu"))</f>
        <v/>
      </c>
      <c r="E217" s="21" t="n"/>
      <c r="F217" s="21" t="n"/>
      <c r="G217" s="22" t="n"/>
      <c r="H217" s="23">
        <f>IF(OR(F217="",G217=""),"",F217*G217)</f>
        <v/>
      </c>
      <c r="I217" s="26" t="n"/>
      <c r="J217" s="26" t="n"/>
      <c r="K217" s="25">
        <f>IF(B217="","",IF(J217&lt;&gt;"","Livrée",IF(I217="","À planifier",IF(Paramètres!$B$4&gt;I217+Paramètres!$B$8,"En retard","En cours"))))</f>
        <v/>
      </c>
      <c r="L217" s="25">
        <f>IF(K217="En retard",Paramètres!$B$4-I217,"")</f>
        <v/>
      </c>
      <c r="M217" s="27">
        <f>IF(OR(B217="",J217=""),"",J217+IFERROR(IF(VLOOKUP(C217,Revendeurs!$A:$G,7,FALSE)="",Paramètres!$B$9,VLOOKUP(C217,Revendeurs!$A:$G,7,FALSE)),Paramètres!$B$9))</f>
        <v/>
      </c>
      <c r="N217" s="22" t="n"/>
      <c r="O217" s="23">
        <f>IF(H217="","",H217-N217)</f>
        <v/>
      </c>
      <c r="P217" s="25">
        <f>IF(OR(M217="",O217=""),"",IF(O217&lt;=0,0,MAX(0,Paramètres!$B$4-M217)))</f>
        <v/>
      </c>
      <c r="Q217" s="25">
        <f>IF(H217="","",IF(O217&lt;=0,"Payée",IF(M217="","Pas encore livrée",IF(P217=0,"Non échue",IF(P217&gt;=Paramètres!$B$7,"Relance 3 : appel direction",IF(P217&gt;=Paramètres!$B$6,"Relance 2",IF(P217&gt;=Paramètres!$B$5,"Relance 1","Échue, relance à venir")))))))</f>
        <v/>
      </c>
      <c r="R217" s="25">
        <f>IF(B217="","",IF(U217=Paramètres!$B$4,"Relancé aujourd'hui",TRIM(IF(LEFT(Q217,7)="Relance",Q217&amp;" ","")&amp;IF(K217="En retard","· Prévenir du retard de livraison",""))))</f>
        <v/>
      </c>
      <c r="S217" s="28">
        <f>IF(B217="","",IF(LEFT(Q217,9)="Relance 3","Bonjour "&amp;D217&amp;", nous revenons vers vous au sujet de la commande "&amp;A217&amp;" du "&amp;TEXT(B217,"dd/mm/yyyy")&amp;" : "&amp;SUBSTITUTE(TEXT(O217,"#,##0"),","," ")&amp;" FCFA restent à régler depuis le "&amp;TEXT(M217,"dd/mm/yyyy")&amp;". Notre responsable souhaite vous appeler pour convenir ensemble d'une solution. Quel moment vous arrange cette semaine ? "&amp;Paramètres!$B$11&amp;", "&amp;Paramètres!$B$12,IF(LEFT(Q217,7)="Relance","Bonjour "&amp;D217&amp;", sauf erreur de notre part, la commande "&amp;A217&amp;" du "&amp;TEXT(B217,"dd/mm/yyyy")&amp;" ("&amp;E217&amp;") présente un reste à payer de "&amp;SUBSTITUTE(TEXT(O217,"#,##0"),","," ")&amp;" FCFA, échu depuis le "&amp;TEXT(M217,"dd/mm/yyyy")&amp;". Pouvez-vous nous indiquer la date de règlement prévue ? Si le paiement est déjà parti, merci de nous envoyer la preuve et ne tenez pas compte de ce message. "&amp;Paramètres!$B$11&amp;", "&amp;Paramètres!$B$12,IF(K217="En retard","Bonjour "&amp;D217&amp;", votre commande "&amp;A217&amp;" ("&amp;E217&amp;", "&amp;F217&amp;" pièces) prévue le "&amp;TEXT(I217,"dd/mm/yyyy")&amp;" a pris du retard. Nous vous confirmons la nouvelle date de livraison dans la journée. Toutes nos excuses pour ce contretemps. "&amp;Paramètres!$B$11&amp;", "&amp;Paramètres!$B$12,""))))</f>
        <v/>
      </c>
      <c r="T217" s="21" t="n"/>
      <c r="U217" s="26" t="n"/>
      <c r="V217" s="21" t="n"/>
    </row>
    <row r="218">
      <c r="A218" s="21" t="n"/>
      <c r="B218" s="26" t="n"/>
      <c r="C218" s="21" t="n"/>
      <c r="D218" s="25">
        <f>IF(C218="","",IFERROR(VLOOKUP(C218,Revendeurs!$A:$B,2,FALSE),"Code inconnu"))</f>
        <v/>
      </c>
      <c r="E218" s="21" t="n"/>
      <c r="F218" s="21" t="n"/>
      <c r="G218" s="22" t="n"/>
      <c r="H218" s="23">
        <f>IF(OR(F218="",G218=""),"",F218*G218)</f>
        <v/>
      </c>
      <c r="I218" s="26" t="n"/>
      <c r="J218" s="26" t="n"/>
      <c r="K218" s="25">
        <f>IF(B218="","",IF(J218&lt;&gt;"","Livrée",IF(I218="","À planifier",IF(Paramètres!$B$4&gt;I218+Paramètres!$B$8,"En retard","En cours"))))</f>
        <v/>
      </c>
      <c r="L218" s="25">
        <f>IF(K218="En retard",Paramètres!$B$4-I218,"")</f>
        <v/>
      </c>
      <c r="M218" s="27">
        <f>IF(OR(B218="",J218=""),"",J218+IFERROR(IF(VLOOKUP(C218,Revendeurs!$A:$G,7,FALSE)="",Paramètres!$B$9,VLOOKUP(C218,Revendeurs!$A:$G,7,FALSE)),Paramètres!$B$9))</f>
        <v/>
      </c>
      <c r="N218" s="22" t="n"/>
      <c r="O218" s="23">
        <f>IF(H218="","",H218-N218)</f>
        <v/>
      </c>
      <c r="P218" s="25">
        <f>IF(OR(M218="",O218=""),"",IF(O218&lt;=0,0,MAX(0,Paramètres!$B$4-M218)))</f>
        <v/>
      </c>
      <c r="Q218" s="25">
        <f>IF(H218="","",IF(O218&lt;=0,"Payée",IF(M218="","Pas encore livrée",IF(P218=0,"Non échue",IF(P218&gt;=Paramètres!$B$7,"Relance 3 : appel direction",IF(P218&gt;=Paramètres!$B$6,"Relance 2",IF(P218&gt;=Paramètres!$B$5,"Relance 1","Échue, relance à venir")))))))</f>
        <v/>
      </c>
      <c r="R218" s="25">
        <f>IF(B218="","",IF(U218=Paramètres!$B$4,"Relancé aujourd'hui",TRIM(IF(LEFT(Q218,7)="Relance",Q218&amp;" ","")&amp;IF(K218="En retard","· Prévenir du retard de livraison",""))))</f>
        <v/>
      </c>
      <c r="S218" s="28">
        <f>IF(B218="","",IF(LEFT(Q218,9)="Relance 3","Bonjour "&amp;D218&amp;", nous revenons vers vous au sujet de la commande "&amp;A218&amp;" du "&amp;TEXT(B218,"dd/mm/yyyy")&amp;" : "&amp;SUBSTITUTE(TEXT(O218,"#,##0"),","," ")&amp;" FCFA restent à régler depuis le "&amp;TEXT(M218,"dd/mm/yyyy")&amp;". Notre responsable souhaite vous appeler pour convenir ensemble d'une solution. Quel moment vous arrange cette semaine ? "&amp;Paramètres!$B$11&amp;", "&amp;Paramètres!$B$12,IF(LEFT(Q218,7)="Relance","Bonjour "&amp;D218&amp;", sauf erreur de notre part, la commande "&amp;A218&amp;" du "&amp;TEXT(B218,"dd/mm/yyyy")&amp;" ("&amp;E218&amp;") présente un reste à payer de "&amp;SUBSTITUTE(TEXT(O218,"#,##0"),","," ")&amp;" FCFA, échu depuis le "&amp;TEXT(M218,"dd/mm/yyyy")&amp;". Pouvez-vous nous indiquer la date de règlement prévue ? Si le paiement est déjà parti, merci de nous envoyer la preuve et ne tenez pas compte de ce message. "&amp;Paramètres!$B$11&amp;", "&amp;Paramètres!$B$12,IF(K218="En retard","Bonjour "&amp;D218&amp;", votre commande "&amp;A218&amp;" ("&amp;E218&amp;", "&amp;F218&amp;" pièces) prévue le "&amp;TEXT(I218,"dd/mm/yyyy")&amp;" a pris du retard. Nous vous confirmons la nouvelle date de livraison dans la journée. Toutes nos excuses pour ce contretemps. "&amp;Paramètres!$B$11&amp;", "&amp;Paramètres!$B$12,""))))</f>
        <v/>
      </c>
      <c r="T218" s="21" t="n"/>
      <c r="U218" s="26" t="n"/>
      <c r="V218" s="21" t="n"/>
    </row>
    <row r="219">
      <c r="A219" s="21" t="n"/>
      <c r="B219" s="26" t="n"/>
      <c r="C219" s="21" t="n"/>
      <c r="D219" s="25">
        <f>IF(C219="","",IFERROR(VLOOKUP(C219,Revendeurs!$A:$B,2,FALSE),"Code inconnu"))</f>
        <v/>
      </c>
      <c r="E219" s="21" t="n"/>
      <c r="F219" s="21" t="n"/>
      <c r="G219" s="22" t="n"/>
      <c r="H219" s="23">
        <f>IF(OR(F219="",G219=""),"",F219*G219)</f>
        <v/>
      </c>
      <c r="I219" s="26" t="n"/>
      <c r="J219" s="26" t="n"/>
      <c r="K219" s="25">
        <f>IF(B219="","",IF(J219&lt;&gt;"","Livrée",IF(I219="","À planifier",IF(Paramètres!$B$4&gt;I219+Paramètres!$B$8,"En retard","En cours"))))</f>
        <v/>
      </c>
      <c r="L219" s="25">
        <f>IF(K219="En retard",Paramètres!$B$4-I219,"")</f>
        <v/>
      </c>
      <c r="M219" s="27">
        <f>IF(OR(B219="",J219=""),"",J219+IFERROR(IF(VLOOKUP(C219,Revendeurs!$A:$G,7,FALSE)="",Paramètres!$B$9,VLOOKUP(C219,Revendeurs!$A:$G,7,FALSE)),Paramètres!$B$9))</f>
        <v/>
      </c>
      <c r="N219" s="22" t="n"/>
      <c r="O219" s="23">
        <f>IF(H219="","",H219-N219)</f>
        <v/>
      </c>
      <c r="P219" s="25">
        <f>IF(OR(M219="",O219=""),"",IF(O219&lt;=0,0,MAX(0,Paramètres!$B$4-M219)))</f>
        <v/>
      </c>
      <c r="Q219" s="25">
        <f>IF(H219="","",IF(O219&lt;=0,"Payée",IF(M219="","Pas encore livrée",IF(P219=0,"Non échue",IF(P219&gt;=Paramètres!$B$7,"Relance 3 : appel direction",IF(P219&gt;=Paramètres!$B$6,"Relance 2",IF(P219&gt;=Paramètres!$B$5,"Relance 1","Échue, relance à venir")))))))</f>
        <v/>
      </c>
      <c r="R219" s="25">
        <f>IF(B219="","",IF(U219=Paramètres!$B$4,"Relancé aujourd'hui",TRIM(IF(LEFT(Q219,7)="Relance",Q219&amp;" ","")&amp;IF(K219="En retard","· Prévenir du retard de livraison",""))))</f>
        <v/>
      </c>
      <c r="S219" s="28">
        <f>IF(B219="","",IF(LEFT(Q219,9)="Relance 3","Bonjour "&amp;D219&amp;", nous revenons vers vous au sujet de la commande "&amp;A219&amp;" du "&amp;TEXT(B219,"dd/mm/yyyy")&amp;" : "&amp;SUBSTITUTE(TEXT(O219,"#,##0"),","," ")&amp;" FCFA restent à régler depuis le "&amp;TEXT(M219,"dd/mm/yyyy")&amp;". Notre responsable souhaite vous appeler pour convenir ensemble d'une solution. Quel moment vous arrange cette semaine ? "&amp;Paramètres!$B$11&amp;", "&amp;Paramètres!$B$12,IF(LEFT(Q219,7)="Relance","Bonjour "&amp;D219&amp;", sauf erreur de notre part, la commande "&amp;A219&amp;" du "&amp;TEXT(B219,"dd/mm/yyyy")&amp;" ("&amp;E219&amp;") présente un reste à payer de "&amp;SUBSTITUTE(TEXT(O219,"#,##0"),","," ")&amp;" FCFA, échu depuis le "&amp;TEXT(M219,"dd/mm/yyyy")&amp;". Pouvez-vous nous indiquer la date de règlement prévue ? Si le paiement est déjà parti, merci de nous envoyer la preuve et ne tenez pas compte de ce message. "&amp;Paramètres!$B$11&amp;", "&amp;Paramètres!$B$12,IF(K219="En retard","Bonjour "&amp;D219&amp;", votre commande "&amp;A219&amp;" ("&amp;E219&amp;", "&amp;F219&amp;" pièces) prévue le "&amp;TEXT(I219,"dd/mm/yyyy")&amp;" a pris du retard. Nous vous confirmons la nouvelle date de livraison dans la journée. Toutes nos excuses pour ce contretemps. "&amp;Paramètres!$B$11&amp;", "&amp;Paramètres!$B$12,""))))</f>
        <v/>
      </c>
      <c r="T219" s="21" t="n"/>
      <c r="U219" s="26" t="n"/>
      <c r="V219" s="21" t="n"/>
    </row>
    <row r="220">
      <c r="A220" s="21" t="n"/>
      <c r="B220" s="26" t="n"/>
      <c r="C220" s="21" t="n"/>
      <c r="D220" s="25">
        <f>IF(C220="","",IFERROR(VLOOKUP(C220,Revendeurs!$A:$B,2,FALSE),"Code inconnu"))</f>
        <v/>
      </c>
      <c r="E220" s="21" t="n"/>
      <c r="F220" s="21" t="n"/>
      <c r="G220" s="22" t="n"/>
      <c r="H220" s="23">
        <f>IF(OR(F220="",G220=""),"",F220*G220)</f>
        <v/>
      </c>
      <c r="I220" s="26" t="n"/>
      <c r="J220" s="26" t="n"/>
      <c r="K220" s="25">
        <f>IF(B220="","",IF(J220&lt;&gt;"","Livrée",IF(I220="","À planifier",IF(Paramètres!$B$4&gt;I220+Paramètres!$B$8,"En retard","En cours"))))</f>
        <v/>
      </c>
      <c r="L220" s="25">
        <f>IF(K220="En retard",Paramètres!$B$4-I220,"")</f>
        <v/>
      </c>
      <c r="M220" s="27">
        <f>IF(OR(B220="",J220=""),"",J220+IFERROR(IF(VLOOKUP(C220,Revendeurs!$A:$G,7,FALSE)="",Paramètres!$B$9,VLOOKUP(C220,Revendeurs!$A:$G,7,FALSE)),Paramètres!$B$9))</f>
        <v/>
      </c>
      <c r="N220" s="22" t="n"/>
      <c r="O220" s="23">
        <f>IF(H220="","",H220-N220)</f>
        <v/>
      </c>
      <c r="P220" s="25">
        <f>IF(OR(M220="",O220=""),"",IF(O220&lt;=0,0,MAX(0,Paramètres!$B$4-M220)))</f>
        <v/>
      </c>
      <c r="Q220" s="25">
        <f>IF(H220="","",IF(O220&lt;=0,"Payée",IF(M220="","Pas encore livrée",IF(P220=0,"Non échue",IF(P220&gt;=Paramètres!$B$7,"Relance 3 : appel direction",IF(P220&gt;=Paramètres!$B$6,"Relance 2",IF(P220&gt;=Paramètres!$B$5,"Relance 1","Échue, relance à venir")))))))</f>
        <v/>
      </c>
      <c r="R220" s="25">
        <f>IF(B220="","",IF(U220=Paramètres!$B$4,"Relancé aujourd'hui",TRIM(IF(LEFT(Q220,7)="Relance",Q220&amp;" ","")&amp;IF(K220="En retard","· Prévenir du retard de livraison",""))))</f>
        <v/>
      </c>
      <c r="S220" s="28">
        <f>IF(B220="","",IF(LEFT(Q220,9)="Relance 3","Bonjour "&amp;D220&amp;", nous revenons vers vous au sujet de la commande "&amp;A220&amp;" du "&amp;TEXT(B220,"dd/mm/yyyy")&amp;" : "&amp;SUBSTITUTE(TEXT(O220,"#,##0"),","," ")&amp;" FCFA restent à régler depuis le "&amp;TEXT(M220,"dd/mm/yyyy")&amp;". Notre responsable souhaite vous appeler pour convenir ensemble d'une solution. Quel moment vous arrange cette semaine ? "&amp;Paramètres!$B$11&amp;", "&amp;Paramètres!$B$12,IF(LEFT(Q220,7)="Relance","Bonjour "&amp;D220&amp;", sauf erreur de notre part, la commande "&amp;A220&amp;" du "&amp;TEXT(B220,"dd/mm/yyyy")&amp;" ("&amp;E220&amp;") présente un reste à payer de "&amp;SUBSTITUTE(TEXT(O220,"#,##0"),","," ")&amp;" FCFA, échu depuis le "&amp;TEXT(M220,"dd/mm/yyyy")&amp;". Pouvez-vous nous indiquer la date de règlement prévue ? Si le paiement est déjà parti, merci de nous envoyer la preuve et ne tenez pas compte de ce message. "&amp;Paramètres!$B$11&amp;", "&amp;Paramètres!$B$12,IF(K220="En retard","Bonjour "&amp;D220&amp;", votre commande "&amp;A220&amp;" ("&amp;E220&amp;", "&amp;F220&amp;" pièces) prévue le "&amp;TEXT(I220,"dd/mm/yyyy")&amp;" a pris du retard. Nous vous confirmons la nouvelle date de livraison dans la journée. Toutes nos excuses pour ce contretemps. "&amp;Paramètres!$B$11&amp;", "&amp;Paramètres!$B$12,""))))</f>
        <v/>
      </c>
      <c r="T220" s="21" t="n"/>
      <c r="U220" s="26" t="n"/>
      <c r="V220" s="21" t="n"/>
    </row>
    <row r="221">
      <c r="A221" s="21" t="n"/>
      <c r="B221" s="26" t="n"/>
      <c r="C221" s="21" t="n"/>
      <c r="D221" s="25">
        <f>IF(C221="","",IFERROR(VLOOKUP(C221,Revendeurs!$A:$B,2,FALSE),"Code inconnu"))</f>
        <v/>
      </c>
      <c r="E221" s="21" t="n"/>
      <c r="F221" s="21" t="n"/>
      <c r="G221" s="22" t="n"/>
      <c r="H221" s="23">
        <f>IF(OR(F221="",G221=""),"",F221*G221)</f>
        <v/>
      </c>
      <c r="I221" s="26" t="n"/>
      <c r="J221" s="26" t="n"/>
      <c r="K221" s="25">
        <f>IF(B221="","",IF(J221&lt;&gt;"","Livrée",IF(I221="","À planifier",IF(Paramètres!$B$4&gt;I221+Paramètres!$B$8,"En retard","En cours"))))</f>
        <v/>
      </c>
      <c r="L221" s="25">
        <f>IF(K221="En retard",Paramètres!$B$4-I221,"")</f>
        <v/>
      </c>
      <c r="M221" s="27">
        <f>IF(OR(B221="",J221=""),"",J221+IFERROR(IF(VLOOKUP(C221,Revendeurs!$A:$G,7,FALSE)="",Paramètres!$B$9,VLOOKUP(C221,Revendeurs!$A:$G,7,FALSE)),Paramètres!$B$9))</f>
        <v/>
      </c>
      <c r="N221" s="22" t="n"/>
      <c r="O221" s="23">
        <f>IF(H221="","",H221-N221)</f>
        <v/>
      </c>
      <c r="P221" s="25">
        <f>IF(OR(M221="",O221=""),"",IF(O221&lt;=0,0,MAX(0,Paramètres!$B$4-M221)))</f>
        <v/>
      </c>
      <c r="Q221" s="25">
        <f>IF(H221="","",IF(O221&lt;=0,"Payée",IF(M221="","Pas encore livrée",IF(P221=0,"Non échue",IF(P221&gt;=Paramètres!$B$7,"Relance 3 : appel direction",IF(P221&gt;=Paramètres!$B$6,"Relance 2",IF(P221&gt;=Paramètres!$B$5,"Relance 1","Échue, relance à venir")))))))</f>
        <v/>
      </c>
      <c r="R221" s="25">
        <f>IF(B221="","",IF(U221=Paramètres!$B$4,"Relancé aujourd'hui",TRIM(IF(LEFT(Q221,7)="Relance",Q221&amp;" ","")&amp;IF(K221="En retard","· Prévenir du retard de livraison",""))))</f>
        <v/>
      </c>
      <c r="S221" s="28">
        <f>IF(B221="","",IF(LEFT(Q221,9)="Relance 3","Bonjour "&amp;D221&amp;", nous revenons vers vous au sujet de la commande "&amp;A221&amp;" du "&amp;TEXT(B221,"dd/mm/yyyy")&amp;" : "&amp;SUBSTITUTE(TEXT(O221,"#,##0"),","," ")&amp;" FCFA restent à régler depuis le "&amp;TEXT(M221,"dd/mm/yyyy")&amp;". Notre responsable souhaite vous appeler pour convenir ensemble d'une solution. Quel moment vous arrange cette semaine ? "&amp;Paramètres!$B$11&amp;", "&amp;Paramètres!$B$12,IF(LEFT(Q221,7)="Relance","Bonjour "&amp;D221&amp;", sauf erreur de notre part, la commande "&amp;A221&amp;" du "&amp;TEXT(B221,"dd/mm/yyyy")&amp;" ("&amp;E221&amp;") présente un reste à payer de "&amp;SUBSTITUTE(TEXT(O221,"#,##0"),","," ")&amp;" FCFA, échu depuis le "&amp;TEXT(M221,"dd/mm/yyyy")&amp;". Pouvez-vous nous indiquer la date de règlement prévue ? Si le paiement est déjà parti, merci de nous envoyer la preuve et ne tenez pas compte de ce message. "&amp;Paramètres!$B$11&amp;", "&amp;Paramètres!$B$12,IF(K221="En retard","Bonjour "&amp;D221&amp;", votre commande "&amp;A221&amp;" ("&amp;E221&amp;", "&amp;F221&amp;" pièces) prévue le "&amp;TEXT(I221,"dd/mm/yyyy")&amp;" a pris du retard. Nous vous confirmons la nouvelle date de livraison dans la journée. Toutes nos excuses pour ce contretemps. "&amp;Paramètres!$B$11&amp;", "&amp;Paramètres!$B$12,""))))</f>
        <v/>
      </c>
      <c r="T221" s="21" t="n"/>
      <c r="U221" s="26" t="n"/>
      <c r="V221" s="21" t="n"/>
    </row>
    <row r="222">
      <c r="A222" s="21" t="n"/>
      <c r="B222" s="26" t="n"/>
      <c r="C222" s="21" t="n"/>
      <c r="D222" s="25">
        <f>IF(C222="","",IFERROR(VLOOKUP(C222,Revendeurs!$A:$B,2,FALSE),"Code inconnu"))</f>
        <v/>
      </c>
      <c r="E222" s="21" t="n"/>
      <c r="F222" s="21" t="n"/>
      <c r="G222" s="22" t="n"/>
      <c r="H222" s="23">
        <f>IF(OR(F222="",G222=""),"",F222*G222)</f>
        <v/>
      </c>
      <c r="I222" s="26" t="n"/>
      <c r="J222" s="26" t="n"/>
      <c r="K222" s="25">
        <f>IF(B222="","",IF(J222&lt;&gt;"","Livrée",IF(I222="","À planifier",IF(Paramètres!$B$4&gt;I222+Paramètres!$B$8,"En retard","En cours"))))</f>
        <v/>
      </c>
      <c r="L222" s="25">
        <f>IF(K222="En retard",Paramètres!$B$4-I222,"")</f>
        <v/>
      </c>
      <c r="M222" s="27">
        <f>IF(OR(B222="",J222=""),"",J222+IFERROR(IF(VLOOKUP(C222,Revendeurs!$A:$G,7,FALSE)="",Paramètres!$B$9,VLOOKUP(C222,Revendeurs!$A:$G,7,FALSE)),Paramètres!$B$9))</f>
        <v/>
      </c>
      <c r="N222" s="22" t="n"/>
      <c r="O222" s="23">
        <f>IF(H222="","",H222-N222)</f>
        <v/>
      </c>
      <c r="P222" s="25">
        <f>IF(OR(M222="",O222=""),"",IF(O222&lt;=0,0,MAX(0,Paramètres!$B$4-M222)))</f>
        <v/>
      </c>
      <c r="Q222" s="25">
        <f>IF(H222="","",IF(O222&lt;=0,"Payée",IF(M222="","Pas encore livrée",IF(P222=0,"Non échue",IF(P222&gt;=Paramètres!$B$7,"Relance 3 : appel direction",IF(P222&gt;=Paramètres!$B$6,"Relance 2",IF(P222&gt;=Paramètres!$B$5,"Relance 1","Échue, relance à venir")))))))</f>
        <v/>
      </c>
      <c r="R222" s="25">
        <f>IF(B222="","",IF(U222=Paramètres!$B$4,"Relancé aujourd'hui",TRIM(IF(LEFT(Q222,7)="Relance",Q222&amp;" ","")&amp;IF(K222="En retard","· Prévenir du retard de livraison",""))))</f>
        <v/>
      </c>
      <c r="S222" s="28">
        <f>IF(B222="","",IF(LEFT(Q222,9)="Relance 3","Bonjour "&amp;D222&amp;", nous revenons vers vous au sujet de la commande "&amp;A222&amp;" du "&amp;TEXT(B222,"dd/mm/yyyy")&amp;" : "&amp;SUBSTITUTE(TEXT(O222,"#,##0"),","," ")&amp;" FCFA restent à régler depuis le "&amp;TEXT(M222,"dd/mm/yyyy")&amp;". Notre responsable souhaite vous appeler pour convenir ensemble d'une solution. Quel moment vous arrange cette semaine ? "&amp;Paramètres!$B$11&amp;", "&amp;Paramètres!$B$12,IF(LEFT(Q222,7)="Relance","Bonjour "&amp;D222&amp;", sauf erreur de notre part, la commande "&amp;A222&amp;" du "&amp;TEXT(B222,"dd/mm/yyyy")&amp;" ("&amp;E222&amp;") présente un reste à payer de "&amp;SUBSTITUTE(TEXT(O222,"#,##0"),","," ")&amp;" FCFA, échu depuis le "&amp;TEXT(M222,"dd/mm/yyyy")&amp;". Pouvez-vous nous indiquer la date de règlement prévue ? Si le paiement est déjà parti, merci de nous envoyer la preuve et ne tenez pas compte de ce message. "&amp;Paramètres!$B$11&amp;", "&amp;Paramètres!$B$12,IF(K222="En retard","Bonjour "&amp;D222&amp;", votre commande "&amp;A222&amp;" ("&amp;E222&amp;", "&amp;F222&amp;" pièces) prévue le "&amp;TEXT(I222,"dd/mm/yyyy")&amp;" a pris du retard. Nous vous confirmons la nouvelle date de livraison dans la journée. Toutes nos excuses pour ce contretemps. "&amp;Paramètres!$B$11&amp;", "&amp;Paramètres!$B$12,""))))</f>
        <v/>
      </c>
      <c r="T222" s="21" t="n"/>
      <c r="U222" s="26" t="n"/>
      <c r="V222" s="21" t="n"/>
    </row>
    <row r="223">
      <c r="A223" s="21" t="n"/>
      <c r="B223" s="26" t="n"/>
      <c r="C223" s="21" t="n"/>
      <c r="D223" s="25">
        <f>IF(C223="","",IFERROR(VLOOKUP(C223,Revendeurs!$A:$B,2,FALSE),"Code inconnu"))</f>
        <v/>
      </c>
      <c r="E223" s="21" t="n"/>
      <c r="F223" s="21" t="n"/>
      <c r="G223" s="22" t="n"/>
      <c r="H223" s="23">
        <f>IF(OR(F223="",G223=""),"",F223*G223)</f>
        <v/>
      </c>
      <c r="I223" s="26" t="n"/>
      <c r="J223" s="26" t="n"/>
      <c r="K223" s="25">
        <f>IF(B223="","",IF(J223&lt;&gt;"","Livrée",IF(I223="","À planifier",IF(Paramètres!$B$4&gt;I223+Paramètres!$B$8,"En retard","En cours"))))</f>
        <v/>
      </c>
      <c r="L223" s="25">
        <f>IF(K223="En retard",Paramètres!$B$4-I223,"")</f>
        <v/>
      </c>
      <c r="M223" s="27">
        <f>IF(OR(B223="",J223=""),"",J223+IFERROR(IF(VLOOKUP(C223,Revendeurs!$A:$G,7,FALSE)="",Paramètres!$B$9,VLOOKUP(C223,Revendeurs!$A:$G,7,FALSE)),Paramètres!$B$9))</f>
        <v/>
      </c>
      <c r="N223" s="22" t="n"/>
      <c r="O223" s="23">
        <f>IF(H223="","",H223-N223)</f>
        <v/>
      </c>
      <c r="P223" s="25">
        <f>IF(OR(M223="",O223=""),"",IF(O223&lt;=0,0,MAX(0,Paramètres!$B$4-M223)))</f>
        <v/>
      </c>
      <c r="Q223" s="25">
        <f>IF(H223="","",IF(O223&lt;=0,"Payée",IF(M223="","Pas encore livrée",IF(P223=0,"Non échue",IF(P223&gt;=Paramètres!$B$7,"Relance 3 : appel direction",IF(P223&gt;=Paramètres!$B$6,"Relance 2",IF(P223&gt;=Paramètres!$B$5,"Relance 1","Échue, relance à venir")))))))</f>
        <v/>
      </c>
      <c r="R223" s="25">
        <f>IF(B223="","",IF(U223=Paramètres!$B$4,"Relancé aujourd'hui",TRIM(IF(LEFT(Q223,7)="Relance",Q223&amp;" ","")&amp;IF(K223="En retard","· Prévenir du retard de livraison",""))))</f>
        <v/>
      </c>
      <c r="S223" s="28">
        <f>IF(B223="","",IF(LEFT(Q223,9)="Relance 3","Bonjour "&amp;D223&amp;", nous revenons vers vous au sujet de la commande "&amp;A223&amp;" du "&amp;TEXT(B223,"dd/mm/yyyy")&amp;" : "&amp;SUBSTITUTE(TEXT(O223,"#,##0"),","," ")&amp;" FCFA restent à régler depuis le "&amp;TEXT(M223,"dd/mm/yyyy")&amp;". Notre responsable souhaite vous appeler pour convenir ensemble d'une solution. Quel moment vous arrange cette semaine ? "&amp;Paramètres!$B$11&amp;", "&amp;Paramètres!$B$12,IF(LEFT(Q223,7)="Relance","Bonjour "&amp;D223&amp;", sauf erreur de notre part, la commande "&amp;A223&amp;" du "&amp;TEXT(B223,"dd/mm/yyyy")&amp;" ("&amp;E223&amp;") présente un reste à payer de "&amp;SUBSTITUTE(TEXT(O223,"#,##0"),","," ")&amp;" FCFA, échu depuis le "&amp;TEXT(M223,"dd/mm/yyyy")&amp;". Pouvez-vous nous indiquer la date de règlement prévue ? Si le paiement est déjà parti, merci de nous envoyer la preuve et ne tenez pas compte de ce message. "&amp;Paramètres!$B$11&amp;", "&amp;Paramètres!$B$12,IF(K223="En retard","Bonjour "&amp;D223&amp;", votre commande "&amp;A223&amp;" ("&amp;E223&amp;", "&amp;F223&amp;" pièces) prévue le "&amp;TEXT(I223,"dd/mm/yyyy")&amp;" a pris du retard. Nous vous confirmons la nouvelle date de livraison dans la journée. Toutes nos excuses pour ce contretemps. "&amp;Paramètres!$B$11&amp;", "&amp;Paramètres!$B$12,""))))</f>
        <v/>
      </c>
      <c r="T223" s="21" t="n"/>
      <c r="U223" s="26" t="n"/>
      <c r="V223" s="21" t="n"/>
    </row>
    <row r="224">
      <c r="A224" s="21" t="n"/>
      <c r="B224" s="26" t="n"/>
      <c r="C224" s="21" t="n"/>
      <c r="D224" s="25">
        <f>IF(C224="","",IFERROR(VLOOKUP(C224,Revendeurs!$A:$B,2,FALSE),"Code inconnu"))</f>
        <v/>
      </c>
      <c r="E224" s="21" t="n"/>
      <c r="F224" s="21" t="n"/>
      <c r="G224" s="22" t="n"/>
      <c r="H224" s="23">
        <f>IF(OR(F224="",G224=""),"",F224*G224)</f>
        <v/>
      </c>
      <c r="I224" s="26" t="n"/>
      <c r="J224" s="26" t="n"/>
      <c r="K224" s="25">
        <f>IF(B224="","",IF(J224&lt;&gt;"","Livrée",IF(I224="","À planifier",IF(Paramètres!$B$4&gt;I224+Paramètres!$B$8,"En retard","En cours"))))</f>
        <v/>
      </c>
      <c r="L224" s="25">
        <f>IF(K224="En retard",Paramètres!$B$4-I224,"")</f>
        <v/>
      </c>
      <c r="M224" s="27">
        <f>IF(OR(B224="",J224=""),"",J224+IFERROR(IF(VLOOKUP(C224,Revendeurs!$A:$G,7,FALSE)="",Paramètres!$B$9,VLOOKUP(C224,Revendeurs!$A:$G,7,FALSE)),Paramètres!$B$9))</f>
        <v/>
      </c>
      <c r="N224" s="22" t="n"/>
      <c r="O224" s="23">
        <f>IF(H224="","",H224-N224)</f>
        <v/>
      </c>
      <c r="P224" s="25">
        <f>IF(OR(M224="",O224=""),"",IF(O224&lt;=0,0,MAX(0,Paramètres!$B$4-M224)))</f>
        <v/>
      </c>
      <c r="Q224" s="25">
        <f>IF(H224="","",IF(O224&lt;=0,"Payée",IF(M224="","Pas encore livrée",IF(P224=0,"Non échue",IF(P224&gt;=Paramètres!$B$7,"Relance 3 : appel direction",IF(P224&gt;=Paramètres!$B$6,"Relance 2",IF(P224&gt;=Paramètres!$B$5,"Relance 1","Échue, relance à venir")))))))</f>
        <v/>
      </c>
      <c r="R224" s="25">
        <f>IF(B224="","",IF(U224=Paramètres!$B$4,"Relancé aujourd'hui",TRIM(IF(LEFT(Q224,7)="Relance",Q224&amp;" ","")&amp;IF(K224="En retard","· Prévenir du retard de livraison",""))))</f>
        <v/>
      </c>
      <c r="S224" s="28">
        <f>IF(B224="","",IF(LEFT(Q224,9)="Relance 3","Bonjour "&amp;D224&amp;", nous revenons vers vous au sujet de la commande "&amp;A224&amp;" du "&amp;TEXT(B224,"dd/mm/yyyy")&amp;" : "&amp;SUBSTITUTE(TEXT(O224,"#,##0"),","," ")&amp;" FCFA restent à régler depuis le "&amp;TEXT(M224,"dd/mm/yyyy")&amp;". Notre responsable souhaite vous appeler pour convenir ensemble d'une solution. Quel moment vous arrange cette semaine ? "&amp;Paramètres!$B$11&amp;", "&amp;Paramètres!$B$12,IF(LEFT(Q224,7)="Relance","Bonjour "&amp;D224&amp;", sauf erreur de notre part, la commande "&amp;A224&amp;" du "&amp;TEXT(B224,"dd/mm/yyyy")&amp;" ("&amp;E224&amp;") présente un reste à payer de "&amp;SUBSTITUTE(TEXT(O224,"#,##0"),","," ")&amp;" FCFA, échu depuis le "&amp;TEXT(M224,"dd/mm/yyyy")&amp;". Pouvez-vous nous indiquer la date de règlement prévue ? Si le paiement est déjà parti, merci de nous envoyer la preuve et ne tenez pas compte de ce message. "&amp;Paramètres!$B$11&amp;", "&amp;Paramètres!$B$12,IF(K224="En retard","Bonjour "&amp;D224&amp;", votre commande "&amp;A224&amp;" ("&amp;E224&amp;", "&amp;F224&amp;" pièces) prévue le "&amp;TEXT(I224,"dd/mm/yyyy")&amp;" a pris du retard. Nous vous confirmons la nouvelle date de livraison dans la journée. Toutes nos excuses pour ce contretemps. "&amp;Paramètres!$B$11&amp;", "&amp;Paramètres!$B$12,""))))</f>
        <v/>
      </c>
      <c r="T224" s="21" t="n"/>
      <c r="U224" s="26" t="n"/>
      <c r="V224" s="21" t="n"/>
    </row>
    <row r="225">
      <c r="A225" s="21" t="n"/>
      <c r="B225" s="26" t="n"/>
      <c r="C225" s="21" t="n"/>
      <c r="D225" s="25">
        <f>IF(C225="","",IFERROR(VLOOKUP(C225,Revendeurs!$A:$B,2,FALSE),"Code inconnu"))</f>
        <v/>
      </c>
      <c r="E225" s="21" t="n"/>
      <c r="F225" s="21" t="n"/>
      <c r="G225" s="22" t="n"/>
      <c r="H225" s="23">
        <f>IF(OR(F225="",G225=""),"",F225*G225)</f>
        <v/>
      </c>
      <c r="I225" s="26" t="n"/>
      <c r="J225" s="26" t="n"/>
      <c r="K225" s="25">
        <f>IF(B225="","",IF(J225&lt;&gt;"","Livrée",IF(I225="","À planifier",IF(Paramètres!$B$4&gt;I225+Paramètres!$B$8,"En retard","En cours"))))</f>
        <v/>
      </c>
      <c r="L225" s="25">
        <f>IF(K225="En retard",Paramètres!$B$4-I225,"")</f>
        <v/>
      </c>
      <c r="M225" s="27">
        <f>IF(OR(B225="",J225=""),"",J225+IFERROR(IF(VLOOKUP(C225,Revendeurs!$A:$G,7,FALSE)="",Paramètres!$B$9,VLOOKUP(C225,Revendeurs!$A:$G,7,FALSE)),Paramètres!$B$9))</f>
        <v/>
      </c>
      <c r="N225" s="22" t="n"/>
      <c r="O225" s="23">
        <f>IF(H225="","",H225-N225)</f>
        <v/>
      </c>
      <c r="P225" s="25">
        <f>IF(OR(M225="",O225=""),"",IF(O225&lt;=0,0,MAX(0,Paramètres!$B$4-M225)))</f>
        <v/>
      </c>
      <c r="Q225" s="25">
        <f>IF(H225="","",IF(O225&lt;=0,"Payée",IF(M225="","Pas encore livrée",IF(P225=0,"Non échue",IF(P225&gt;=Paramètres!$B$7,"Relance 3 : appel direction",IF(P225&gt;=Paramètres!$B$6,"Relance 2",IF(P225&gt;=Paramètres!$B$5,"Relance 1","Échue, relance à venir")))))))</f>
        <v/>
      </c>
      <c r="R225" s="25">
        <f>IF(B225="","",IF(U225=Paramètres!$B$4,"Relancé aujourd'hui",TRIM(IF(LEFT(Q225,7)="Relance",Q225&amp;" ","")&amp;IF(K225="En retard","· Prévenir du retard de livraison",""))))</f>
        <v/>
      </c>
      <c r="S225" s="28">
        <f>IF(B225="","",IF(LEFT(Q225,9)="Relance 3","Bonjour "&amp;D225&amp;", nous revenons vers vous au sujet de la commande "&amp;A225&amp;" du "&amp;TEXT(B225,"dd/mm/yyyy")&amp;" : "&amp;SUBSTITUTE(TEXT(O225,"#,##0"),","," ")&amp;" FCFA restent à régler depuis le "&amp;TEXT(M225,"dd/mm/yyyy")&amp;". Notre responsable souhaite vous appeler pour convenir ensemble d'une solution. Quel moment vous arrange cette semaine ? "&amp;Paramètres!$B$11&amp;", "&amp;Paramètres!$B$12,IF(LEFT(Q225,7)="Relance","Bonjour "&amp;D225&amp;", sauf erreur de notre part, la commande "&amp;A225&amp;" du "&amp;TEXT(B225,"dd/mm/yyyy")&amp;" ("&amp;E225&amp;") présente un reste à payer de "&amp;SUBSTITUTE(TEXT(O225,"#,##0"),","," ")&amp;" FCFA, échu depuis le "&amp;TEXT(M225,"dd/mm/yyyy")&amp;". Pouvez-vous nous indiquer la date de règlement prévue ? Si le paiement est déjà parti, merci de nous envoyer la preuve et ne tenez pas compte de ce message. "&amp;Paramètres!$B$11&amp;", "&amp;Paramètres!$B$12,IF(K225="En retard","Bonjour "&amp;D225&amp;", votre commande "&amp;A225&amp;" ("&amp;E225&amp;", "&amp;F225&amp;" pièces) prévue le "&amp;TEXT(I225,"dd/mm/yyyy")&amp;" a pris du retard. Nous vous confirmons la nouvelle date de livraison dans la journée. Toutes nos excuses pour ce contretemps. "&amp;Paramètres!$B$11&amp;", "&amp;Paramètres!$B$12,""))))</f>
        <v/>
      </c>
      <c r="T225" s="21" t="n"/>
      <c r="U225" s="26" t="n"/>
      <c r="V225" s="21" t="n"/>
    </row>
    <row r="226">
      <c r="A226" s="21" t="n"/>
      <c r="B226" s="26" t="n"/>
      <c r="C226" s="21" t="n"/>
      <c r="D226" s="25">
        <f>IF(C226="","",IFERROR(VLOOKUP(C226,Revendeurs!$A:$B,2,FALSE),"Code inconnu"))</f>
        <v/>
      </c>
      <c r="E226" s="21" t="n"/>
      <c r="F226" s="21" t="n"/>
      <c r="G226" s="22" t="n"/>
      <c r="H226" s="23">
        <f>IF(OR(F226="",G226=""),"",F226*G226)</f>
        <v/>
      </c>
      <c r="I226" s="26" t="n"/>
      <c r="J226" s="26" t="n"/>
      <c r="K226" s="25">
        <f>IF(B226="","",IF(J226&lt;&gt;"","Livrée",IF(I226="","À planifier",IF(Paramètres!$B$4&gt;I226+Paramètres!$B$8,"En retard","En cours"))))</f>
        <v/>
      </c>
      <c r="L226" s="25">
        <f>IF(K226="En retard",Paramètres!$B$4-I226,"")</f>
        <v/>
      </c>
      <c r="M226" s="27">
        <f>IF(OR(B226="",J226=""),"",J226+IFERROR(IF(VLOOKUP(C226,Revendeurs!$A:$G,7,FALSE)="",Paramètres!$B$9,VLOOKUP(C226,Revendeurs!$A:$G,7,FALSE)),Paramètres!$B$9))</f>
        <v/>
      </c>
      <c r="N226" s="22" t="n"/>
      <c r="O226" s="23">
        <f>IF(H226="","",H226-N226)</f>
        <v/>
      </c>
      <c r="P226" s="25">
        <f>IF(OR(M226="",O226=""),"",IF(O226&lt;=0,0,MAX(0,Paramètres!$B$4-M226)))</f>
        <v/>
      </c>
      <c r="Q226" s="25">
        <f>IF(H226="","",IF(O226&lt;=0,"Payée",IF(M226="","Pas encore livrée",IF(P226=0,"Non échue",IF(P226&gt;=Paramètres!$B$7,"Relance 3 : appel direction",IF(P226&gt;=Paramètres!$B$6,"Relance 2",IF(P226&gt;=Paramètres!$B$5,"Relance 1","Échue, relance à venir")))))))</f>
        <v/>
      </c>
      <c r="R226" s="25">
        <f>IF(B226="","",IF(U226=Paramètres!$B$4,"Relancé aujourd'hui",TRIM(IF(LEFT(Q226,7)="Relance",Q226&amp;" ","")&amp;IF(K226="En retard","· Prévenir du retard de livraison",""))))</f>
        <v/>
      </c>
      <c r="S226" s="28">
        <f>IF(B226="","",IF(LEFT(Q226,9)="Relance 3","Bonjour "&amp;D226&amp;", nous revenons vers vous au sujet de la commande "&amp;A226&amp;" du "&amp;TEXT(B226,"dd/mm/yyyy")&amp;" : "&amp;SUBSTITUTE(TEXT(O226,"#,##0"),","," ")&amp;" FCFA restent à régler depuis le "&amp;TEXT(M226,"dd/mm/yyyy")&amp;". Notre responsable souhaite vous appeler pour convenir ensemble d'une solution. Quel moment vous arrange cette semaine ? "&amp;Paramètres!$B$11&amp;", "&amp;Paramètres!$B$12,IF(LEFT(Q226,7)="Relance","Bonjour "&amp;D226&amp;", sauf erreur de notre part, la commande "&amp;A226&amp;" du "&amp;TEXT(B226,"dd/mm/yyyy")&amp;" ("&amp;E226&amp;") présente un reste à payer de "&amp;SUBSTITUTE(TEXT(O226,"#,##0"),","," ")&amp;" FCFA, échu depuis le "&amp;TEXT(M226,"dd/mm/yyyy")&amp;". Pouvez-vous nous indiquer la date de règlement prévue ? Si le paiement est déjà parti, merci de nous envoyer la preuve et ne tenez pas compte de ce message. "&amp;Paramètres!$B$11&amp;", "&amp;Paramètres!$B$12,IF(K226="En retard","Bonjour "&amp;D226&amp;", votre commande "&amp;A226&amp;" ("&amp;E226&amp;", "&amp;F226&amp;" pièces) prévue le "&amp;TEXT(I226,"dd/mm/yyyy")&amp;" a pris du retard. Nous vous confirmons la nouvelle date de livraison dans la journée. Toutes nos excuses pour ce contretemps. "&amp;Paramètres!$B$11&amp;", "&amp;Paramètres!$B$12,""))))</f>
        <v/>
      </c>
      <c r="T226" s="21" t="n"/>
      <c r="U226" s="26" t="n"/>
      <c r="V226" s="21" t="n"/>
    </row>
    <row r="227">
      <c r="A227" s="21" t="n"/>
      <c r="B227" s="26" t="n"/>
      <c r="C227" s="21" t="n"/>
      <c r="D227" s="25">
        <f>IF(C227="","",IFERROR(VLOOKUP(C227,Revendeurs!$A:$B,2,FALSE),"Code inconnu"))</f>
        <v/>
      </c>
      <c r="E227" s="21" t="n"/>
      <c r="F227" s="21" t="n"/>
      <c r="G227" s="22" t="n"/>
      <c r="H227" s="23">
        <f>IF(OR(F227="",G227=""),"",F227*G227)</f>
        <v/>
      </c>
      <c r="I227" s="26" t="n"/>
      <c r="J227" s="26" t="n"/>
      <c r="K227" s="25">
        <f>IF(B227="","",IF(J227&lt;&gt;"","Livrée",IF(I227="","À planifier",IF(Paramètres!$B$4&gt;I227+Paramètres!$B$8,"En retard","En cours"))))</f>
        <v/>
      </c>
      <c r="L227" s="25">
        <f>IF(K227="En retard",Paramètres!$B$4-I227,"")</f>
        <v/>
      </c>
      <c r="M227" s="27">
        <f>IF(OR(B227="",J227=""),"",J227+IFERROR(IF(VLOOKUP(C227,Revendeurs!$A:$G,7,FALSE)="",Paramètres!$B$9,VLOOKUP(C227,Revendeurs!$A:$G,7,FALSE)),Paramètres!$B$9))</f>
        <v/>
      </c>
      <c r="N227" s="22" t="n"/>
      <c r="O227" s="23">
        <f>IF(H227="","",H227-N227)</f>
        <v/>
      </c>
      <c r="P227" s="25">
        <f>IF(OR(M227="",O227=""),"",IF(O227&lt;=0,0,MAX(0,Paramètres!$B$4-M227)))</f>
        <v/>
      </c>
      <c r="Q227" s="25">
        <f>IF(H227="","",IF(O227&lt;=0,"Payée",IF(M227="","Pas encore livrée",IF(P227=0,"Non échue",IF(P227&gt;=Paramètres!$B$7,"Relance 3 : appel direction",IF(P227&gt;=Paramètres!$B$6,"Relance 2",IF(P227&gt;=Paramètres!$B$5,"Relance 1","Échue, relance à venir")))))))</f>
        <v/>
      </c>
      <c r="R227" s="25">
        <f>IF(B227="","",IF(U227=Paramètres!$B$4,"Relancé aujourd'hui",TRIM(IF(LEFT(Q227,7)="Relance",Q227&amp;" ","")&amp;IF(K227="En retard","· Prévenir du retard de livraison",""))))</f>
        <v/>
      </c>
      <c r="S227" s="28">
        <f>IF(B227="","",IF(LEFT(Q227,9)="Relance 3","Bonjour "&amp;D227&amp;", nous revenons vers vous au sujet de la commande "&amp;A227&amp;" du "&amp;TEXT(B227,"dd/mm/yyyy")&amp;" : "&amp;SUBSTITUTE(TEXT(O227,"#,##0"),","," ")&amp;" FCFA restent à régler depuis le "&amp;TEXT(M227,"dd/mm/yyyy")&amp;". Notre responsable souhaite vous appeler pour convenir ensemble d'une solution. Quel moment vous arrange cette semaine ? "&amp;Paramètres!$B$11&amp;", "&amp;Paramètres!$B$12,IF(LEFT(Q227,7)="Relance","Bonjour "&amp;D227&amp;", sauf erreur de notre part, la commande "&amp;A227&amp;" du "&amp;TEXT(B227,"dd/mm/yyyy")&amp;" ("&amp;E227&amp;") présente un reste à payer de "&amp;SUBSTITUTE(TEXT(O227,"#,##0"),","," ")&amp;" FCFA, échu depuis le "&amp;TEXT(M227,"dd/mm/yyyy")&amp;". Pouvez-vous nous indiquer la date de règlement prévue ? Si le paiement est déjà parti, merci de nous envoyer la preuve et ne tenez pas compte de ce message. "&amp;Paramètres!$B$11&amp;", "&amp;Paramètres!$B$12,IF(K227="En retard","Bonjour "&amp;D227&amp;", votre commande "&amp;A227&amp;" ("&amp;E227&amp;", "&amp;F227&amp;" pièces) prévue le "&amp;TEXT(I227,"dd/mm/yyyy")&amp;" a pris du retard. Nous vous confirmons la nouvelle date de livraison dans la journée. Toutes nos excuses pour ce contretemps. "&amp;Paramètres!$B$11&amp;", "&amp;Paramètres!$B$12,""))))</f>
        <v/>
      </c>
      <c r="T227" s="21" t="n"/>
      <c r="U227" s="26" t="n"/>
      <c r="V227" s="21" t="n"/>
    </row>
    <row r="228">
      <c r="A228" s="21" t="n"/>
      <c r="B228" s="26" t="n"/>
      <c r="C228" s="21" t="n"/>
      <c r="D228" s="25">
        <f>IF(C228="","",IFERROR(VLOOKUP(C228,Revendeurs!$A:$B,2,FALSE),"Code inconnu"))</f>
        <v/>
      </c>
      <c r="E228" s="21" t="n"/>
      <c r="F228" s="21" t="n"/>
      <c r="G228" s="22" t="n"/>
      <c r="H228" s="23">
        <f>IF(OR(F228="",G228=""),"",F228*G228)</f>
        <v/>
      </c>
      <c r="I228" s="26" t="n"/>
      <c r="J228" s="26" t="n"/>
      <c r="K228" s="25">
        <f>IF(B228="","",IF(J228&lt;&gt;"","Livrée",IF(I228="","À planifier",IF(Paramètres!$B$4&gt;I228+Paramètres!$B$8,"En retard","En cours"))))</f>
        <v/>
      </c>
      <c r="L228" s="25">
        <f>IF(K228="En retard",Paramètres!$B$4-I228,"")</f>
        <v/>
      </c>
      <c r="M228" s="27">
        <f>IF(OR(B228="",J228=""),"",J228+IFERROR(IF(VLOOKUP(C228,Revendeurs!$A:$G,7,FALSE)="",Paramètres!$B$9,VLOOKUP(C228,Revendeurs!$A:$G,7,FALSE)),Paramètres!$B$9))</f>
        <v/>
      </c>
      <c r="N228" s="22" t="n"/>
      <c r="O228" s="23">
        <f>IF(H228="","",H228-N228)</f>
        <v/>
      </c>
      <c r="P228" s="25">
        <f>IF(OR(M228="",O228=""),"",IF(O228&lt;=0,0,MAX(0,Paramètres!$B$4-M228)))</f>
        <v/>
      </c>
      <c r="Q228" s="25">
        <f>IF(H228="","",IF(O228&lt;=0,"Payée",IF(M228="","Pas encore livrée",IF(P228=0,"Non échue",IF(P228&gt;=Paramètres!$B$7,"Relance 3 : appel direction",IF(P228&gt;=Paramètres!$B$6,"Relance 2",IF(P228&gt;=Paramètres!$B$5,"Relance 1","Échue, relance à venir")))))))</f>
        <v/>
      </c>
      <c r="R228" s="25">
        <f>IF(B228="","",IF(U228=Paramètres!$B$4,"Relancé aujourd'hui",TRIM(IF(LEFT(Q228,7)="Relance",Q228&amp;" ","")&amp;IF(K228="En retard","· Prévenir du retard de livraison",""))))</f>
        <v/>
      </c>
      <c r="S228" s="28">
        <f>IF(B228="","",IF(LEFT(Q228,9)="Relance 3","Bonjour "&amp;D228&amp;", nous revenons vers vous au sujet de la commande "&amp;A228&amp;" du "&amp;TEXT(B228,"dd/mm/yyyy")&amp;" : "&amp;SUBSTITUTE(TEXT(O228,"#,##0"),","," ")&amp;" FCFA restent à régler depuis le "&amp;TEXT(M228,"dd/mm/yyyy")&amp;". Notre responsable souhaite vous appeler pour convenir ensemble d'une solution. Quel moment vous arrange cette semaine ? "&amp;Paramètres!$B$11&amp;", "&amp;Paramètres!$B$12,IF(LEFT(Q228,7)="Relance","Bonjour "&amp;D228&amp;", sauf erreur de notre part, la commande "&amp;A228&amp;" du "&amp;TEXT(B228,"dd/mm/yyyy")&amp;" ("&amp;E228&amp;") présente un reste à payer de "&amp;SUBSTITUTE(TEXT(O228,"#,##0"),","," ")&amp;" FCFA, échu depuis le "&amp;TEXT(M228,"dd/mm/yyyy")&amp;". Pouvez-vous nous indiquer la date de règlement prévue ? Si le paiement est déjà parti, merci de nous envoyer la preuve et ne tenez pas compte de ce message. "&amp;Paramètres!$B$11&amp;", "&amp;Paramètres!$B$12,IF(K228="En retard","Bonjour "&amp;D228&amp;", votre commande "&amp;A228&amp;" ("&amp;E228&amp;", "&amp;F228&amp;" pièces) prévue le "&amp;TEXT(I228,"dd/mm/yyyy")&amp;" a pris du retard. Nous vous confirmons la nouvelle date de livraison dans la journée. Toutes nos excuses pour ce contretemps. "&amp;Paramètres!$B$11&amp;", "&amp;Paramètres!$B$12,""))))</f>
        <v/>
      </c>
      <c r="T228" s="21" t="n"/>
      <c r="U228" s="26" t="n"/>
      <c r="V228" s="21" t="n"/>
    </row>
    <row r="229">
      <c r="A229" s="21" t="n"/>
      <c r="B229" s="26" t="n"/>
      <c r="C229" s="21" t="n"/>
      <c r="D229" s="25">
        <f>IF(C229="","",IFERROR(VLOOKUP(C229,Revendeurs!$A:$B,2,FALSE),"Code inconnu"))</f>
        <v/>
      </c>
      <c r="E229" s="21" t="n"/>
      <c r="F229" s="21" t="n"/>
      <c r="G229" s="22" t="n"/>
      <c r="H229" s="23">
        <f>IF(OR(F229="",G229=""),"",F229*G229)</f>
        <v/>
      </c>
      <c r="I229" s="26" t="n"/>
      <c r="J229" s="26" t="n"/>
      <c r="K229" s="25">
        <f>IF(B229="","",IF(J229&lt;&gt;"","Livrée",IF(I229="","À planifier",IF(Paramètres!$B$4&gt;I229+Paramètres!$B$8,"En retard","En cours"))))</f>
        <v/>
      </c>
      <c r="L229" s="25">
        <f>IF(K229="En retard",Paramètres!$B$4-I229,"")</f>
        <v/>
      </c>
      <c r="M229" s="27">
        <f>IF(OR(B229="",J229=""),"",J229+IFERROR(IF(VLOOKUP(C229,Revendeurs!$A:$G,7,FALSE)="",Paramètres!$B$9,VLOOKUP(C229,Revendeurs!$A:$G,7,FALSE)),Paramètres!$B$9))</f>
        <v/>
      </c>
      <c r="N229" s="22" t="n"/>
      <c r="O229" s="23">
        <f>IF(H229="","",H229-N229)</f>
        <v/>
      </c>
      <c r="P229" s="25">
        <f>IF(OR(M229="",O229=""),"",IF(O229&lt;=0,0,MAX(0,Paramètres!$B$4-M229)))</f>
        <v/>
      </c>
      <c r="Q229" s="25">
        <f>IF(H229="","",IF(O229&lt;=0,"Payée",IF(M229="","Pas encore livrée",IF(P229=0,"Non échue",IF(P229&gt;=Paramètres!$B$7,"Relance 3 : appel direction",IF(P229&gt;=Paramètres!$B$6,"Relance 2",IF(P229&gt;=Paramètres!$B$5,"Relance 1","Échue, relance à venir")))))))</f>
        <v/>
      </c>
      <c r="R229" s="25">
        <f>IF(B229="","",IF(U229=Paramètres!$B$4,"Relancé aujourd'hui",TRIM(IF(LEFT(Q229,7)="Relance",Q229&amp;" ","")&amp;IF(K229="En retard","· Prévenir du retard de livraison",""))))</f>
        <v/>
      </c>
      <c r="S229" s="28">
        <f>IF(B229="","",IF(LEFT(Q229,9)="Relance 3","Bonjour "&amp;D229&amp;", nous revenons vers vous au sujet de la commande "&amp;A229&amp;" du "&amp;TEXT(B229,"dd/mm/yyyy")&amp;" : "&amp;SUBSTITUTE(TEXT(O229,"#,##0"),","," ")&amp;" FCFA restent à régler depuis le "&amp;TEXT(M229,"dd/mm/yyyy")&amp;". Notre responsable souhaite vous appeler pour convenir ensemble d'une solution. Quel moment vous arrange cette semaine ? "&amp;Paramètres!$B$11&amp;", "&amp;Paramètres!$B$12,IF(LEFT(Q229,7)="Relance","Bonjour "&amp;D229&amp;", sauf erreur de notre part, la commande "&amp;A229&amp;" du "&amp;TEXT(B229,"dd/mm/yyyy")&amp;" ("&amp;E229&amp;") présente un reste à payer de "&amp;SUBSTITUTE(TEXT(O229,"#,##0"),","," ")&amp;" FCFA, échu depuis le "&amp;TEXT(M229,"dd/mm/yyyy")&amp;". Pouvez-vous nous indiquer la date de règlement prévue ? Si le paiement est déjà parti, merci de nous envoyer la preuve et ne tenez pas compte de ce message. "&amp;Paramètres!$B$11&amp;", "&amp;Paramètres!$B$12,IF(K229="En retard","Bonjour "&amp;D229&amp;", votre commande "&amp;A229&amp;" ("&amp;E229&amp;", "&amp;F229&amp;" pièces) prévue le "&amp;TEXT(I229,"dd/mm/yyyy")&amp;" a pris du retard. Nous vous confirmons la nouvelle date de livraison dans la journée. Toutes nos excuses pour ce contretemps. "&amp;Paramètres!$B$11&amp;", "&amp;Paramètres!$B$12,""))))</f>
        <v/>
      </c>
      <c r="T229" s="21" t="n"/>
      <c r="U229" s="26" t="n"/>
      <c r="V229" s="21" t="n"/>
    </row>
    <row r="230">
      <c r="A230" s="21" t="n"/>
      <c r="B230" s="26" t="n"/>
      <c r="C230" s="21" t="n"/>
      <c r="D230" s="25">
        <f>IF(C230="","",IFERROR(VLOOKUP(C230,Revendeurs!$A:$B,2,FALSE),"Code inconnu"))</f>
        <v/>
      </c>
      <c r="E230" s="21" t="n"/>
      <c r="F230" s="21" t="n"/>
      <c r="G230" s="22" t="n"/>
      <c r="H230" s="23">
        <f>IF(OR(F230="",G230=""),"",F230*G230)</f>
        <v/>
      </c>
      <c r="I230" s="26" t="n"/>
      <c r="J230" s="26" t="n"/>
      <c r="K230" s="25">
        <f>IF(B230="","",IF(J230&lt;&gt;"","Livrée",IF(I230="","À planifier",IF(Paramètres!$B$4&gt;I230+Paramètres!$B$8,"En retard","En cours"))))</f>
        <v/>
      </c>
      <c r="L230" s="25">
        <f>IF(K230="En retard",Paramètres!$B$4-I230,"")</f>
        <v/>
      </c>
      <c r="M230" s="27">
        <f>IF(OR(B230="",J230=""),"",J230+IFERROR(IF(VLOOKUP(C230,Revendeurs!$A:$G,7,FALSE)="",Paramètres!$B$9,VLOOKUP(C230,Revendeurs!$A:$G,7,FALSE)),Paramètres!$B$9))</f>
        <v/>
      </c>
      <c r="N230" s="22" t="n"/>
      <c r="O230" s="23">
        <f>IF(H230="","",H230-N230)</f>
        <v/>
      </c>
      <c r="P230" s="25">
        <f>IF(OR(M230="",O230=""),"",IF(O230&lt;=0,0,MAX(0,Paramètres!$B$4-M230)))</f>
        <v/>
      </c>
      <c r="Q230" s="25">
        <f>IF(H230="","",IF(O230&lt;=0,"Payée",IF(M230="","Pas encore livrée",IF(P230=0,"Non échue",IF(P230&gt;=Paramètres!$B$7,"Relance 3 : appel direction",IF(P230&gt;=Paramètres!$B$6,"Relance 2",IF(P230&gt;=Paramètres!$B$5,"Relance 1","Échue, relance à venir")))))))</f>
        <v/>
      </c>
      <c r="R230" s="25">
        <f>IF(B230="","",IF(U230=Paramètres!$B$4,"Relancé aujourd'hui",TRIM(IF(LEFT(Q230,7)="Relance",Q230&amp;" ","")&amp;IF(K230="En retard","· Prévenir du retard de livraison",""))))</f>
        <v/>
      </c>
      <c r="S230" s="28">
        <f>IF(B230="","",IF(LEFT(Q230,9)="Relance 3","Bonjour "&amp;D230&amp;", nous revenons vers vous au sujet de la commande "&amp;A230&amp;" du "&amp;TEXT(B230,"dd/mm/yyyy")&amp;" : "&amp;SUBSTITUTE(TEXT(O230,"#,##0"),","," ")&amp;" FCFA restent à régler depuis le "&amp;TEXT(M230,"dd/mm/yyyy")&amp;". Notre responsable souhaite vous appeler pour convenir ensemble d'une solution. Quel moment vous arrange cette semaine ? "&amp;Paramètres!$B$11&amp;", "&amp;Paramètres!$B$12,IF(LEFT(Q230,7)="Relance","Bonjour "&amp;D230&amp;", sauf erreur de notre part, la commande "&amp;A230&amp;" du "&amp;TEXT(B230,"dd/mm/yyyy")&amp;" ("&amp;E230&amp;") présente un reste à payer de "&amp;SUBSTITUTE(TEXT(O230,"#,##0"),","," ")&amp;" FCFA, échu depuis le "&amp;TEXT(M230,"dd/mm/yyyy")&amp;". Pouvez-vous nous indiquer la date de règlement prévue ? Si le paiement est déjà parti, merci de nous envoyer la preuve et ne tenez pas compte de ce message. "&amp;Paramètres!$B$11&amp;", "&amp;Paramètres!$B$12,IF(K230="En retard","Bonjour "&amp;D230&amp;", votre commande "&amp;A230&amp;" ("&amp;E230&amp;", "&amp;F230&amp;" pièces) prévue le "&amp;TEXT(I230,"dd/mm/yyyy")&amp;" a pris du retard. Nous vous confirmons la nouvelle date de livraison dans la journée. Toutes nos excuses pour ce contretemps. "&amp;Paramètres!$B$11&amp;", "&amp;Paramètres!$B$12,""))))</f>
        <v/>
      </c>
      <c r="T230" s="21" t="n"/>
      <c r="U230" s="26" t="n"/>
      <c r="V230" s="21" t="n"/>
    </row>
    <row r="231">
      <c r="A231" s="21" t="n"/>
      <c r="B231" s="26" t="n"/>
      <c r="C231" s="21" t="n"/>
      <c r="D231" s="25">
        <f>IF(C231="","",IFERROR(VLOOKUP(C231,Revendeurs!$A:$B,2,FALSE),"Code inconnu"))</f>
        <v/>
      </c>
      <c r="E231" s="21" t="n"/>
      <c r="F231" s="21" t="n"/>
      <c r="G231" s="22" t="n"/>
      <c r="H231" s="23">
        <f>IF(OR(F231="",G231=""),"",F231*G231)</f>
        <v/>
      </c>
      <c r="I231" s="26" t="n"/>
      <c r="J231" s="26" t="n"/>
      <c r="K231" s="25">
        <f>IF(B231="","",IF(J231&lt;&gt;"","Livrée",IF(I231="","À planifier",IF(Paramètres!$B$4&gt;I231+Paramètres!$B$8,"En retard","En cours"))))</f>
        <v/>
      </c>
      <c r="L231" s="25">
        <f>IF(K231="En retard",Paramètres!$B$4-I231,"")</f>
        <v/>
      </c>
      <c r="M231" s="27">
        <f>IF(OR(B231="",J231=""),"",J231+IFERROR(IF(VLOOKUP(C231,Revendeurs!$A:$G,7,FALSE)="",Paramètres!$B$9,VLOOKUP(C231,Revendeurs!$A:$G,7,FALSE)),Paramètres!$B$9))</f>
        <v/>
      </c>
      <c r="N231" s="22" t="n"/>
      <c r="O231" s="23">
        <f>IF(H231="","",H231-N231)</f>
        <v/>
      </c>
      <c r="P231" s="25">
        <f>IF(OR(M231="",O231=""),"",IF(O231&lt;=0,0,MAX(0,Paramètres!$B$4-M231)))</f>
        <v/>
      </c>
      <c r="Q231" s="25">
        <f>IF(H231="","",IF(O231&lt;=0,"Payée",IF(M231="","Pas encore livrée",IF(P231=0,"Non échue",IF(P231&gt;=Paramètres!$B$7,"Relance 3 : appel direction",IF(P231&gt;=Paramètres!$B$6,"Relance 2",IF(P231&gt;=Paramètres!$B$5,"Relance 1","Échue, relance à venir")))))))</f>
        <v/>
      </c>
      <c r="R231" s="25">
        <f>IF(B231="","",IF(U231=Paramètres!$B$4,"Relancé aujourd'hui",TRIM(IF(LEFT(Q231,7)="Relance",Q231&amp;" ","")&amp;IF(K231="En retard","· Prévenir du retard de livraison",""))))</f>
        <v/>
      </c>
      <c r="S231" s="28">
        <f>IF(B231="","",IF(LEFT(Q231,9)="Relance 3","Bonjour "&amp;D231&amp;", nous revenons vers vous au sujet de la commande "&amp;A231&amp;" du "&amp;TEXT(B231,"dd/mm/yyyy")&amp;" : "&amp;SUBSTITUTE(TEXT(O231,"#,##0"),","," ")&amp;" FCFA restent à régler depuis le "&amp;TEXT(M231,"dd/mm/yyyy")&amp;". Notre responsable souhaite vous appeler pour convenir ensemble d'une solution. Quel moment vous arrange cette semaine ? "&amp;Paramètres!$B$11&amp;", "&amp;Paramètres!$B$12,IF(LEFT(Q231,7)="Relance","Bonjour "&amp;D231&amp;", sauf erreur de notre part, la commande "&amp;A231&amp;" du "&amp;TEXT(B231,"dd/mm/yyyy")&amp;" ("&amp;E231&amp;") présente un reste à payer de "&amp;SUBSTITUTE(TEXT(O231,"#,##0"),","," ")&amp;" FCFA, échu depuis le "&amp;TEXT(M231,"dd/mm/yyyy")&amp;". Pouvez-vous nous indiquer la date de règlement prévue ? Si le paiement est déjà parti, merci de nous envoyer la preuve et ne tenez pas compte de ce message. "&amp;Paramètres!$B$11&amp;", "&amp;Paramètres!$B$12,IF(K231="En retard","Bonjour "&amp;D231&amp;", votre commande "&amp;A231&amp;" ("&amp;E231&amp;", "&amp;F231&amp;" pièces) prévue le "&amp;TEXT(I231,"dd/mm/yyyy")&amp;" a pris du retard. Nous vous confirmons la nouvelle date de livraison dans la journée. Toutes nos excuses pour ce contretemps. "&amp;Paramètres!$B$11&amp;", "&amp;Paramètres!$B$12,""))))</f>
        <v/>
      </c>
      <c r="T231" s="21" t="n"/>
      <c r="U231" s="26" t="n"/>
      <c r="V231" s="21" t="n"/>
    </row>
    <row r="232">
      <c r="A232" s="21" t="n"/>
      <c r="B232" s="26" t="n"/>
      <c r="C232" s="21" t="n"/>
      <c r="D232" s="25">
        <f>IF(C232="","",IFERROR(VLOOKUP(C232,Revendeurs!$A:$B,2,FALSE),"Code inconnu"))</f>
        <v/>
      </c>
      <c r="E232" s="21" t="n"/>
      <c r="F232" s="21" t="n"/>
      <c r="G232" s="22" t="n"/>
      <c r="H232" s="23">
        <f>IF(OR(F232="",G232=""),"",F232*G232)</f>
        <v/>
      </c>
      <c r="I232" s="26" t="n"/>
      <c r="J232" s="26" t="n"/>
      <c r="K232" s="25">
        <f>IF(B232="","",IF(J232&lt;&gt;"","Livrée",IF(I232="","À planifier",IF(Paramètres!$B$4&gt;I232+Paramètres!$B$8,"En retard","En cours"))))</f>
        <v/>
      </c>
      <c r="L232" s="25">
        <f>IF(K232="En retard",Paramètres!$B$4-I232,"")</f>
        <v/>
      </c>
      <c r="M232" s="27">
        <f>IF(OR(B232="",J232=""),"",J232+IFERROR(IF(VLOOKUP(C232,Revendeurs!$A:$G,7,FALSE)="",Paramètres!$B$9,VLOOKUP(C232,Revendeurs!$A:$G,7,FALSE)),Paramètres!$B$9))</f>
        <v/>
      </c>
      <c r="N232" s="22" t="n"/>
      <c r="O232" s="23">
        <f>IF(H232="","",H232-N232)</f>
        <v/>
      </c>
      <c r="P232" s="25">
        <f>IF(OR(M232="",O232=""),"",IF(O232&lt;=0,0,MAX(0,Paramètres!$B$4-M232)))</f>
        <v/>
      </c>
      <c r="Q232" s="25">
        <f>IF(H232="","",IF(O232&lt;=0,"Payée",IF(M232="","Pas encore livrée",IF(P232=0,"Non échue",IF(P232&gt;=Paramètres!$B$7,"Relance 3 : appel direction",IF(P232&gt;=Paramètres!$B$6,"Relance 2",IF(P232&gt;=Paramètres!$B$5,"Relance 1","Échue, relance à venir")))))))</f>
        <v/>
      </c>
      <c r="R232" s="25">
        <f>IF(B232="","",IF(U232=Paramètres!$B$4,"Relancé aujourd'hui",TRIM(IF(LEFT(Q232,7)="Relance",Q232&amp;" ","")&amp;IF(K232="En retard","· Prévenir du retard de livraison",""))))</f>
        <v/>
      </c>
      <c r="S232" s="28">
        <f>IF(B232="","",IF(LEFT(Q232,9)="Relance 3","Bonjour "&amp;D232&amp;", nous revenons vers vous au sujet de la commande "&amp;A232&amp;" du "&amp;TEXT(B232,"dd/mm/yyyy")&amp;" : "&amp;SUBSTITUTE(TEXT(O232,"#,##0"),","," ")&amp;" FCFA restent à régler depuis le "&amp;TEXT(M232,"dd/mm/yyyy")&amp;". Notre responsable souhaite vous appeler pour convenir ensemble d'une solution. Quel moment vous arrange cette semaine ? "&amp;Paramètres!$B$11&amp;", "&amp;Paramètres!$B$12,IF(LEFT(Q232,7)="Relance","Bonjour "&amp;D232&amp;", sauf erreur de notre part, la commande "&amp;A232&amp;" du "&amp;TEXT(B232,"dd/mm/yyyy")&amp;" ("&amp;E232&amp;") présente un reste à payer de "&amp;SUBSTITUTE(TEXT(O232,"#,##0"),","," ")&amp;" FCFA, échu depuis le "&amp;TEXT(M232,"dd/mm/yyyy")&amp;". Pouvez-vous nous indiquer la date de règlement prévue ? Si le paiement est déjà parti, merci de nous envoyer la preuve et ne tenez pas compte de ce message. "&amp;Paramètres!$B$11&amp;", "&amp;Paramètres!$B$12,IF(K232="En retard","Bonjour "&amp;D232&amp;", votre commande "&amp;A232&amp;" ("&amp;E232&amp;", "&amp;F232&amp;" pièces) prévue le "&amp;TEXT(I232,"dd/mm/yyyy")&amp;" a pris du retard. Nous vous confirmons la nouvelle date de livraison dans la journée. Toutes nos excuses pour ce contretemps. "&amp;Paramètres!$B$11&amp;", "&amp;Paramètres!$B$12,""))))</f>
        <v/>
      </c>
      <c r="T232" s="21" t="n"/>
      <c r="U232" s="26" t="n"/>
      <c r="V232" s="21" t="n"/>
    </row>
    <row r="233">
      <c r="A233" s="21" t="n"/>
      <c r="B233" s="26" t="n"/>
      <c r="C233" s="21" t="n"/>
      <c r="D233" s="25">
        <f>IF(C233="","",IFERROR(VLOOKUP(C233,Revendeurs!$A:$B,2,FALSE),"Code inconnu"))</f>
        <v/>
      </c>
      <c r="E233" s="21" t="n"/>
      <c r="F233" s="21" t="n"/>
      <c r="G233" s="22" t="n"/>
      <c r="H233" s="23">
        <f>IF(OR(F233="",G233=""),"",F233*G233)</f>
        <v/>
      </c>
      <c r="I233" s="26" t="n"/>
      <c r="J233" s="26" t="n"/>
      <c r="K233" s="25">
        <f>IF(B233="","",IF(J233&lt;&gt;"","Livrée",IF(I233="","À planifier",IF(Paramètres!$B$4&gt;I233+Paramètres!$B$8,"En retard","En cours"))))</f>
        <v/>
      </c>
      <c r="L233" s="25">
        <f>IF(K233="En retard",Paramètres!$B$4-I233,"")</f>
        <v/>
      </c>
      <c r="M233" s="27">
        <f>IF(OR(B233="",J233=""),"",J233+IFERROR(IF(VLOOKUP(C233,Revendeurs!$A:$G,7,FALSE)="",Paramètres!$B$9,VLOOKUP(C233,Revendeurs!$A:$G,7,FALSE)),Paramètres!$B$9))</f>
        <v/>
      </c>
      <c r="N233" s="22" t="n"/>
      <c r="O233" s="23">
        <f>IF(H233="","",H233-N233)</f>
        <v/>
      </c>
      <c r="P233" s="25">
        <f>IF(OR(M233="",O233=""),"",IF(O233&lt;=0,0,MAX(0,Paramètres!$B$4-M233)))</f>
        <v/>
      </c>
      <c r="Q233" s="25">
        <f>IF(H233="","",IF(O233&lt;=0,"Payée",IF(M233="","Pas encore livrée",IF(P233=0,"Non échue",IF(P233&gt;=Paramètres!$B$7,"Relance 3 : appel direction",IF(P233&gt;=Paramètres!$B$6,"Relance 2",IF(P233&gt;=Paramètres!$B$5,"Relance 1","Échue, relance à venir")))))))</f>
        <v/>
      </c>
      <c r="R233" s="25">
        <f>IF(B233="","",IF(U233=Paramètres!$B$4,"Relancé aujourd'hui",TRIM(IF(LEFT(Q233,7)="Relance",Q233&amp;" ","")&amp;IF(K233="En retard","· Prévenir du retard de livraison",""))))</f>
        <v/>
      </c>
      <c r="S233" s="28">
        <f>IF(B233="","",IF(LEFT(Q233,9)="Relance 3","Bonjour "&amp;D233&amp;", nous revenons vers vous au sujet de la commande "&amp;A233&amp;" du "&amp;TEXT(B233,"dd/mm/yyyy")&amp;" : "&amp;SUBSTITUTE(TEXT(O233,"#,##0"),","," ")&amp;" FCFA restent à régler depuis le "&amp;TEXT(M233,"dd/mm/yyyy")&amp;". Notre responsable souhaite vous appeler pour convenir ensemble d'une solution. Quel moment vous arrange cette semaine ? "&amp;Paramètres!$B$11&amp;", "&amp;Paramètres!$B$12,IF(LEFT(Q233,7)="Relance","Bonjour "&amp;D233&amp;", sauf erreur de notre part, la commande "&amp;A233&amp;" du "&amp;TEXT(B233,"dd/mm/yyyy")&amp;" ("&amp;E233&amp;") présente un reste à payer de "&amp;SUBSTITUTE(TEXT(O233,"#,##0"),","," ")&amp;" FCFA, échu depuis le "&amp;TEXT(M233,"dd/mm/yyyy")&amp;". Pouvez-vous nous indiquer la date de règlement prévue ? Si le paiement est déjà parti, merci de nous envoyer la preuve et ne tenez pas compte de ce message. "&amp;Paramètres!$B$11&amp;", "&amp;Paramètres!$B$12,IF(K233="En retard","Bonjour "&amp;D233&amp;", votre commande "&amp;A233&amp;" ("&amp;E233&amp;", "&amp;F233&amp;" pièces) prévue le "&amp;TEXT(I233,"dd/mm/yyyy")&amp;" a pris du retard. Nous vous confirmons la nouvelle date de livraison dans la journée. Toutes nos excuses pour ce contretemps. "&amp;Paramètres!$B$11&amp;", "&amp;Paramètres!$B$12,""))))</f>
        <v/>
      </c>
      <c r="T233" s="21" t="n"/>
      <c r="U233" s="26" t="n"/>
      <c r="V233" s="21" t="n"/>
    </row>
    <row r="234">
      <c r="A234" s="21" t="n"/>
      <c r="B234" s="26" t="n"/>
      <c r="C234" s="21" t="n"/>
      <c r="D234" s="25">
        <f>IF(C234="","",IFERROR(VLOOKUP(C234,Revendeurs!$A:$B,2,FALSE),"Code inconnu"))</f>
        <v/>
      </c>
      <c r="E234" s="21" t="n"/>
      <c r="F234" s="21" t="n"/>
      <c r="G234" s="22" t="n"/>
      <c r="H234" s="23">
        <f>IF(OR(F234="",G234=""),"",F234*G234)</f>
        <v/>
      </c>
      <c r="I234" s="26" t="n"/>
      <c r="J234" s="26" t="n"/>
      <c r="K234" s="25">
        <f>IF(B234="","",IF(J234&lt;&gt;"","Livrée",IF(I234="","À planifier",IF(Paramètres!$B$4&gt;I234+Paramètres!$B$8,"En retard","En cours"))))</f>
        <v/>
      </c>
      <c r="L234" s="25">
        <f>IF(K234="En retard",Paramètres!$B$4-I234,"")</f>
        <v/>
      </c>
      <c r="M234" s="27">
        <f>IF(OR(B234="",J234=""),"",J234+IFERROR(IF(VLOOKUP(C234,Revendeurs!$A:$G,7,FALSE)="",Paramètres!$B$9,VLOOKUP(C234,Revendeurs!$A:$G,7,FALSE)),Paramètres!$B$9))</f>
        <v/>
      </c>
      <c r="N234" s="22" t="n"/>
      <c r="O234" s="23">
        <f>IF(H234="","",H234-N234)</f>
        <v/>
      </c>
      <c r="P234" s="25">
        <f>IF(OR(M234="",O234=""),"",IF(O234&lt;=0,0,MAX(0,Paramètres!$B$4-M234)))</f>
        <v/>
      </c>
      <c r="Q234" s="25">
        <f>IF(H234="","",IF(O234&lt;=0,"Payée",IF(M234="","Pas encore livrée",IF(P234=0,"Non échue",IF(P234&gt;=Paramètres!$B$7,"Relance 3 : appel direction",IF(P234&gt;=Paramètres!$B$6,"Relance 2",IF(P234&gt;=Paramètres!$B$5,"Relance 1","Échue, relance à venir")))))))</f>
        <v/>
      </c>
      <c r="R234" s="25">
        <f>IF(B234="","",IF(U234=Paramètres!$B$4,"Relancé aujourd'hui",TRIM(IF(LEFT(Q234,7)="Relance",Q234&amp;" ","")&amp;IF(K234="En retard","· Prévenir du retard de livraison",""))))</f>
        <v/>
      </c>
      <c r="S234" s="28">
        <f>IF(B234="","",IF(LEFT(Q234,9)="Relance 3","Bonjour "&amp;D234&amp;", nous revenons vers vous au sujet de la commande "&amp;A234&amp;" du "&amp;TEXT(B234,"dd/mm/yyyy")&amp;" : "&amp;SUBSTITUTE(TEXT(O234,"#,##0"),","," ")&amp;" FCFA restent à régler depuis le "&amp;TEXT(M234,"dd/mm/yyyy")&amp;". Notre responsable souhaite vous appeler pour convenir ensemble d'une solution. Quel moment vous arrange cette semaine ? "&amp;Paramètres!$B$11&amp;", "&amp;Paramètres!$B$12,IF(LEFT(Q234,7)="Relance","Bonjour "&amp;D234&amp;", sauf erreur de notre part, la commande "&amp;A234&amp;" du "&amp;TEXT(B234,"dd/mm/yyyy")&amp;" ("&amp;E234&amp;") présente un reste à payer de "&amp;SUBSTITUTE(TEXT(O234,"#,##0"),","," ")&amp;" FCFA, échu depuis le "&amp;TEXT(M234,"dd/mm/yyyy")&amp;". Pouvez-vous nous indiquer la date de règlement prévue ? Si le paiement est déjà parti, merci de nous envoyer la preuve et ne tenez pas compte de ce message. "&amp;Paramètres!$B$11&amp;", "&amp;Paramètres!$B$12,IF(K234="En retard","Bonjour "&amp;D234&amp;", votre commande "&amp;A234&amp;" ("&amp;E234&amp;", "&amp;F234&amp;" pièces) prévue le "&amp;TEXT(I234,"dd/mm/yyyy")&amp;" a pris du retard. Nous vous confirmons la nouvelle date de livraison dans la journée. Toutes nos excuses pour ce contretemps. "&amp;Paramètres!$B$11&amp;", "&amp;Paramètres!$B$12,""))))</f>
        <v/>
      </c>
      <c r="T234" s="21" t="n"/>
      <c r="U234" s="26" t="n"/>
      <c r="V234" s="21" t="n"/>
    </row>
    <row r="235">
      <c r="A235" s="21" t="n"/>
      <c r="B235" s="26" t="n"/>
      <c r="C235" s="21" t="n"/>
      <c r="D235" s="25">
        <f>IF(C235="","",IFERROR(VLOOKUP(C235,Revendeurs!$A:$B,2,FALSE),"Code inconnu"))</f>
        <v/>
      </c>
      <c r="E235" s="21" t="n"/>
      <c r="F235" s="21" t="n"/>
      <c r="G235" s="22" t="n"/>
      <c r="H235" s="23">
        <f>IF(OR(F235="",G235=""),"",F235*G235)</f>
        <v/>
      </c>
      <c r="I235" s="26" t="n"/>
      <c r="J235" s="26" t="n"/>
      <c r="K235" s="25">
        <f>IF(B235="","",IF(J235&lt;&gt;"","Livrée",IF(I235="","À planifier",IF(Paramètres!$B$4&gt;I235+Paramètres!$B$8,"En retard","En cours"))))</f>
        <v/>
      </c>
      <c r="L235" s="25">
        <f>IF(K235="En retard",Paramètres!$B$4-I235,"")</f>
        <v/>
      </c>
      <c r="M235" s="27">
        <f>IF(OR(B235="",J235=""),"",J235+IFERROR(IF(VLOOKUP(C235,Revendeurs!$A:$G,7,FALSE)="",Paramètres!$B$9,VLOOKUP(C235,Revendeurs!$A:$G,7,FALSE)),Paramètres!$B$9))</f>
        <v/>
      </c>
      <c r="N235" s="22" t="n"/>
      <c r="O235" s="23">
        <f>IF(H235="","",H235-N235)</f>
        <v/>
      </c>
      <c r="P235" s="25">
        <f>IF(OR(M235="",O235=""),"",IF(O235&lt;=0,0,MAX(0,Paramètres!$B$4-M235)))</f>
        <v/>
      </c>
      <c r="Q235" s="25">
        <f>IF(H235="","",IF(O235&lt;=0,"Payée",IF(M235="","Pas encore livrée",IF(P235=0,"Non échue",IF(P235&gt;=Paramètres!$B$7,"Relance 3 : appel direction",IF(P235&gt;=Paramètres!$B$6,"Relance 2",IF(P235&gt;=Paramètres!$B$5,"Relance 1","Échue, relance à venir")))))))</f>
        <v/>
      </c>
      <c r="R235" s="25">
        <f>IF(B235="","",IF(U235=Paramètres!$B$4,"Relancé aujourd'hui",TRIM(IF(LEFT(Q235,7)="Relance",Q235&amp;" ","")&amp;IF(K235="En retard","· Prévenir du retard de livraison",""))))</f>
        <v/>
      </c>
      <c r="S235" s="28">
        <f>IF(B235="","",IF(LEFT(Q235,9)="Relance 3","Bonjour "&amp;D235&amp;", nous revenons vers vous au sujet de la commande "&amp;A235&amp;" du "&amp;TEXT(B235,"dd/mm/yyyy")&amp;" : "&amp;SUBSTITUTE(TEXT(O235,"#,##0"),","," ")&amp;" FCFA restent à régler depuis le "&amp;TEXT(M235,"dd/mm/yyyy")&amp;". Notre responsable souhaite vous appeler pour convenir ensemble d'une solution. Quel moment vous arrange cette semaine ? "&amp;Paramètres!$B$11&amp;", "&amp;Paramètres!$B$12,IF(LEFT(Q235,7)="Relance","Bonjour "&amp;D235&amp;", sauf erreur de notre part, la commande "&amp;A235&amp;" du "&amp;TEXT(B235,"dd/mm/yyyy")&amp;" ("&amp;E235&amp;") présente un reste à payer de "&amp;SUBSTITUTE(TEXT(O235,"#,##0"),","," ")&amp;" FCFA, échu depuis le "&amp;TEXT(M235,"dd/mm/yyyy")&amp;". Pouvez-vous nous indiquer la date de règlement prévue ? Si le paiement est déjà parti, merci de nous envoyer la preuve et ne tenez pas compte de ce message. "&amp;Paramètres!$B$11&amp;", "&amp;Paramètres!$B$12,IF(K235="En retard","Bonjour "&amp;D235&amp;", votre commande "&amp;A235&amp;" ("&amp;E235&amp;", "&amp;F235&amp;" pièces) prévue le "&amp;TEXT(I235,"dd/mm/yyyy")&amp;" a pris du retard. Nous vous confirmons la nouvelle date de livraison dans la journée. Toutes nos excuses pour ce contretemps. "&amp;Paramètres!$B$11&amp;", "&amp;Paramètres!$B$12,""))))</f>
        <v/>
      </c>
      <c r="T235" s="21" t="n"/>
      <c r="U235" s="26" t="n"/>
      <c r="V235" s="21" t="n"/>
    </row>
    <row r="236">
      <c r="A236" s="21" t="n"/>
      <c r="B236" s="26" t="n"/>
      <c r="C236" s="21" t="n"/>
      <c r="D236" s="25">
        <f>IF(C236="","",IFERROR(VLOOKUP(C236,Revendeurs!$A:$B,2,FALSE),"Code inconnu"))</f>
        <v/>
      </c>
      <c r="E236" s="21" t="n"/>
      <c r="F236" s="21" t="n"/>
      <c r="G236" s="22" t="n"/>
      <c r="H236" s="23">
        <f>IF(OR(F236="",G236=""),"",F236*G236)</f>
        <v/>
      </c>
      <c r="I236" s="26" t="n"/>
      <c r="J236" s="26" t="n"/>
      <c r="K236" s="25">
        <f>IF(B236="","",IF(J236&lt;&gt;"","Livrée",IF(I236="","À planifier",IF(Paramètres!$B$4&gt;I236+Paramètres!$B$8,"En retard","En cours"))))</f>
        <v/>
      </c>
      <c r="L236" s="25">
        <f>IF(K236="En retard",Paramètres!$B$4-I236,"")</f>
        <v/>
      </c>
      <c r="M236" s="27">
        <f>IF(OR(B236="",J236=""),"",J236+IFERROR(IF(VLOOKUP(C236,Revendeurs!$A:$G,7,FALSE)="",Paramètres!$B$9,VLOOKUP(C236,Revendeurs!$A:$G,7,FALSE)),Paramètres!$B$9))</f>
        <v/>
      </c>
      <c r="N236" s="22" t="n"/>
      <c r="O236" s="23">
        <f>IF(H236="","",H236-N236)</f>
        <v/>
      </c>
      <c r="P236" s="25">
        <f>IF(OR(M236="",O236=""),"",IF(O236&lt;=0,0,MAX(0,Paramètres!$B$4-M236)))</f>
        <v/>
      </c>
      <c r="Q236" s="25">
        <f>IF(H236="","",IF(O236&lt;=0,"Payée",IF(M236="","Pas encore livrée",IF(P236=0,"Non échue",IF(P236&gt;=Paramètres!$B$7,"Relance 3 : appel direction",IF(P236&gt;=Paramètres!$B$6,"Relance 2",IF(P236&gt;=Paramètres!$B$5,"Relance 1","Échue, relance à venir")))))))</f>
        <v/>
      </c>
      <c r="R236" s="25">
        <f>IF(B236="","",IF(U236=Paramètres!$B$4,"Relancé aujourd'hui",TRIM(IF(LEFT(Q236,7)="Relance",Q236&amp;" ","")&amp;IF(K236="En retard","· Prévenir du retard de livraison",""))))</f>
        <v/>
      </c>
      <c r="S236" s="28">
        <f>IF(B236="","",IF(LEFT(Q236,9)="Relance 3","Bonjour "&amp;D236&amp;", nous revenons vers vous au sujet de la commande "&amp;A236&amp;" du "&amp;TEXT(B236,"dd/mm/yyyy")&amp;" : "&amp;SUBSTITUTE(TEXT(O236,"#,##0"),","," ")&amp;" FCFA restent à régler depuis le "&amp;TEXT(M236,"dd/mm/yyyy")&amp;". Notre responsable souhaite vous appeler pour convenir ensemble d'une solution. Quel moment vous arrange cette semaine ? "&amp;Paramètres!$B$11&amp;", "&amp;Paramètres!$B$12,IF(LEFT(Q236,7)="Relance","Bonjour "&amp;D236&amp;", sauf erreur de notre part, la commande "&amp;A236&amp;" du "&amp;TEXT(B236,"dd/mm/yyyy")&amp;" ("&amp;E236&amp;") présente un reste à payer de "&amp;SUBSTITUTE(TEXT(O236,"#,##0"),","," ")&amp;" FCFA, échu depuis le "&amp;TEXT(M236,"dd/mm/yyyy")&amp;". Pouvez-vous nous indiquer la date de règlement prévue ? Si le paiement est déjà parti, merci de nous envoyer la preuve et ne tenez pas compte de ce message. "&amp;Paramètres!$B$11&amp;", "&amp;Paramètres!$B$12,IF(K236="En retard","Bonjour "&amp;D236&amp;", votre commande "&amp;A236&amp;" ("&amp;E236&amp;", "&amp;F236&amp;" pièces) prévue le "&amp;TEXT(I236,"dd/mm/yyyy")&amp;" a pris du retard. Nous vous confirmons la nouvelle date de livraison dans la journée. Toutes nos excuses pour ce contretemps. "&amp;Paramètres!$B$11&amp;", "&amp;Paramètres!$B$12,""))))</f>
        <v/>
      </c>
      <c r="T236" s="21" t="n"/>
      <c r="U236" s="26" t="n"/>
      <c r="V236" s="21" t="n"/>
    </row>
    <row r="237">
      <c r="A237" s="21" t="n"/>
      <c r="B237" s="26" t="n"/>
      <c r="C237" s="21" t="n"/>
      <c r="D237" s="25">
        <f>IF(C237="","",IFERROR(VLOOKUP(C237,Revendeurs!$A:$B,2,FALSE),"Code inconnu"))</f>
        <v/>
      </c>
      <c r="E237" s="21" t="n"/>
      <c r="F237" s="21" t="n"/>
      <c r="G237" s="22" t="n"/>
      <c r="H237" s="23">
        <f>IF(OR(F237="",G237=""),"",F237*G237)</f>
        <v/>
      </c>
      <c r="I237" s="26" t="n"/>
      <c r="J237" s="26" t="n"/>
      <c r="K237" s="25">
        <f>IF(B237="","",IF(J237&lt;&gt;"","Livrée",IF(I237="","À planifier",IF(Paramètres!$B$4&gt;I237+Paramètres!$B$8,"En retard","En cours"))))</f>
        <v/>
      </c>
      <c r="L237" s="25">
        <f>IF(K237="En retard",Paramètres!$B$4-I237,"")</f>
        <v/>
      </c>
      <c r="M237" s="27">
        <f>IF(OR(B237="",J237=""),"",J237+IFERROR(IF(VLOOKUP(C237,Revendeurs!$A:$G,7,FALSE)="",Paramètres!$B$9,VLOOKUP(C237,Revendeurs!$A:$G,7,FALSE)),Paramètres!$B$9))</f>
        <v/>
      </c>
      <c r="N237" s="22" t="n"/>
      <c r="O237" s="23">
        <f>IF(H237="","",H237-N237)</f>
        <v/>
      </c>
      <c r="P237" s="25">
        <f>IF(OR(M237="",O237=""),"",IF(O237&lt;=0,0,MAX(0,Paramètres!$B$4-M237)))</f>
        <v/>
      </c>
      <c r="Q237" s="25">
        <f>IF(H237="","",IF(O237&lt;=0,"Payée",IF(M237="","Pas encore livrée",IF(P237=0,"Non échue",IF(P237&gt;=Paramètres!$B$7,"Relance 3 : appel direction",IF(P237&gt;=Paramètres!$B$6,"Relance 2",IF(P237&gt;=Paramètres!$B$5,"Relance 1","Échue, relance à venir")))))))</f>
        <v/>
      </c>
      <c r="R237" s="25">
        <f>IF(B237="","",IF(U237=Paramètres!$B$4,"Relancé aujourd'hui",TRIM(IF(LEFT(Q237,7)="Relance",Q237&amp;" ","")&amp;IF(K237="En retard","· Prévenir du retard de livraison",""))))</f>
        <v/>
      </c>
      <c r="S237" s="28">
        <f>IF(B237="","",IF(LEFT(Q237,9)="Relance 3","Bonjour "&amp;D237&amp;", nous revenons vers vous au sujet de la commande "&amp;A237&amp;" du "&amp;TEXT(B237,"dd/mm/yyyy")&amp;" : "&amp;SUBSTITUTE(TEXT(O237,"#,##0"),","," ")&amp;" FCFA restent à régler depuis le "&amp;TEXT(M237,"dd/mm/yyyy")&amp;". Notre responsable souhaite vous appeler pour convenir ensemble d'une solution. Quel moment vous arrange cette semaine ? "&amp;Paramètres!$B$11&amp;", "&amp;Paramètres!$B$12,IF(LEFT(Q237,7)="Relance","Bonjour "&amp;D237&amp;", sauf erreur de notre part, la commande "&amp;A237&amp;" du "&amp;TEXT(B237,"dd/mm/yyyy")&amp;" ("&amp;E237&amp;") présente un reste à payer de "&amp;SUBSTITUTE(TEXT(O237,"#,##0"),","," ")&amp;" FCFA, échu depuis le "&amp;TEXT(M237,"dd/mm/yyyy")&amp;". Pouvez-vous nous indiquer la date de règlement prévue ? Si le paiement est déjà parti, merci de nous envoyer la preuve et ne tenez pas compte de ce message. "&amp;Paramètres!$B$11&amp;", "&amp;Paramètres!$B$12,IF(K237="En retard","Bonjour "&amp;D237&amp;", votre commande "&amp;A237&amp;" ("&amp;E237&amp;", "&amp;F237&amp;" pièces) prévue le "&amp;TEXT(I237,"dd/mm/yyyy")&amp;" a pris du retard. Nous vous confirmons la nouvelle date de livraison dans la journée. Toutes nos excuses pour ce contretemps. "&amp;Paramètres!$B$11&amp;", "&amp;Paramètres!$B$12,""))))</f>
        <v/>
      </c>
      <c r="T237" s="21" t="n"/>
      <c r="U237" s="26" t="n"/>
      <c r="V237" s="21" t="n"/>
    </row>
    <row r="238">
      <c r="A238" s="21" t="n"/>
      <c r="B238" s="26" t="n"/>
      <c r="C238" s="21" t="n"/>
      <c r="D238" s="25">
        <f>IF(C238="","",IFERROR(VLOOKUP(C238,Revendeurs!$A:$B,2,FALSE),"Code inconnu"))</f>
        <v/>
      </c>
      <c r="E238" s="21" t="n"/>
      <c r="F238" s="21" t="n"/>
      <c r="G238" s="22" t="n"/>
      <c r="H238" s="23">
        <f>IF(OR(F238="",G238=""),"",F238*G238)</f>
        <v/>
      </c>
      <c r="I238" s="26" t="n"/>
      <c r="J238" s="26" t="n"/>
      <c r="K238" s="25">
        <f>IF(B238="","",IF(J238&lt;&gt;"","Livrée",IF(I238="","À planifier",IF(Paramètres!$B$4&gt;I238+Paramètres!$B$8,"En retard","En cours"))))</f>
        <v/>
      </c>
      <c r="L238" s="25">
        <f>IF(K238="En retard",Paramètres!$B$4-I238,"")</f>
        <v/>
      </c>
      <c r="M238" s="27">
        <f>IF(OR(B238="",J238=""),"",J238+IFERROR(IF(VLOOKUP(C238,Revendeurs!$A:$G,7,FALSE)="",Paramètres!$B$9,VLOOKUP(C238,Revendeurs!$A:$G,7,FALSE)),Paramètres!$B$9))</f>
        <v/>
      </c>
      <c r="N238" s="22" t="n"/>
      <c r="O238" s="23">
        <f>IF(H238="","",H238-N238)</f>
        <v/>
      </c>
      <c r="P238" s="25">
        <f>IF(OR(M238="",O238=""),"",IF(O238&lt;=0,0,MAX(0,Paramètres!$B$4-M238)))</f>
        <v/>
      </c>
      <c r="Q238" s="25">
        <f>IF(H238="","",IF(O238&lt;=0,"Payée",IF(M238="","Pas encore livrée",IF(P238=0,"Non échue",IF(P238&gt;=Paramètres!$B$7,"Relance 3 : appel direction",IF(P238&gt;=Paramètres!$B$6,"Relance 2",IF(P238&gt;=Paramètres!$B$5,"Relance 1","Échue, relance à venir")))))))</f>
        <v/>
      </c>
      <c r="R238" s="25">
        <f>IF(B238="","",IF(U238=Paramètres!$B$4,"Relancé aujourd'hui",TRIM(IF(LEFT(Q238,7)="Relance",Q238&amp;" ","")&amp;IF(K238="En retard","· Prévenir du retard de livraison",""))))</f>
        <v/>
      </c>
      <c r="S238" s="28">
        <f>IF(B238="","",IF(LEFT(Q238,9)="Relance 3","Bonjour "&amp;D238&amp;", nous revenons vers vous au sujet de la commande "&amp;A238&amp;" du "&amp;TEXT(B238,"dd/mm/yyyy")&amp;" : "&amp;SUBSTITUTE(TEXT(O238,"#,##0"),","," ")&amp;" FCFA restent à régler depuis le "&amp;TEXT(M238,"dd/mm/yyyy")&amp;". Notre responsable souhaite vous appeler pour convenir ensemble d'une solution. Quel moment vous arrange cette semaine ? "&amp;Paramètres!$B$11&amp;", "&amp;Paramètres!$B$12,IF(LEFT(Q238,7)="Relance","Bonjour "&amp;D238&amp;", sauf erreur de notre part, la commande "&amp;A238&amp;" du "&amp;TEXT(B238,"dd/mm/yyyy")&amp;" ("&amp;E238&amp;") présente un reste à payer de "&amp;SUBSTITUTE(TEXT(O238,"#,##0"),","," ")&amp;" FCFA, échu depuis le "&amp;TEXT(M238,"dd/mm/yyyy")&amp;". Pouvez-vous nous indiquer la date de règlement prévue ? Si le paiement est déjà parti, merci de nous envoyer la preuve et ne tenez pas compte de ce message. "&amp;Paramètres!$B$11&amp;", "&amp;Paramètres!$B$12,IF(K238="En retard","Bonjour "&amp;D238&amp;", votre commande "&amp;A238&amp;" ("&amp;E238&amp;", "&amp;F238&amp;" pièces) prévue le "&amp;TEXT(I238,"dd/mm/yyyy")&amp;" a pris du retard. Nous vous confirmons la nouvelle date de livraison dans la journée. Toutes nos excuses pour ce contretemps. "&amp;Paramètres!$B$11&amp;", "&amp;Paramètres!$B$12,""))))</f>
        <v/>
      </c>
      <c r="T238" s="21" t="n"/>
      <c r="U238" s="26" t="n"/>
      <c r="V238" s="21" t="n"/>
    </row>
    <row r="239">
      <c r="A239" s="21" t="n"/>
      <c r="B239" s="26" t="n"/>
      <c r="C239" s="21" t="n"/>
      <c r="D239" s="25">
        <f>IF(C239="","",IFERROR(VLOOKUP(C239,Revendeurs!$A:$B,2,FALSE),"Code inconnu"))</f>
        <v/>
      </c>
      <c r="E239" s="21" t="n"/>
      <c r="F239" s="21" t="n"/>
      <c r="G239" s="22" t="n"/>
      <c r="H239" s="23">
        <f>IF(OR(F239="",G239=""),"",F239*G239)</f>
        <v/>
      </c>
      <c r="I239" s="26" t="n"/>
      <c r="J239" s="26" t="n"/>
      <c r="K239" s="25">
        <f>IF(B239="","",IF(J239&lt;&gt;"","Livrée",IF(I239="","À planifier",IF(Paramètres!$B$4&gt;I239+Paramètres!$B$8,"En retard","En cours"))))</f>
        <v/>
      </c>
      <c r="L239" s="25">
        <f>IF(K239="En retard",Paramètres!$B$4-I239,"")</f>
        <v/>
      </c>
      <c r="M239" s="27">
        <f>IF(OR(B239="",J239=""),"",J239+IFERROR(IF(VLOOKUP(C239,Revendeurs!$A:$G,7,FALSE)="",Paramètres!$B$9,VLOOKUP(C239,Revendeurs!$A:$G,7,FALSE)),Paramètres!$B$9))</f>
        <v/>
      </c>
      <c r="N239" s="22" t="n"/>
      <c r="O239" s="23">
        <f>IF(H239="","",H239-N239)</f>
        <v/>
      </c>
      <c r="P239" s="25">
        <f>IF(OR(M239="",O239=""),"",IF(O239&lt;=0,0,MAX(0,Paramètres!$B$4-M239)))</f>
        <v/>
      </c>
      <c r="Q239" s="25">
        <f>IF(H239="","",IF(O239&lt;=0,"Payée",IF(M239="","Pas encore livrée",IF(P239=0,"Non échue",IF(P239&gt;=Paramètres!$B$7,"Relance 3 : appel direction",IF(P239&gt;=Paramètres!$B$6,"Relance 2",IF(P239&gt;=Paramètres!$B$5,"Relance 1","Échue, relance à venir")))))))</f>
        <v/>
      </c>
      <c r="R239" s="25">
        <f>IF(B239="","",IF(U239=Paramètres!$B$4,"Relancé aujourd'hui",TRIM(IF(LEFT(Q239,7)="Relance",Q239&amp;" ","")&amp;IF(K239="En retard","· Prévenir du retard de livraison",""))))</f>
        <v/>
      </c>
      <c r="S239" s="28">
        <f>IF(B239="","",IF(LEFT(Q239,9)="Relance 3","Bonjour "&amp;D239&amp;", nous revenons vers vous au sujet de la commande "&amp;A239&amp;" du "&amp;TEXT(B239,"dd/mm/yyyy")&amp;" : "&amp;SUBSTITUTE(TEXT(O239,"#,##0"),","," ")&amp;" FCFA restent à régler depuis le "&amp;TEXT(M239,"dd/mm/yyyy")&amp;". Notre responsable souhaite vous appeler pour convenir ensemble d'une solution. Quel moment vous arrange cette semaine ? "&amp;Paramètres!$B$11&amp;", "&amp;Paramètres!$B$12,IF(LEFT(Q239,7)="Relance","Bonjour "&amp;D239&amp;", sauf erreur de notre part, la commande "&amp;A239&amp;" du "&amp;TEXT(B239,"dd/mm/yyyy")&amp;" ("&amp;E239&amp;") présente un reste à payer de "&amp;SUBSTITUTE(TEXT(O239,"#,##0"),","," ")&amp;" FCFA, échu depuis le "&amp;TEXT(M239,"dd/mm/yyyy")&amp;". Pouvez-vous nous indiquer la date de règlement prévue ? Si le paiement est déjà parti, merci de nous envoyer la preuve et ne tenez pas compte de ce message. "&amp;Paramètres!$B$11&amp;", "&amp;Paramètres!$B$12,IF(K239="En retard","Bonjour "&amp;D239&amp;", votre commande "&amp;A239&amp;" ("&amp;E239&amp;", "&amp;F239&amp;" pièces) prévue le "&amp;TEXT(I239,"dd/mm/yyyy")&amp;" a pris du retard. Nous vous confirmons la nouvelle date de livraison dans la journée. Toutes nos excuses pour ce contretemps. "&amp;Paramètres!$B$11&amp;", "&amp;Paramètres!$B$12,""))))</f>
        <v/>
      </c>
      <c r="T239" s="21" t="n"/>
      <c r="U239" s="26" t="n"/>
      <c r="V239" s="21" t="n"/>
    </row>
    <row r="240">
      <c r="A240" s="21" t="n"/>
      <c r="B240" s="26" t="n"/>
      <c r="C240" s="21" t="n"/>
      <c r="D240" s="25">
        <f>IF(C240="","",IFERROR(VLOOKUP(C240,Revendeurs!$A:$B,2,FALSE),"Code inconnu"))</f>
        <v/>
      </c>
      <c r="E240" s="21" t="n"/>
      <c r="F240" s="21" t="n"/>
      <c r="G240" s="22" t="n"/>
      <c r="H240" s="23">
        <f>IF(OR(F240="",G240=""),"",F240*G240)</f>
        <v/>
      </c>
      <c r="I240" s="26" t="n"/>
      <c r="J240" s="26" t="n"/>
      <c r="K240" s="25">
        <f>IF(B240="","",IF(J240&lt;&gt;"","Livrée",IF(I240="","À planifier",IF(Paramètres!$B$4&gt;I240+Paramètres!$B$8,"En retard","En cours"))))</f>
        <v/>
      </c>
      <c r="L240" s="25">
        <f>IF(K240="En retard",Paramètres!$B$4-I240,"")</f>
        <v/>
      </c>
      <c r="M240" s="27">
        <f>IF(OR(B240="",J240=""),"",J240+IFERROR(IF(VLOOKUP(C240,Revendeurs!$A:$G,7,FALSE)="",Paramètres!$B$9,VLOOKUP(C240,Revendeurs!$A:$G,7,FALSE)),Paramètres!$B$9))</f>
        <v/>
      </c>
      <c r="N240" s="22" t="n"/>
      <c r="O240" s="23">
        <f>IF(H240="","",H240-N240)</f>
        <v/>
      </c>
      <c r="P240" s="25">
        <f>IF(OR(M240="",O240=""),"",IF(O240&lt;=0,0,MAX(0,Paramètres!$B$4-M240)))</f>
        <v/>
      </c>
      <c r="Q240" s="25">
        <f>IF(H240="","",IF(O240&lt;=0,"Payée",IF(M240="","Pas encore livrée",IF(P240=0,"Non échue",IF(P240&gt;=Paramètres!$B$7,"Relance 3 : appel direction",IF(P240&gt;=Paramètres!$B$6,"Relance 2",IF(P240&gt;=Paramètres!$B$5,"Relance 1","Échue, relance à venir")))))))</f>
        <v/>
      </c>
      <c r="R240" s="25">
        <f>IF(B240="","",IF(U240=Paramètres!$B$4,"Relancé aujourd'hui",TRIM(IF(LEFT(Q240,7)="Relance",Q240&amp;" ","")&amp;IF(K240="En retard","· Prévenir du retard de livraison",""))))</f>
        <v/>
      </c>
      <c r="S240" s="28">
        <f>IF(B240="","",IF(LEFT(Q240,9)="Relance 3","Bonjour "&amp;D240&amp;", nous revenons vers vous au sujet de la commande "&amp;A240&amp;" du "&amp;TEXT(B240,"dd/mm/yyyy")&amp;" : "&amp;SUBSTITUTE(TEXT(O240,"#,##0"),","," ")&amp;" FCFA restent à régler depuis le "&amp;TEXT(M240,"dd/mm/yyyy")&amp;". Notre responsable souhaite vous appeler pour convenir ensemble d'une solution. Quel moment vous arrange cette semaine ? "&amp;Paramètres!$B$11&amp;", "&amp;Paramètres!$B$12,IF(LEFT(Q240,7)="Relance","Bonjour "&amp;D240&amp;", sauf erreur de notre part, la commande "&amp;A240&amp;" du "&amp;TEXT(B240,"dd/mm/yyyy")&amp;" ("&amp;E240&amp;") présente un reste à payer de "&amp;SUBSTITUTE(TEXT(O240,"#,##0"),","," ")&amp;" FCFA, échu depuis le "&amp;TEXT(M240,"dd/mm/yyyy")&amp;". Pouvez-vous nous indiquer la date de règlement prévue ? Si le paiement est déjà parti, merci de nous envoyer la preuve et ne tenez pas compte de ce message. "&amp;Paramètres!$B$11&amp;", "&amp;Paramètres!$B$12,IF(K240="En retard","Bonjour "&amp;D240&amp;", votre commande "&amp;A240&amp;" ("&amp;E240&amp;", "&amp;F240&amp;" pièces) prévue le "&amp;TEXT(I240,"dd/mm/yyyy")&amp;" a pris du retard. Nous vous confirmons la nouvelle date de livraison dans la journée. Toutes nos excuses pour ce contretemps. "&amp;Paramètres!$B$11&amp;", "&amp;Paramètres!$B$12,""))))</f>
        <v/>
      </c>
      <c r="T240" s="21" t="n"/>
      <c r="U240" s="26" t="n"/>
      <c r="V240" s="21" t="n"/>
    </row>
    <row r="241">
      <c r="A241" s="21" t="n"/>
      <c r="B241" s="26" t="n"/>
      <c r="C241" s="21" t="n"/>
      <c r="D241" s="25">
        <f>IF(C241="","",IFERROR(VLOOKUP(C241,Revendeurs!$A:$B,2,FALSE),"Code inconnu"))</f>
        <v/>
      </c>
      <c r="E241" s="21" t="n"/>
      <c r="F241" s="21" t="n"/>
      <c r="G241" s="22" t="n"/>
      <c r="H241" s="23">
        <f>IF(OR(F241="",G241=""),"",F241*G241)</f>
        <v/>
      </c>
      <c r="I241" s="26" t="n"/>
      <c r="J241" s="26" t="n"/>
      <c r="K241" s="25">
        <f>IF(B241="","",IF(J241&lt;&gt;"","Livrée",IF(I241="","À planifier",IF(Paramètres!$B$4&gt;I241+Paramètres!$B$8,"En retard","En cours"))))</f>
        <v/>
      </c>
      <c r="L241" s="25">
        <f>IF(K241="En retard",Paramètres!$B$4-I241,"")</f>
        <v/>
      </c>
      <c r="M241" s="27">
        <f>IF(OR(B241="",J241=""),"",J241+IFERROR(IF(VLOOKUP(C241,Revendeurs!$A:$G,7,FALSE)="",Paramètres!$B$9,VLOOKUP(C241,Revendeurs!$A:$G,7,FALSE)),Paramètres!$B$9))</f>
        <v/>
      </c>
      <c r="N241" s="22" t="n"/>
      <c r="O241" s="23">
        <f>IF(H241="","",H241-N241)</f>
        <v/>
      </c>
      <c r="P241" s="25">
        <f>IF(OR(M241="",O241=""),"",IF(O241&lt;=0,0,MAX(0,Paramètres!$B$4-M241)))</f>
        <v/>
      </c>
      <c r="Q241" s="25">
        <f>IF(H241="","",IF(O241&lt;=0,"Payée",IF(M241="","Pas encore livrée",IF(P241=0,"Non échue",IF(P241&gt;=Paramètres!$B$7,"Relance 3 : appel direction",IF(P241&gt;=Paramètres!$B$6,"Relance 2",IF(P241&gt;=Paramètres!$B$5,"Relance 1","Échue, relance à venir")))))))</f>
        <v/>
      </c>
      <c r="R241" s="25">
        <f>IF(B241="","",IF(U241=Paramètres!$B$4,"Relancé aujourd'hui",TRIM(IF(LEFT(Q241,7)="Relance",Q241&amp;" ","")&amp;IF(K241="En retard","· Prévenir du retard de livraison",""))))</f>
        <v/>
      </c>
      <c r="S241" s="28">
        <f>IF(B241="","",IF(LEFT(Q241,9)="Relance 3","Bonjour "&amp;D241&amp;", nous revenons vers vous au sujet de la commande "&amp;A241&amp;" du "&amp;TEXT(B241,"dd/mm/yyyy")&amp;" : "&amp;SUBSTITUTE(TEXT(O241,"#,##0"),","," ")&amp;" FCFA restent à régler depuis le "&amp;TEXT(M241,"dd/mm/yyyy")&amp;". Notre responsable souhaite vous appeler pour convenir ensemble d'une solution. Quel moment vous arrange cette semaine ? "&amp;Paramètres!$B$11&amp;", "&amp;Paramètres!$B$12,IF(LEFT(Q241,7)="Relance","Bonjour "&amp;D241&amp;", sauf erreur de notre part, la commande "&amp;A241&amp;" du "&amp;TEXT(B241,"dd/mm/yyyy")&amp;" ("&amp;E241&amp;") présente un reste à payer de "&amp;SUBSTITUTE(TEXT(O241,"#,##0"),","," ")&amp;" FCFA, échu depuis le "&amp;TEXT(M241,"dd/mm/yyyy")&amp;". Pouvez-vous nous indiquer la date de règlement prévue ? Si le paiement est déjà parti, merci de nous envoyer la preuve et ne tenez pas compte de ce message. "&amp;Paramètres!$B$11&amp;", "&amp;Paramètres!$B$12,IF(K241="En retard","Bonjour "&amp;D241&amp;", votre commande "&amp;A241&amp;" ("&amp;E241&amp;", "&amp;F241&amp;" pièces) prévue le "&amp;TEXT(I241,"dd/mm/yyyy")&amp;" a pris du retard. Nous vous confirmons la nouvelle date de livraison dans la journée. Toutes nos excuses pour ce contretemps. "&amp;Paramètres!$B$11&amp;", "&amp;Paramètres!$B$12,""))))</f>
        <v/>
      </c>
      <c r="T241" s="21" t="n"/>
      <c r="U241" s="26" t="n"/>
      <c r="V241" s="21" t="n"/>
    </row>
    <row r="242">
      <c r="A242" s="21" t="n"/>
      <c r="B242" s="26" t="n"/>
      <c r="C242" s="21" t="n"/>
      <c r="D242" s="25">
        <f>IF(C242="","",IFERROR(VLOOKUP(C242,Revendeurs!$A:$B,2,FALSE),"Code inconnu"))</f>
        <v/>
      </c>
      <c r="E242" s="21" t="n"/>
      <c r="F242" s="21" t="n"/>
      <c r="G242" s="22" t="n"/>
      <c r="H242" s="23">
        <f>IF(OR(F242="",G242=""),"",F242*G242)</f>
        <v/>
      </c>
      <c r="I242" s="26" t="n"/>
      <c r="J242" s="26" t="n"/>
      <c r="K242" s="25">
        <f>IF(B242="","",IF(J242&lt;&gt;"","Livrée",IF(I242="","À planifier",IF(Paramètres!$B$4&gt;I242+Paramètres!$B$8,"En retard","En cours"))))</f>
        <v/>
      </c>
      <c r="L242" s="25">
        <f>IF(K242="En retard",Paramètres!$B$4-I242,"")</f>
        <v/>
      </c>
      <c r="M242" s="27">
        <f>IF(OR(B242="",J242=""),"",J242+IFERROR(IF(VLOOKUP(C242,Revendeurs!$A:$G,7,FALSE)="",Paramètres!$B$9,VLOOKUP(C242,Revendeurs!$A:$G,7,FALSE)),Paramètres!$B$9))</f>
        <v/>
      </c>
      <c r="N242" s="22" t="n"/>
      <c r="O242" s="23">
        <f>IF(H242="","",H242-N242)</f>
        <v/>
      </c>
      <c r="P242" s="25">
        <f>IF(OR(M242="",O242=""),"",IF(O242&lt;=0,0,MAX(0,Paramètres!$B$4-M242)))</f>
        <v/>
      </c>
      <c r="Q242" s="25">
        <f>IF(H242="","",IF(O242&lt;=0,"Payée",IF(M242="","Pas encore livrée",IF(P242=0,"Non échue",IF(P242&gt;=Paramètres!$B$7,"Relance 3 : appel direction",IF(P242&gt;=Paramètres!$B$6,"Relance 2",IF(P242&gt;=Paramètres!$B$5,"Relance 1","Échue, relance à venir")))))))</f>
        <v/>
      </c>
      <c r="R242" s="25">
        <f>IF(B242="","",IF(U242=Paramètres!$B$4,"Relancé aujourd'hui",TRIM(IF(LEFT(Q242,7)="Relance",Q242&amp;" ","")&amp;IF(K242="En retard","· Prévenir du retard de livraison",""))))</f>
        <v/>
      </c>
      <c r="S242" s="28">
        <f>IF(B242="","",IF(LEFT(Q242,9)="Relance 3","Bonjour "&amp;D242&amp;", nous revenons vers vous au sujet de la commande "&amp;A242&amp;" du "&amp;TEXT(B242,"dd/mm/yyyy")&amp;" : "&amp;SUBSTITUTE(TEXT(O242,"#,##0"),","," ")&amp;" FCFA restent à régler depuis le "&amp;TEXT(M242,"dd/mm/yyyy")&amp;". Notre responsable souhaite vous appeler pour convenir ensemble d'une solution. Quel moment vous arrange cette semaine ? "&amp;Paramètres!$B$11&amp;", "&amp;Paramètres!$B$12,IF(LEFT(Q242,7)="Relance","Bonjour "&amp;D242&amp;", sauf erreur de notre part, la commande "&amp;A242&amp;" du "&amp;TEXT(B242,"dd/mm/yyyy")&amp;" ("&amp;E242&amp;") présente un reste à payer de "&amp;SUBSTITUTE(TEXT(O242,"#,##0"),","," ")&amp;" FCFA, échu depuis le "&amp;TEXT(M242,"dd/mm/yyyy")&amp;". Pouvez-vous nous indiquer la date de règlement prévue ? Si le paiement est déjà parti, merci de nous envoyer la preuve et ne tenez pas compte de ce message. "&amp;Paramètres!$B$11&amp;", "&amp;Paramètres!$B$12,IF(K242="En retard","Bonjour "&amp;D242&amp;", votre commande "&amp;A242&amp;" ("&amp;E242&amp;", "&amp;F242&amp;" pièces) prévue le "&amp;TEXT(I242,"dd/mm/yyyy")&amp;" a pris du retard. Nous vous confirmons la nouvelle date de livraison dans la journée. Toutes nos excuses pour ce contretemps. "&amp;Paramètres!$B$11&amp;", "&amp;Paramètres!$B$12,""))))</f>
        <v/>
      </c>
      <c r="T242" s="21" t="n"/>
      <c r="U242" s="26" t="n"/>
      <c r="V242" s="21" t="n"/>
    </row>
    <row r="243">
      <c r="A243" s="21" t="n"/>
      <c r="B243" s="26" t="n"/>
      <c r="C243" s="21" t="n"/>
      <c r="D243" s="25">
        <f>IF(C243="","",IFERROR(VLOOKUP(C243,Revendeurs!$A:$B,2,FALSE),"Code inconnu"))</f>
        <v/>
      </c>
      <c r="E243" s="21" t="n"/>
      <c r="F243" s="21" t="n"/>
      <c r="G243" s="22" t="n"/>
      <c r="H243" s="23">
        <f>IF(OR(F243="",G243=""),"",F243*G243)</f>
        <v/>
      </c>
      <c r="I243" s="26" t="n"/>
      <c r="J243" s="26" t="n"/>
      <c r="K243" s="25">
        <f>IF(B243="","",IF(J243&lt;&gt;"","Livrée",IF(I243="","À planifier",IF(Paramètres!$B$4&gt;I243+Paramètres!$B$8,"En retard","En cours"))))</f>
        <v/>
      </c>
      <c r="L243" s="25">
        <f>IF(K243="En retard",Paramètres!$B$4-I243,"")</f>
        <v/>
      </c>
      <c r="M243" s="27">
        <f>IF(OR(B243="",J243=""),"",J243+IFERROR(IF(VLOOKUP(C243,Revendeurs!$A:$G,7,FALSE)="",Paramètres!$B$9,VLOOKUP(C243,Revendeurs!$A:$G,7,FALSE)),Paramètres!$B$9))</f>
        <v/>
      </c>
      <c r="N243" s="22" t="n"/>
      <c r="O243" s="23">
        <f>IF(H243="","",H243-N243)</f>
        <v/>
      </c>
      <c r="P243" s="25">
        <f>IF(OR(M243="",O243=""),"",IF(O243&lt;=0,0,MAX(0,Paramètres!$B$4-M243)))</f>
        <v/>
      </c>
      <c r="Q243" s="25">
        <f>IF(H243="","",IF(O243&lt;=0,"Payée",IF(M243="","Pas encore livrée",IF(P243=0,"Non échue",IF(P243&gt;=Paramètres!$B$7,"Relance 3 : appel direction",IF(P243&gt;=Paramètres!$B$6,"Relance 2",IF(P243&gt;=Paramètres!$B$5,"Relance 1","Échue, relance à venir")))))))</f>
        <v/>
      </c>
      <c r="R243" s="25">
        <f>IF(B243="","",IF(U243=Paramètres!$B$4,"Relancé aujourd'hui",TRIM(IF(LEFT(Q243,7)="Relance",Q243&amp;" ","")&amp;IF(K243="En retard","· Prévenir du retard de livraison",""))))</f>
        <v/>
      </c>
      <c r="S243" s="28">
        <f>IF(B243="","",IF(LEFT(Q243,9)="Relance 3","Bonjour "&amp;D243&amp;", nous revenons vers vous au sujet de la commande "&amp;A243&amp;" du "&amp;TEXT(B243,"dd/mm/yyyy")&amp;" : "&amp;SUBSTITUTE(TEXT(O243,"#,##0"),","," ")&amp;" FCFA restent à régler depuis le "&amp;TEXT(M243,"dd/mm/yyyy")&amp;". Notre responsable souhaite vous appeler pour convenir ensemble d'une solution. Quel moment vous arrange cette semaine ? "&amp;Paramètres!$B$11&amp;", "&amp;Paramètres!$B$12,IF(LEFT(Q243,7)="Relance","Bonjour "&amp;D243&amp;", sauf erreur de notre part, la commande "&amp;A243&amp;" du "&amp;TEXT(B243,"dd/mm/yyyy")&amp;" ("&amp;E243&amp;") présente un reste à payer de "&amp;SUBSTITUTE(TEXT(O243,"#,##0"),","," ")&amp;" FCFA, échu depuis le "&amp;TEXT(M243,"dd/mm/yyyy")&amp;". Pouvez-vous nous indiquer la date de règlement prévue ? Si le paiement est déjà parti, merci de nous envoyer la preuve et ne tenez pas compte de ce message. "&amp;Paramètres!$B$11&amp;", "&amp;Paramètres!$B$12,IF(K243="En retard","Bonjour "&amp;D243&amp;", votre commande "&amp;A243&amp;" ("&amp;E243&amp;", "&amp;F243&amp;" pièces) prévue le "&amp;TEXT(I243,"dd/mm/yyyy")&amp;" a pris du retard. Nous vous confirmons la nouvelle date de livraison dans la journée. Toutes nos excuses pour ce contretemps. "&amp;Paramètres!$B$11&amp;", "&amp;Paramètres!$B$12,""))))</f>
        <v/>
      </c>
      <c r="T243" s="21" t="n"/>
      <c r="U243" s="26" t="n"/>
      <c r="V243" s="21" t="n"/>
    </row>
    <row r="244">
      <c r="A244" s="21" t="n"/>
      <c r="B244" s="26" t="n"/>
      <c r="C244" s="21" t="n"/>
      <c r="D244" s="25">
        <f>IF(C244="","",IFERROR(VLOOKUP(C244,Revendeurs!$A:$B,2,FALSE),"Code inconnu"))</f>
        <v/>
      </c>
      <c r="E244" s="21" t="n"/>
      <c r="F244" s="21" t="n"/>
      <c r="G244" s="22" t="n"/>
      <c r="H244" s="23">
        <f>IF(OR(F244="",G244=""),"",F244*G244)</f>
        <v/>
      </c>
      <c r="I244" s="26" t="n"/>
      <c r="J244" s="26" t="n"/>
      <c r="K244" s="25">
        <f>IF(B244="","",IF(J244&lt;&gt;"","Livrée",IF(I244="","À planifier",IF(Paramètres!$B$4&gt;I244+Paramètres!$B$8,"En retard","En cours"))))</f>
        <v/>
      </c>
      <c r="L244" s="25">
        <f>IF(K244="En retard",Paramètres!$B$4-I244,"")</f>
        <v/>
      </c>
      <c r="M244" s="27">
        <f>IF(OR(B244="",J244=""),"",J244+IFERROR(IF(VLOOKUP(C244,Revendeurs!$A:$G,7,FALSE)="",Paramètres!$B$9,VLOOKUP(C244,Revendeurs!$A:$G,7,FALSE)),Paramètres!$B$9))</f>
        <v/>
      </c>
      <c r="N244" s="22" t="n"/>
      <c r="O244" s="23">
        <f>IF(H244="","",H244-N244)</f>
        <v/>
      </c>
      <c r="P244" s="25">
        <f>IF(OR(M244="",O244=""),"",IF(O244&lt;=0,0,MAX(0,Paramètres!$B$4-M244)))</f>
        <v/>
      </c>
      <c r="Q244" s="25">
        <f>IF(H244="","",IF(O244&lt;=0,"Payée",IF(M244="","Pas encore livrée",IF(P244=0,"Non échue",IF(P244&gt;=Paramètres!$B$7,"Relance 3 : appel direction",IF(P244&gt;=Paramètres!$B$6,"Relance 2",IF(P244&gt;=Paramètres!$B$5,"Relance 1","Échue, relance à venir")))))))</f>
        <v/>
      </c>
      <c r="R244" s="25">
        <f>IF(B244="","",IF(U244=Paramètres!$B$4,"Relancé aujourd'hui",TRIM(IF(LEFT(Q244,7)="Relance",Q244&amp;" ","")&amp;IF(K244="En retard","· Prévenir du retard de livraison",""))))</f>
        <v/>
      </c>
      <c r="S244" s="28">
        <f>IF(B244="","",IF(LEFT(Q244,9)="Relance 3","Bonjour "&amp;D244&amp;", nous revenons vers vous au sujet de la commande "&amp;A244&amp;" du "&amp;TEXT(B244,"dd/mm/yyyy")&amp;" : "&amp;SUBSTITUTE(TEXT(O244,"#,##0"),","," ")&amp;" FCFA restent à régler depuis le "&amp;TEXT(M244,"dd/mm/yyyy")&amp;". Notre responsable souhaite vous appeler pour convenir ensemble d'une solution. Quel moment vous arrange cette semaine ? "&amp;Paramètres!$B$11&amp;", "&amp;Paramètres!$B$12,IF(LEFT(Q244,7)="Relance","Bonjour "&amp;D244&amp;", sauf erreur de notre part, la commande "&amp;A244&amp;" du "&amp;TEXT(B244,"dd/mm/yyyy")&amp;" ("&amp;E244&amp;") présente un reste à payer de "&amp;SUBSTITUTE(TEXT(O244,"#,##0"),","," ")&amp;" FCFA, échu depuis le "&amp;TEXT(M244,"dd/mm/yyyy")&amp;". Pouvez-vous nous indiquer la date de règlement prévue ? Si le paiement est déjà parti, merci de nous envoyer la preuve et ne tenez pas compte de ce message. "&amp;Paramètres!$B$11&amp;", "&amp;Paramètres!$B$12,IF(K244="En retard","Bonjour "&amp;D244&amp;", votre commande "&amp;A244&amp;" ("&amp;E244&amp;", "&amp;F244&amp;" pièces) prévue le "&amp;TEXT(I244,"dd/mm/yyyy")&amp;" a pris du retard. Nous vous confirmons la nouvelle date de livraison dans la journée. Toutes nos excuses pour ce contretemps. "&amp;Paramètres!$B$11&amp;", "&amp;Paramètres!$B$12,""))))</f>
        <v/>
      </c>
      <c r="T244" s="21" t="n"/>
      <c r="U244" s="26" t="n"/>
      <c r="V244" s="21" t="n"/>
    </row>
    <row r="245">
      <c r="A245" s="21" t="n"/>
      <c r="B245" s="26" t="n"/>
      <c r="C245" s="21" t="n"/>
      <c r="D245" s="25">
        <f>IF(C245="","",IFERROR(VLOOKUP(C245,Revendeurs!$A:$B,2,FALSE),"Code inconnu"))</f>
        <v/>
      </c>
      <c r="E245" s="21" t="n"/>
      <c r="F245" s="21" t="n"/>
      <c r="G245" s="22" t="n"/>
      <c r="H245" s="23">
        <f>IF(OR(F245="",G245=""),"",F245*G245)</f>
        <v/>
      </c>
      <c r="I245" s="26" t="n"/>
      <c r="J245" s="26" t="n"/>
      <c r="K245" s="25">
        <f>IF(B245="","",IF(J245&lt;&gt;"","Livrée",IF(I245="","À planifier",IF(Paramètres!$B$4&gt;I245+Paramètres!$B$8,"En retard","En cours"))))</f>
        <v/>
      </c>
      <c r="L245" s="25">
        <f>IF(K245="En retard",Paramètres!$B$4-I245,"")</f>
        <v/>
      </c>
      <c r="M245" s="27">
        <f>IF(OR(B245="",J245=""),"",J245+IFERROR(IF(VLOOKUP(C245,Revendeurs!$A:$G,7,FALSE)="",Paramètres!$B$9,VLOOKUP(C245,Revendeurs!$A:$G,7,FALSE)),Paramètres!$B$9))</f>
        <v/>
      </c>
      <c r="N245" s="22" t="n"/>
      <c r="O245" s="23">
        <f>IF(H245="","",H245-N245)</f>
        <v/>
      </c>
      <c r="P245" s="25">
        <f>IF(OR(M245="",O245=""),"",IF(O245&lt;=0,0,MAX(0,Paramètres!$B$4-M245)))</f>
        <v/>
      </c>
      <c r="Q245" s="25">
        <f>IF(H245="","",IF(O245&lt;=0,"Payée",IF(M245="","Pas encore livrée",IF(P245=0,"Non échue",IF(P245&gt;=Paramètres!$B$7,"Relance 3 : appel direction",IF(P245&gt;=Paramètres!$B$6,"Relance 2",IF(P245&gt;=Paramètres!$B$5,"Relance 1","Échue, relance à venir")))))))</f>
        <v/>
      </c>
      <c r="R245" s="25">
        <f>IF(B245="","",IF(U245=Paramètres!$B$4,"Relancé aujourd'hui",TRIM(IF(LEFT(Q245,7)="Relance",Q245&amp;" ","")&amp;IF(K245="En retard","· Prévenir du retard de livraison",""))))</f>
        <v/>
      </c>
      <c r="S245" s="28">
        <f>IF(B245="","",IF(LEFT(Q245,9)="Relance 3","Bonjour "&amp;D245&amp;", nous revenons vers vous au sujet de la commande "&amp;A245&amp;" du "&amp;TEXT(B245,"dd/mm/yyyy")&amp;" : "&amp;SUBSTITUTE(TEXT(O245,"#,##0"),","," ")&amp;" FCFA restent à régler depuis le "&amp;TEXT(M245,"dd/mm/yyyy")&amp;". Notre responsable souhaite vous appeler pour convenir ensemble d'une solution. Quel moment vous arrange cette semaine ? "&amp;Paramètres!$B$11&amp;", "&amp;Paramètres!$B$12,IF(LEFT(Q245,7)="Relance","Bonjour "&amp;D245&amp;", sauf erreur de notre part, la commande "&amp;A245&amp;" du "&amp;TEXT(B245,"dd/mm/yyyy")&amp;" ("&amp;E245&amp;") présente un reste à payer de "&amp;SUBSTITUTE(TEXT(O245,"#,##0"),","," ")&amp;" FCFA, échu depuis le "&amp;TEXT(M245,"dd/mm/yyyy")&amp;". Pouvez-vous nous indiquer la date de règlement prévue ? Si le paiement est déjà parti, merci de nous envoyer la preuve et ne tenez pas compte de ce message. "&amp;Paramètres!$B$11&amp;", "&amp;Paramètres!$B$12,IF(K245="En retard","Bonjour "&amp;D245&amp;", votre commande "&amp;A245&amp;" ("&amp;E245&amp;", "&amp;F245&amp;" pièces) prévue le "&amp;TEXT(I245,"dd/mm/yyyy")&amp;" a pris du retard. Nous vous confirmons la nouvelle date de livraison dans la journée. Toutes nos excuses pour ce contretemps. "&amp;Paramètres!$B$11&amp;", "&amp;Paramètres!$B$12,""))))</f>
        <v/>
      </c>
      <c r="T245" s="21" t="n"/>
      <c r="U245" s="26" t="n"/>
      <c r="V245" s="21" t="n"/>
    </row>
    <row r="246">
      <c r="A246" s="21" t="n"/>
      <c r="B246" s="26" t="n"/>
      <c r="C246" s="21" t="n"/>
      <c r="D246" s="25">
        <f>IF(C246="","",IFERROR(VLOOKUP(C246,Revendeurs!$A:$B,2,FALSE),"Code inconnu"))</f>
        <v/>
      </c>
      <c r="E246" s="21" t="n"/>
      <c r="F246" s="21" t="n"/>
      <c r="G246" s="22" t="n"/>
      <c r="H246" s="23">
        <f>IF(OR(F246="",G246=""),"",F246*G246)</f>
        <v/>
      </c>
      <c r="I246" s="26" t="n"/>
      <c r="J246" s="26" t="n"/>
      <c r="K246" s="25">
        <f>IF(B246="","",IF(J246&lt;&gt;"","Livrée",IF(I246="","À planifier",IF(Paramètres!$B$4&gt;I246+Paramètres!$B$8,"En retard","En cours"))))</f>
        <v/>
      </c>
      <c r="L246" s="25">
        <f>IF(K246="En retard",Paramètres!$B$4-I246,"")</f>
        <v/>
      </c>
      <c r="M246" s="27">
        <f>IF(OR(B246="",J246=""),"",J246+IFERROR(IF(VLOOKUP(C246,Revendeurs!$A:$G,7,FALSE)="",Paramètres!$B$9,VLOOKUP(C246,Revendeurs!$A:$G,7,FALSE)),Paramètres!$B$9))</f>
        <v/>
      </c>
      <c r="N246" s="22" t="n"/>
      <c r="O246" s="23">
        <f>IF(H246="","",H246-N246)</f>
        <v/>
      </c>
      <c r="P246" s="25">
        <f>IF(OR(M246="",O246=""),"",IF(O246&lt;=0,0,MAX(0,Paramètres!$B$4-M246)))</f>
        <v/>
      </c>
      <c r="Q246" s="25">
        <f>IF(H246="","",IF(O246&lt;=0,"Payée",IF(M246="","Pas encore livrée",IF(P246=0,"Non échue",IF(P246&gt;=Paramètres!$B$7,"Relance 3 : appel direction",IF(P246&gt;=Paramètres!$B$6,"Relance 2",IF(P246&gt;=Paramètres!$B$5,"Relance 1","Échue, relance à venir")))))))</f>
        <v/>
      </c>
      <c r="R246" s="25">
        <f>IF(B246="","",IF(U246=Paramètres!$B$4,"Relancé aujourd'hui",TRIM(IF(LEFT(Q246,7)="Relance",Q246&amp;" ","")&amp;IF(K246="En retard","· Prévenir du retard de livraison",""))))</f>
        <v/>
      </c>
      <c r="S246" s="28">
        <f>IF(B246="","",IF(LEFT(Q246,9)="Relance 3","Bonjour "&amp;D246&amp;", nous revenons vers vous au sujet de la commande "&amp;A246&amp;" du "&amp;TEXT(B246,"dd/mm/yyyy")&amp;" : "&amp;SUBSTITUTE(TEXT(O246,"#,##0"),","," ")&amp;" FCFA restent à régler depuis le "&amp;TEXT(M246,"dd/mm/yyyy")&amp;". Notre responsable souhaite vous appeler pour convenir ensemble d'une solution. Quel moment vous arrange cette semaine ? "&amp;Paramètres!$B$11&amp;", "&amp;Paramètres!$B$12,IF(LEFT(Q246,7)="Relance","Bonjour "&amp;D246&amp;", sauf erreur de notre part, la commande "&amp;A246&amp;" du "&amp;TEXT(B246,"dd/mm/yyyy")&amp;" ("&amp;E246&amp;") présente un reste à payer de "&amp;SUBSTITUTE(TEXT(O246,"#,##0"),","," ")&amp;" FCFA, échu depuis le "&amp;TEXT(M246,"dd/mm/yyyy")&amp;". Pouvez-vous nous indiquer la date de règlement prévue ? Si le paiement est déjà parti, merci de nous envoyer la preuve et ne tenez pas compte de ce message. "&amp;Paramètres!$B$11&amp;", "&amp;Paramètres!$B$12,IF(K246="En retard","Bonjour "&amp;D246&amp;", votre commande "&amp;A246&amp;" ("&amp;E246&amp;", "&amp;F246&amp;" pièces) prévue le "&amp;TEXT(I246,"dd/mm/yyyy")&amp;" a pris du retard. Nous vous confirmons la nouvelle date de livraison dans la journée. Toutes nos excuses pour ce contretemps. "&amp;Paramètres!$B$11&amp;", "&amp;Paramètres!$B$12,""))))</f>
        <v/>
      </c>
      <c r="T246" s="21" t="n"/>
      <c r="U246" s="26" t="n"/>
      <c r="V246" s="21" t="n"/>
    </row>
    <row r="247">
      <c r="A247" s="21" t="n"/>
      <c r="B247" s="26" t="n"/>
      <c r="C247" s="21" t="n"/>
      <c r="D247" s="25">
        <f>IF(C247="","",IFERROR(VLOOKUP(C247,Revendeurs!$A:$B,2,FALSE),"Code inconnu"))</f>
        <v/>
      </c>
      <c r="E247" s="21" t="n"/>
      <c r="F247" s="21" t="n"/>
      <c r="G247" s="22" t="n"/>
      <c r="H247" s="23">
        <f>IF(OR(F247="",G247=""),"",F247*G247)</f>
        <v/>
      </c>
      <c r="I247" s="26" t="n"/>
      <c r="J247" s="26" t="n"/>
      <c r="K247" s="25">
        <f>IF(B247="","",IF(J247&lt;&gt;"","Livrée",IF(I247="","À planifier",IF(Paramètres!$B$4&gt;I247+Paramètres!$B$8,"En retard","En cours"))))</f>
        <v/>
      </c>
      <c r="L247" s="25">
        <f>IF(K247="En retard",Paramètres!$B$4-I247,"")</f>
        <v/>
      </c>
      <c r="M247" s="27">
        <f>IF(OR(B247="",J247=""),"",J247+IFERROR(IF(VLOOKUP(C247,Revendeurs!$A:$G,7,FALSE)="",Paramètres!$B$9,VLOOKUP(C247,Revendeurs!$A:$G,7,FALSE)),Paramètres!$B$9))</f>
        <v/>
      </c>
      <c r="N247" s="22" t="n"/>
      <c r="O247" s="23">
        <f>IF(H247="","",H247-N247)</f>
        <v/>
      </c>
      <c r="P247" s="25">
        <f>IF(OR(M247="",O247=""),"",IF(O247&lt;=0,0,MAX(0,Paramètres!$B$4-M247)))</f>
        <v/>
      </c>
      <c r="Q247" s="25">
        <f>IF(H247="","",IF(O247&lt;=0,"Payée",IF(M247="","Pas encore livrée",IF(P247=0,"Non échue",IF(P247&gt;=Paramètres!$B$7,"Relance 3 : appel direction",IF(P247&gt;=Paramètres!$B$6,"Relance 2",IF(P247&gt;=Paramètres!$B$5,"Relance 1","Échue, relance à venir")))))))</f>
        <v/>
      </c>
      <c r="R247" s="25">
        <f>IF(B247="","",IF(U247=Paramètres!$B$4,"Relancé aujourd'hui",TRIM(IF(LEFT(Q247,7)="Relance",Q247&amp;" ","")&amp;IF(K247="En retard","· Prévenir du retard de livraison",""))))</f>
        <v/>
      </c>
      <c r="S247" s="28">
        <f>IF(B247="","",IF(LEFT(Q247,9)="Relance 3","Bonjour "&amp;D247&amp;", nous revenons vers vous au sujet de la commande "&amp;A247&amp;" du "&amp;TEXT(B247,"dd/mm/yyyy")&amp;" : "&amp;SUBSTITUTE(TEXT(O247,"#,##0"),","," ")&amp;" FCFA restent à régler depuis le "&amp;TEXT(M247,"dd/mm/yyyy")&amp;". Notre responsable souhaite vous appeler pour convenir ensemble d'une solution. Quel moment vous arrange cette semaine ? "&amp;Paramètres!$B$11&amp;", "&amp;Paramètres!$B$12,IF(LEFT(Q247,7)="Relance","Bonjour "&amp;D247&amp;", sauf erreur de notre part, la commande "&amp;A247&amp;" du "&amp;TEXT(B247,"dd/mm/yyyy")&amp;" ("&amp;E247&amp;") présente un reste à payer de "&amp;SUBSTITUTE(TEXT(O247,"#,##0"),","," ")&amp;" FCFA, échu depuis le "&amp;TEXT(M247,"dd/mm/yyyy")&amp;". Pouvez-vous nous indiquer la date de règlement prévue ? Si le paiement est déjà parti, merci de nous envoyer la preuve et ne tenez pas compte de ce message. "&amp;Paramètres!$B$11&amp;", "&amp;Paramètres!$B$12,IF(K247="En retard","Bonjour "&amp;D247&amp;", votre commande "&amp;A247&amp;" ("&amp;E247&amp;", "&amp;F247&amp;" pièces) prévue le "&amp;TEXT(I247,"dd/mm/yyyy")&amp;" a pris du retard. Nous vous confirmons la nouvelle date de livraison dans la journée. Toutes nos excuses pour ce contretemps. "&amp;Paramètres!$B$11&amp;", "&amp;Paramètres!$B$12,""))))</f>
        <v/>
      </c>
      <c r="T247" s="21" t="n"/>
      <c r="U247" s="26" t="n"/>
      <c r="V247" s="21" t="n"/>
    </row>
    <row r="248">
      <c r="A248" s="21" t="n"/>
      <c r="B248" s="26" t="n"/>
      <c r="C248" s="21" t="n"/>
      <c r="D248" s="25">
        <f>IF(C248="","",IFERROR(VLOOKUP(C248,Revendeurs!$A:$B,2,FALSE),"Code inconnu"))</f>
        <v/>
      </c>
      <c r="E248" s="21" t="n"/>
      <c r="F248" s="21" t="n"/>
      <c r="G248" s="22" t="n"/>
      <c r="H248" s="23">
        <f>IF(OR(F248="",G248=""),"",F248*G248)</f>
        <v/>
      </c>
      <c r="I248" s="26" t="n"/>
      <c r="J248" s="26" t="n"/>
      <c r="K248" s="25">
        <f>IF(B248="","",IF(J248&lt;&gt;"","Livrée",IF(I248="","À planifier",IF(Paramètres!$B$4&gt;I248+Paramètres!$B$8,"En retard","En cours"))))</f>
        <v/>
      </c>
      <c r="L248" s="25">
        <f>IF(K248="En retard",Paramètres!$B$4-I248,"")</f>
        <v/>
      </c>
      <c r="M248" s="27">
        <f>IF(OR(B248="",J248=""),"",J248+IFERROR(IF(VLOOKUP(C248,Revendeurs!$A:$G,7,FALSE)="",Paramètres!$B$9,VLOOKUP(C248,Revendeurs!$A:$G,7,FALSE)),Paramètres!$B$9))</f>
        <v/>
      </c>
      <c r="N248" s="22" t="n"/>
      <c r="O248" s="23">
        <f>IF(H248="","",H248-N248)</f>
        <v/>
      </c>
      <c r="P248" s="25">
        <f>IF(OR(M248="",O248=""),"",IF(O248&lt;=0,0,MAX(0,Paramètres!$B$4-M248)))</f>
        <v/>
      </c>
      <c r="Q248" s="25">
        <f>IF(H248="","",IF(O248&lt;=0,"Payée",IF(M248="","Pas encore livrée",IF(P248=0,"Non échue",IF(P248&gt;=Paramètres!$B$7,"Relance 3 : appel direction",IF(P248&gt;=Paramètres!$B$6,"Relance 2",IF(P248&gt;=Paramètres!$B$5,"Relance 1","Échue, relance à venir")))))))</f>
        <v/>
      </c>
      <c r="R248" s="25">
        <f>IF(B248="","",IF(U248=Paramètres!$B$4,"Relancé aujourd'hui",TRIM(IF(LEFT(Q248,7)="Relance",Q248&amp;" ","")&amp;IF(K248="En retard","· Prévenir du retard de livraison",""))))</f>
        <v/>
      </c>
      <c r="S248" s="28">
        <f>IF(B248="","",IF(LEFT(Q248,9)="Relance 3","Bonjour "&amp;D248&amp;", nous revenons vers vous au sujet de la commande "&amp;A248&amp;" du "&amp;TEXT(B248,"dd/mm/yyyy")&amp;" : "&amp;SUBSTITUTE(TEXT(O248,"#,##0"),","," ")&amp;" FCFA restent à régler depuis le "&amp;TEXT(M248,"dd/mm/yyyy")&amp;". Notre responsable souhaite vous appeler pour convenir ensemble d'une solution. Quel moment vous arrange cette semaine ? "&amp;Paramètres!$B$11&amp;", "&amp;Paramètres!$B$12,IF(LEFT(Q248,7)="Relance","Bonjour "&amp;D248&amp;", sauf erreur de notre part, la commande "&amp;A248&amp;" du "&amp;TEXT(B248,"dd/mm/yyyy")&amp;" ("&amp;E248&amp;") présente un reste à payer de "&amp;SUBSTITUTE(TEXT(O248,"#,##0"),","," ")&amp;" FCFA, échu depuis le "&amp;TEXT(M248,"dd/mm/yyyy")&amp;". Pouvez-vous nous indiquer la date de règlement prévue ? Si le paiement est déjà parti, merci de nous envoyer la preuve et ne tenez pas compte de ce message. "&amp;Paramètres!$B$11&amp;", "&amp;Paramètres!$B$12,IF(K248="En retard","Bonjour "&amp;D248&amp;", votre commande "&amp;A248&amp;" ("&amp;E248&amp;", "&amp;F248&amp;" pièces) prévue le "&amp;TEXT(I248,"dd/mm/yyyy")&amp;" a pris du retard. Nous vous confirmons la nouvelle date de livraison dans la journée. Toutes nos excuses pour ce contretemps. "&amp;Paramètres!$B$11&amp;", "&amp;Paramètres!$B$12,""))))</f>
        <v/>
      </c>
      <c r="T248" s="21" t="n"/>
      <c r="U248" s="26" t="n"/>
      <c r="V248" s="21" t="n"/>
    </row>
    <row r="249">
      <c r="A249" s="21" t="n"/>
      <c r="B249" s="26" t="n"/>
      <c r="C249" s="21" t="n"/>
      <c r="D249" s="25">
        <f>IF(C249="","",IFERROR(VLOOKUP(C249,Revendeurs!$A:$B,2,FALSE),"Code inconnu"))</f>
        <v/>
      </c>
      <c r="E249" s="21" t="n"/>
      <c r="F249" s="21" t="n"/>
      <c r="G249" s="22" t="n"/>
      <c r="H249" s="23">
        <f>IF(OR(F249="",G249=""),"",F249*G249)</f>
        <v/>
      </c>
      <c r="I249" s="26" t="n"/>
      <c r="J249" s="26" t="n"/>
      <c r="K249" s="25">
        <f>IF(B249="","",IF(J249&lt;&gt;"","Livrée",IF(I249="","À planifier",IF(Paramètres!$B$4&gt;I249+Paramètres!$B$8,"En retard","En cours"))))</f>
        <v/>
      </c>
      <c r="L249" s="25">
        <f>IF(K249="En retard",Paramètres!$B$4-I249,"")</f>
        <v/>
      </c>
      <c r="M249" s="27">
        <f>IF(OR(B249="",J249=""),"",J249+IFERROR(IF(VLOOKUP(C249,Revendeurs!$A:$G,7,FALSE)="",Paramètres!$B$9,VLOOKUP(C249,Revendeurs!$A:$G,7,FALSE)),Paramètres!$B$9))</f>
        <v/>
      </c>
      <c r="N249" s="22" t="n"/>
      <c r="O249" s="23">
        <f>IF(H249="","",H249-N249)</f>
        <v/>
      </c>
      <c r="P249" s="25">
        <f>IF(OR(M249="",O249=""),"",IF(O249&lt;=0,0,MAX(0,Paramètres!$B$4-M249)))</f>
        <v/>
      </c>
      <c r="Q249" s="25">
        <f>IF(H249="","",IF(O249&lt;=0,"Payée",IF(M249="","Pas encore livrée",IF(P249=0,"Non échue",IF(P249&gt;=Paramètres!$B$7,"Relance 3 : appel direction",IF(P249&gt;=Paramètres!$B$6,"Relance 2",IF(P249&gt;=Paramètres!$B$5,"Relance 1","Échue, relance à venir")))))))</f>
        <v/>
      </c>
      <c r="R249" s="25">
        <f>IF(B249="","",IF(U249=Paramètres!$B$4,"Relancé aujourd'hui",TRIM(IF(LEFT(Q249,7)="Relance",Q249&amp;" ","")&amp;IF(K249="En retard","· Prévenir du retard de livraison",""))))</f>
        <v/>
      </c>
      <c r="S249" s="28">
        <f>IF(B249="","",IF(LEFT(Q249,9)="Relance 3","Bonjour "&amp;D249&amp;", nous revenons vers vous au sujet de la commande "&amp;A249&amp;" du "&amp;TEXT(B249,"dd/mm/yyyy")&amp;" : "&amp;SUBSTITUTE(TEXT(O249,"#,##0"),","," ")&amp;" FCFA restent à régler depuis le "&amp;TEXT(M249,"dd/mm/yyyy")&amp;". Notre responsable souhaite vous appeler pour convenir ensemble d'une solution. Quel moment vous arrange cette semaine ? "&amp;Paramètres!$B$11&amp;", "&amp;Paramètres!$B$12,IF(LEFT(Q249,7)="Relance","Bonjour "&amp;D249&amp;", sauf erreur de notre part, la commande "&amp;A249&amp;" du "&amp;TEXT(B249,"dd/mm/yyyy")&amp;" ("&amp;E249&amp;") présente un reste à payer de "&amp;SUBSTITUTE(TEXT(O249,"#,##0"),","," ")&amp;" FCFA, échu depuis le "&amp;TEXT(M249,"dd/mm/yyyy")&amp;". Pouvez-vous nous indiquer la date de règlement prévue ? Si le paiement est déjà parti, merci de nous envoyer la preuve et ne tenez pas compte de ce message. "&amp;Paramètres!$B$11&amp;", "&amp;Paramètres!$B$12,IF(K249="En retard","Bonjour "&amp;D249&amp;", votre commande "&amp;A249&amp;" ("&amp;E249&amp;", "&amp;F249&amp;" pièces) prévue le "&amp;TEXT(I249,"dd/mm/yyyy")&amp;" a pris du retard. Nous vous confirmons la nouvelle date de livraison dans la journée. Toutes nos excuses pour ce contretemps. "&amp;Paramètres!$B$11&amp;", "&amp;Paramètres!$B$12,""))))</f>
        <v/>
      </c>
      <c r="T249" s="21" t="n"/>
      <c r="U249" s="26" t="n"/>
      <c r="V249" s="21" t="n"/>
    </row>
    <row r="250">
      <c r="A250" s="21" t="n"/>
      <c r="B250" s="26" t="n"/>
      <c r="C250" s="21" t="n"/>
      <c r="D250" s="25">
        <f>IF(C250="","",IFERROR(VLOOKUP(C250,Revendeurs!$A:$B,2,FALSE),"Code inconnu"))</f>
        <v/>
      </c>
      <c r="E250" s="21" t="n"/>
      <c r="F250" s="21" t="n"/>
      <c r="G250" s="22" t="n"/>
      <c r="H250" s="23">
        <f>IF(OR(F250="",G250=""),"",F250*G250)</f>
        <v/>
      </c>
      <c r="I250" s="26" t="n"/>
      <c r="J250" s="26" t="n"/>
      <c r="K250" s="25">
        <f>IF(B250="","",IF(J250&lt;&gt;"","Livrée",IF(I250="","À planifier",IF(Paramètres!$B$4&gt;I250+Paramètres!$B$8,"En retard","En cours"))))</f>
        <v/>
      </c>
      <c r="L250" s="25">
        <f>IF(K250="En retard",Paramètres!$B$4-I250,"")</f>
        <v/>
      </c>
      <c r="M250" s="27">
        <f>IF(OR(B250="",J250=""),"",J250+IFERROR(IF(VLOOKUP(C250,Revendeurs!$A:$G,7,FALSE)="",Paramètres!$B$9,VLOOKUP(C250,Revendeurs!$A:$G,7,FALSE)),Paramètres!$B$9))</f>
        <v/>
      </c>
      <c r="N250" s="22" t="n"/>
      <c r="O250" s="23">
        <f>IF(H250="","",H250-N250)</f>
        <v/>
      </c>
      <c r="P250" s="25">
        <f>IF(OR(M250="",O250=""),"",IF(O250&lt;=0,0,MAX(0,Paramètres!$B$4-M250)))</f>
        <v/>
      </c>
      <c r="Q250" s="25">
        <f>IF(H250="","",IF(O250&lt;=0,"Payée",IF(M250="","Pas encore livrée",IF(P250=0,"Non échue",IF(P250&gt;=Paramètres!$B$7,"Relance 3 : appel direction",IF(P250&gt;=Paramètres!$B$6,"Relance 2",IF(P250&gt;=Paramètres!$B$5,"Relance 1","Échue, relance à venir")))))))</f>
        <v/>
      </c>
      <c r="R250" s="25">
        <f>IF(B250="","",IF(U250=Paramètres!$B$4,"Relancé aujourd'hui",TRIM(IF(LEFT(Q250,7)="Relance",Q250&amp;" ","")&amp;IF(K250="En retard","· Prévenir du retard de livraison",""))))</f>
        <v/>
      </c>
      <c r="S250" s="28">
        <f>IF(B250="","",IF(LEFT(Q250,9)="Relance 3","Bonjour "&amp;D250&amp;", nous revenons vers vous au sujet de la commande "&amp;A250&amp;" du "&amp;TEXT(B250,"dd/mm/yyyy")&amp;" : "&amp;SUBSTITUTE(TEXT(O250,"#,##0"),","," ")&amp;" FCFA restent à régler depuis le "&amp;TEXT(M250,"dd/mm/yyyy")&amp;". Notre responsable souhaite vous appeler pour convenir ensemble d'une solution. Quel moment vous arrange cette semaine ? "&amp;Paramètres!$B$11&amp;", "&amp;Paramètres!$B$12,IF(LEFT(Q250,7)="Relance","Bonjour "&amp;D250&amp;", sauf erreur de notre part, la commande "&amp;A250&amp;" du "&amp;TEXT(B250,"dd/mm/yyyy")&amp;" ("&amp;E250&amp;") présente un reste à payer de "&amp;SUBSTITUTE(TEXT(O250,"#,##0"),","," ")&amp;" FCFA, échu depuis le "&amp;TEXT(M250,"dd/mm/yyyy")&amp;". Pouvez-vous nous indiquer la date de règlement prévue ? Si le paiement est déjà parti, merci de nous envoyer la preuve et ne tenez pas compte de ce message. "&amp;Paramètres!$B$11&amp;", "&amp;Paramètres!$B$12,IF(K250="En retard","Bonjour "&amp;D250&amp;", votre commande "&amp;A250&amp;" ("&amp;E250&amp;", "&amp;F250&amp;" pièces) prévue le "&amp;TEXT(I250,"dd/mm/yyyy")&amp;" a pris du retard. Nous vous confirmons la nouvelle date de livraison dans la journée. Toutes nos excuses pour ce contretemps. "&amp;Paramètres!$B$11&amp;", "&amp;Paramètres!$B$12,""))))</f>
        <v/>
      </c>
      <c r="T250" s="21" t="n"/>
      <c r="U250" s="26" t="n"/>
      <c r="V250" s="21" t="n"/>
    </row>
    <row r="251">
      <c r="A251" s="21" t="n"/>
      <c r="B251" s="26" t="n"/>
      <c r="C251" s="21" t="n"/>
      <c r="D251" s="25">
        <f>IF(C251="","",IFERROR(VLOOKUP(C251,Revendeurs!$A:$B,2,FALSE),"Code inconnu"))</f>
        <v/>
      </c>
      <c r="E251" s="21" t="n"/>
      <c r="F251" s="21" t="n"/>
      <c r="G251" s="22" t="n"/>
      <c r="H251" s="23">
        <f>IF(OR(F251="",G251=""),"",F251*G251)</f>
        <v/>
      </c>
      <c r="I251" s="26" t="n"/>
      <c r="J251" s="26" t="n"/>
      <c r="K251" s="25">
        <f>IF(B251="","",IF(J251&lt;&gt;"","Livrée",IF(I251="","À planifier",IF(Paramètres!$B$4&gt;I251+Paramètres!$B$8,"En retard","En cours"))))</f>
        <v/>
      </c>
      <c r="L251" s="25">
        <f>IF(K251="En retard",Paramètres!$B$4-I251,"")</f>
        <v/>
      </c>
      <c r="M251" s="27">
        <f>IF(OR(B251="",J251=""),"",J251+IFERROR(IF(VLOOKUP(C251,Revendeurs!$A:$G,7,FALSE)="",Paramètres!$B$9,VLOOKUP(C251,Revendeurs!$A:$G,7,FALSE)),Paramètres!$B$9))</f>
        <v/>
      </c>
      <c r="N251" s="22" t="n"/>
      <c r="O251" s="23">
        <f>IF(H251="","",H251-N251)</f>
        <v/>
      </c>
      <c r="P251" s="25">
        <f>IF(OR(M251="",O251=""),"",IF(O251&lt;=0,0,MAX(0,Paramètres!$B$4-M251)))</f>
        <v/>
      </c>
      <c r="Q251" s="25">
        <f>IF(H251="","",IF(O251&lt;=0,"Payée",IF(M251="","Pas encore livrée",IF(P251=0,"Non échue",IF(P251&gt;=Paramètres!$B$7,"Relance 3 : appel direction",IF(P251&gt;=Paramètres!$B$6,"Relance 2",IF(P251&gt;=Paramètres!$B$5,"Relance 1","Échue, relance à venir")))))))</f>
        <v/>
      </c>
      <c r="R251" s="25">
        <f>IF(B251="","",IF(U251=Paramètres!$B$4,"Relancé aujourd'hui",TRIM(IF(LEFT(Q251,7)="Relance",Q251&amp;" ","")&amp;IF(K251="En retard","· Prévenir du retard de livraison",""))))</f>
        <v/>
      </c>
      <c r="S251" s="28">
        <f>IF(B251="","",IF(LEFT(Q251,9)="Relance 3","Bonjour "&amp;D251&amp;", nous revenons vers vous au sujet de la commande "&amp;A251&amp;" du "&amp;TEXT(B251,"dd/mm/yyyy")&amp;" : "&amp;SUBSTITUTE(TEXT(O251,"#,##0"),","," ")&amp;" FCFA restent à régler depuis le "&amp;TEXT(M251,"dd/mm/yyyy")&amp;". Notre responsable souhaite vous appeler pour convenir ensemble d'une solution. Quel moment vous arrange cette semaine ? "&amp;Paramètres!$B$11&amp;", "&amp;Paramètres!$B$12,IF(LEFT(Q251,7)="Relance","Bonjour "&amp;D251&amp;", sauf erreur de notre part, la commande "&amp;A251&amp;" du "&amp;TEXT(B251,"dd/mm/yyyy")&amp;" ("&amp;E251&amp;") présente un reste à payer de "&amp;SUBSTITUTE(TEXT(O251,"#,##0"),","," ")&amp;" FCFA, échu depuis le "&amp;TEXT(M251,"dd/mm/yyyy")&amp;". Pouvez-vous nous indiquer la date de règlement prévue ? Si le paiement est déjà parti, merci de nous envoyer la preuve et ne tenez pas compte de ce message. "&amp;Paramètres!$B$11&amp;", "&amp;Paramètres!$B$12,IF(K251="En retard","Bonjour "&amp;D251&amp;", votre commande "&amp;A251&amp;" ("&amp;E251&amp;", "&amp;F251&amp;" pièces) prévue le "&amp;TEXT(I251,"dd/mm/yyyy")&amp;" a pris du retard. Nous vous confirmons la nouvelle date de livraison dans la journée. Toutes nos excuses pour ce contretemps. "&amp;Paramètres!$B$11&amp;", "&amp;Paramètres!$B$12,""))))</f>
        <v/>
      </c>
      <c r="T251" s="21" t="n"/>
      <c r="U251" s="26" t="n"/>
      <c r="V251" s="21" t="n"/>
    </row>
    <row r="252">
      <c r="A252" s="21" t="n"/>
      <c r="B252" s="26" t="n"/>
      <c r="C252" s="21" t="n"/>
      <c r="D252" s="25">
        <f>IF(C252="","",IFERROR(VLOOKUP(C252,Revendeurs!$A:$B,2,FALSE),"Code inconnu"))</f>
        <v/>
      </c>
      <c r="E252" s="21" t="n"/>
      <c r="F252" s="21" t="n"/>
      <c r="G252" s="22" t="n"/>
      <c r="H252" s="23">
        <f>IF(OR(F252="",G252=""),"",F252*G252)</f>
        <v/>
      </c>
      <c r="I252" s="26" t="n"/>
      <c r="J252" s="26" t="n"/>
      <c r="K252" s="25">
        <f>IF(B252="","",IF(J252&lt;&gt;"","Livrée",IF(I252="","À planifier",IF(Paramètres!$B$4&gt;I252+Paramètres!$B$8,"En retard","En cours"))))</f>
        <v/>
      </c>
      <c r="L252" s="25">
        <f>IF(K252="En retard",Paramètres!$B$4-I252,"")</f>
        <v/>
      </c>
      <c r="M252" s="27">
        <f>IF(OR(B252="",J252=""),"",J252+IFERROR(IF(VLOOKUP(C252,Revendeurs!$A:$G,7,FALSE)="",Paramètres!$B$9,VLOOKUP(C252,Revendeurs!$A:$G,7,FALSE)),Paramètres!$B$9))</f>
        <v/>
      </c>
      <c r="N252" s="22" t="n"/>
      <c r="O252" s="23">
        <f>IF(H252="","",H252-N252)</f>
        <v/>
      </c>
      <c r="P252" s="25">
        <f>IF(OR(M252="",O252=""),"",IF(O252&lt;=0,0,MAX(0,Paramètres!$B$4-M252)))</f>
        <v/>
      </c>
      <c r="Q252" s="25">
        <f>IF(H252="","",IF(O252&lt;=0,"Payée",IF(M252="","Pas encore livrée",IF(P252=0,"Non échue",IF(P252&gt;=Paramètres!$B$7,"Relance 3 : appel direction",IF(P252&gt;=Paramètres!$B$6,"Relance 2",IF(P252&gt;=Paramètres!$B$5,"Relance 1","Échue, relance à venir")))))))</f>
        <v/>
      </c>
      <c r="R252" s="25">
        <f>IF(B252="","",IF(U252=Paramètres!$B$4,"Relancé aujourd'hui",TRIM(IF(LEFT(Q252,7)="Relance",Q252&amp;" ","")&amp;IF(K252="En retard","· Prévenir du retard de livraison",""))))</f>
        <v/>
      </c>
      <c r="S252" s="28">
        <f>IF(B252="","",IF(LEFT(Q252,9)="Relance 3","Bonjour "&amp;D252&amp;", nous revenons vers vous au sujet de la commande "&amp;A252&amp;" du "&amp;TEXT(B252,"dd/mm/yyyy")&amp;" : "&amp;SUBSTITUTE(TEXT(O252,"#,##0"),","," ")&amp;" FCFA restent à régler depuis le "&amp;TEXT(M252,"dd/mm/yyyy")&amp;". Notre responsable souhaite vous appeler pour convenir ensemble d'une solution. Quel moment vous arrange cette semaine ? "&amp;Paramètres!$B$11&amp;", "&amp;Paramètres!$B$12,IF(LEFT(Q252,7)="Relance","Bonjour "&amp;D252&amp;", sauf erreur de notre part, la commande "&amp;A252&amp;" du "&amp;TEXT(B252,"dd/mm/yyyy")&amp;" ("&amp;E252&amp;") présente un reste à payer de "&amp;SUBSTITUTE(TEXT(O252,"#,##0"),","," ")&amp;" FCFA, échu depuis le "&amp;TEXT(M252,"dd/mm/yyyy")&amp;". Pouvez-vous nous indiquer la date de règlement prévue ? Si le paiement est déjà parti, merci de nous envoyer la preuve et ne tenez pas compte de ce message. "&amp;Paramètres!$B$11&amp;", "&amp;Paramètres!$B$12,IF(K252="En retard","Bonjour "&amp;D252&amp;", votre commande "&amp;A252&amp;" ("&amp;E252&amp;", "&amp;F252&amp;" pièces) prévue le "&amp;TEXT(I252,"dd/mm/yyyy")&amp;" a pris du retard. Nous vous confirmons la nouvelle date de livraison dans la journée. Toutes nos excuses pour ce contretemps. "&amp;Paramètres!$B$11&amp;", "&amp;Paramètres!$B$12,""))))</f>
        <v/>
      </c>
      <c r="T252" s="21" t="n"/>
      <c r="U252" s="26" t="n"/>
      <c r="V252" s="21" t="n"/>
    </row>
    <row r="253">
      <c r="A253" s="21" t="n"/>
      <c r="B253" s="26" t="n"/>
      <c r="C253" s="21" t="n"/>
      <c r="D253" s="25">
        <f>IF(C253="","",IFERROR(VLOOKUP(C253,Revendeurs!$A:$B,2,FALSE),"Code inconnu"))</f>
        <v/>
      </c>
      <c r="E253" s="21" t="n"/>
      <c r="F253" s="21" t="n"/>
      <c r="G253" s="22" t="n"/>
      <c r="H253" s="23">
        <f>IF(OR(F253="",G253=""),"",F253*G253)</f>
        <v/>
      </c>
      <c r="I253" s="26" t="n"/>
      <c r="J253" s="26" t="n"/>
      <c r="K253" s="25">
        <f>IF(B253="","",IF(J253&lt;&gt;"","Livrée",IF(I253="","À planifier",IF(Paramètres!$B$4&gt;I253+Paramètres!$B$8,"En retard","En cours"))))</f>
        <v/>
      </c>
      <c r="L253" s="25">
        <f>IF(K253="En retard",Paramètres!$B$4-I253,"")</f>
        <v/>
      </c>
      <c r="M253" s="27">
        <f>IF(OR(B253="",J253=""),"",J253+IFERROR(IF(VLOOKUP(C253,Revendeurs!$A:$G,7,FALSE)="",Paramètres!$B$9,VLOOKUP(C253,Revendeurs!$A:$G,7,FALSE)),Paramètres!$B$9))</f>
        <v/>
      </c>
      <c r="N253" s="22" t="n"/>
      <c r="O253" s="23">
        <f>IF(H253="","",H253-N253)</f>
        <v/>
      </c>
      <c r="P253" s="25">
        <f>IF(OR(M253="",O253=""),"",IF(O253&lt;=0,0,MAX(0,Paramètres!$B$4-M253)))</f>
        <v/>
      </c>
      <c r="Q253" s="25">
        <f>IF(H253="","",IF(O253&lt;=0,"Payée",IF(M253="","Pas encore livrée",IF(P253=0,"Non échue",IF(P253&gt;=Paramètres!$B$7,"Relance 3 : appel direction",IF(P253&gt;=Paramètres!$B$6,"Relance 2",IF(P253&gt;=Paramètres!$B$5,"Relance 1","Échue, relance à venir")))))))</f>
        <v/>
      </c>
      <c r="R253" s="25">
        <f>IF(B253="","",IF(U253=Paramètres!$B$4,"Relancé aujourd'hui",TRIM(IF(LEFT(Q253,7)="Relance",Q253&amp;" ","")&amp;IF(K253="En retard","· Prévenir du retard de livraison",""))))</f>
        <v/>
      </c>
      <c r="S253" s="28">
        <f>IF(B253="","",IF(LEFT(Q253,9)="Relance 3","Bonjour "&amp;D253&amp;", nous revenons vers vous au sujet de la commande "&amp;A253&amp;" du "&amp;TEXT(B253,"dd/mm/yyyy")&amp;" : "&amp;SUBSTITUTE(TEXT(O253,"#,##0"),","," ")&amp;" FCFA restent à régler depuis le "&amp;TEXT(M253,"dd/mm/yyyy")&amp;". Notre responsable souhaite vous appeler pour convenir ensemble d'une solution. Quel moment vous arrange cette semaine ? "&amp;Paramètres!$B$11&amp;", "&amp;Paramètres!$B$12,IF(LEFT(Q253,7)="Relance","Bonjour "&amp;D253&amp;", sauf erreur de notre part, la commande "&amp;A253&amp;" du "&amp;TEXT(B253,"dd/mm/yyyy")&amp;" ("&amp;E253&amp;") présente un reste à payer de "&amp;SUBSTITUTE(TEXT(O253,"#,##0"),","," ")&amp;" FCFA, échu depuis le "&amp;TEXT(M253,"dd/mm/yyyy")&amp;". Pouvez-vous nous indiquer la date de règlement prévue ? Si le paiement est déjà parti, merci de nous envoyer la preuve et ne tenez pas compte de ce message. "&amp;Paramètres!$B$11&amp;", "&amp;Paramètres!$B$12,IF(K253="En retard","Bonjour "&amp;D253&amp;", votre commande "&amp;A253&amp;" ("&amp;E253&amp;", "&amp;F253&amp;" pièces) prévue le "&amp;TEXT(I253,"dd/mm/yyyy")&amp;" a pris du retard. Nous vous confirmons la nouvelle date de livraison dans la journée. Toutes nos excuses pour ce contretemps. "&amp;Paramètres!$B$11&amp;", "&amp;Paramètres!$B$12,""))))</f>
        <v/>
      </c>
      <c r="T253" s="21" t="n"/>
      <c r="U253" s="26" t="n"/>
      <c r="V253" s="21" t="n"/>
    </row>
    <row r="254">
      <c r="A254" s="21" t="n"/>
      <c r="B254" s="26" t="n"/>
      <c r="C254" s="21" t="n"/>
      <c r="D254" s="25">
        <f>IF(C254="","",IFERROR(VLOOKUP(C254,Revendeurs!$A:$B,2,FALSE),"Code inconnu"))</f>
        <v/>
      </c>
      <c r="E254" s="21" t="n"/>
      <c r="F254" s="21" t="n"/>
      <c r="G254" s="22" t="n"/>
      <c r="H254" s="23">
        <f>IF(OR(F254="",G254=""),"",F254*G254)</f>
        <v/>
      </c>
      <c r="I254" s="26" t="n"/>
      <c r="J254" s="26" t="n"/>
      <c r="K254" s="25">
        <f>IF(B254="","",IF(J254&lt;&gt;"","Livrée",IF(I254="","À planifier",IF(Paramètres!$B$4&gt;I254+Paramètres!$B$8,"En retard","En cours"))))</f>
        <v/>
      </c>
      <c r="L254" s="25">
        <f>IF(K254="En retard",Paramètres!$B$4-I254,"")</f>
        <v/>
      </c>
      <c r="M254" s="27">
        <f>IF(OR(B254="",J254=""),"",J254+IFERROR(IF(VLOOKUP(C254,Revendeurs!$A:$G,7,FALSE)="",Paramètres!$B$9,VLOOKUP(C254,Revendeurs!$A:$G,7,FALSE)),Paramètres!$B$9))</f>
        <v/>
      </c>
      <c r="N254" s="22" t="n"/>
      <c r="O254" s="23">
        <f>IF(H254="","",H254-N254)</f>
        <v/>
      </c>
      <c r="P254" s="25">
        <f>IF(OR(M254="",O254=""),"",IF(O254&lt;=0,0,MAX(0,Paramètres!$B$4-M254)))</f>
        <v/>
      </c>
      <c r="Q254" s="25">
        <f>IF(H254="","",IF(O254&lt;=0,"Payée",IF(M254="","Pas encore livrée",IF(P254=0,"Non échue",IF(P254&gt;=Paramètres!$B$7,"Relance 3 : appel direction",IF(P254&gt;=Paramètres!$B$6,"Relance 2",IF(P254&gt;=Paramètres!$B$5,"Relance 1","Échue, relance à venir")))))))</f>
        <v/>
      </c>
      <c r="R254" s="25">
        <f>IF(B254="","",IF(U254=Paramètres!$B$4,"Relancé aujourd'hui",TRIM(IF(LEFT(Q254,7)="Relance",Q254&amp;" ","")&amp;IF(K254="En retard","· Prévenir du retard de livraison",""))))</f>
        <v/>
      </c>
      <c r="S254" s="28">
        <f>IF(B254="","",IF(LEFT(Q254,9)="Relance 3","Bonjour "&amp;D254&amp;", nous revenons vers vous au sujet de la commande "&amp;A254&amp;" du "&amp;TEXT(B254,"dd/mm/yyyy")&amp;" : "&amp;SUBSTITUTE(TEXT(O254,"#,##0"),","," ")&amp;" FCFA restent à régler depuis le "&amp;TEXT(M254,"dd/mm/yyyy")&amp;". Notre responsable souhaite vous appeler pour convenir ensemble d'une solution. Quel moment vous arrange cette semaine ? "&amp;Paramètres!$B$11&amp;", "&amp;Paramètres!$B$12,IF(LEFT(Q254,7)="Relance","Bonjour "&amp;D254&amp;", sauf erreur de notre part, la commande "&amp;A254&amp;" du "&amp;TEXT(B254,"dd/mm/yyyy")&amp;" ("&amp;E254&amp;") présente un reste à payer de "&amp;SUBSTITUTE(TEXT(O254,"#,##0"),","," ")&amp;" FCFA, échu depuis le "&amp;TEXT(M254,"dd/mm/yyyy")&amp;". Pouvez-vous nous indiquer la date de règlement prévue ? Si le paiement est déjà parti, merci de nous envoyer la preuve et ne tenez pas compte de ce message. "&amp;Paramètres!$B$11&amp;", "&amp;Paramètres!$B$12,IF(K254="En retard","Bonjour "&amp;D254&amp;", votre commande "&amp;A254&amp;" ("&amp;E254&amp;", "&amp;F254&amp;" pièces) prévue le "&amp;TEXT(I254,"dd/mm/yyyy")&amp;" a pris du retard. Nous vous confirmons la nouvelle date de livraison dans la journée. Toutes nos excuses pour ce contretemps. "&amp;Paramètres!$B$11&amp;", "&amp;Paramètres!$B$12,""))))</f>
        <v/>
      </c>
      <c r="T254" s="21" t="n"/>
      <c r="U254" s="26" t="n"/>
      <c r="V254" s="21" t="n"/>
    </row>
    <row r="255">
      <c r="A255" s="21" t="n"/>
      <c r="B255" s="26" t="n"/>
      <c r="C255" s="21" t="n"/>
      <c r="D255" s="25">
        <f>IF(C255="","",IFERROR(VLOOKUP(C255,Revendeurs!$A:$B,2,FALSE),"Code inconnu"))</f>
        <v/>
      </c>
      <c r="E255" s="21" t="n"/>
      <c r="F255" s="21" t="n"/>
      <c r="G255" s="22" t="n"/>
      <c r="H255" s="23">
        <f>IF(OR(F255="",G255=""),"",F255*G255)</f>
        <v/>
      </c>
      <c r="I255" s="26" t="n"/>
      <c r="J255" s="26" t="n"/>
      <c r="K255" s="25">
        <f>IF(B255="","",IF(J255&lt;&gt;"","Livrée",IF(I255="","À planifier",IF(Paramètres!$B$4&gt;I255+Paramètres!$B$8,"En retard","En cours"))))</f>
        <v/>
      </c>
      <c r="L255" s="25">
        <f>IF(K255="En retard",Paramètres!$B$4-I255,"")</f>
        <v/>
      </c>
      <c r="M255" s="27">
        <f>IF(OR(B255="",J255=""),"",J255+IFERROR(IF(VLOOKUP(C255,Revendeurs!$A:$G,7,FALSE)="",Paramètres!$B$9,VLOOKUP(C255,Revendeurs!$A:$G,7,FALSE)),Paramètres!$B$9))</f>
        <v/>
      </c>
      <c r="N255" s="22" t="n"/>
      <c r="O255" s="23">
        <f>IF(H255="","",H255-N255)</f>
        <v/>
      </c>
      <c r="P255" s="25">
        <f>IF(OR(M255="",O255=""),"",IF(O255&lt;=0,0,MAX(0,Paramètres!$B$4-M255)))</f>
        <v/>
      </c>
      <c r="Q255" s="25">
        <f>IF(H255="","",IF(O255&lt;=0,"Payée",IF(M255="","Pas encore livrée",IF(P255=0,"Non échue",IF(P255&gt;=Paramètres!$B$7,"Relance 3 : appel direction",IF(P255&gt;=Paramètres!$B$6,"Relance 2",IF(P255&gt;=Paramètres!$B$5,"Relance 1","Échue, relance à venir")))))))</f>
        <v/>
      </c>
      <c r="R255" s="25">
        <f>IF(B255="","",IF(U255=Paramètres!$B$4,"Relancé aujourd'hui",TRIM(IF(LEFT(Q255,7)="Relance",Q255&amp;" ","")&amp;IF(K255="En retard","· Prévenir du retard de livraison",""))))</f>
        <v/>
      </c>
      <c r="S255" s="28">
        <f>IF(B255="","",IF(LEFT(Q255,9)="Relance 3","Bonjour "&amp;D255&amp;", nous revenons vers vous au sujet de la commande "&amp;A255&amp;" du "&amp;TEXT(B255,"dd/mm/yyyy")&amp;" : "&amp;SUBSTITUTE(TEXT(O255,"#,##0"),","," ")&amp;" FCFA restent à régler depuis le "&amp;TEXT(M255,"dd/mm/yyyy")&amp;". Notre responsable souhaite vous appeler pour convenir ensemble d'une solution. Quel moment vous arrange cette semaine ? "&amp;Paramètres!$B$11&amp;", "&amp;Paramètres!$B$12,IF(LEFT(Q255,7)="Relance","Bonjour "&amp;D255&amp;", sauf erreur de notre part, la commande "&amp;A255&amp;" du "&amp;TEXT(B255,"dd/mm/yyyy")&amp;" ("&amp;E255&amp;") présente un reste à payer de "&amp;SUBSTITUTE(TEXT(O255,"#,##0"),","," ")&amp;" FCFA, échu depuis le "&amp;TEXT(M255,"dd/mm/yyyy")&amp;". Pouvez-vous nous indiquer la date de règlement prévue ? Si le paiement est déjà parti, merci de nous envoyer la preuve et ne tenez pas compte de ce message. "&amp;Paramètres!$B$11&amp;", "&amp;Paramètres!$B$12,IF(K255="En retard","Bonjour "&amp;D255&amp;", votre commande "&amp;A255&amp;" ("&amp;E255&amp;", "&amp;F255&amp;" pièces) prévue le "&amp;TEXT(I255,"dd/mm/yyyy")&amp;" a pris du retard. Nous vous confirmons la nouvelle date de livraison dans la journée. Toutes nos excuses pour ce contretemps. "&amp;Paramètres!$B$11&amp;", "&amp;Paramètres!$B$12,""))))</f>
        <v/>
      </c>
      <c r="T255" s="21" t="n"/>
      <c r="U255" s="26" t="n"/>
      <c r="V255" s="21" t="n"/>
    </row>
    <row r="256">
      <c r="A256" s="21" t="n"/>
      <c r="B256" s="26" t="n"/>
      <c r="C256" s="21" t="n"/>
      <c r="D256" s="25">
        <f>IF(C256="","",IFERROR(VLOOKUP(C256,Revendeurs!$A:$B,2,FALSE),"Code inconnu"))</f>
        <v/>
      </c>
      <c r="E256" s="21" t="n"/>
      <c r="F256" s="21" t="n"/>
      <c r="G256" s="22" t="n"/>
      <c r="H256" s="23">
        <f>IF(OR(F256="",G256=""),"",F256*G256)</f>
        <v/>
      </c>
      <c r="I256" s="26" t="n"/>
      <c r="J256" s="26" t="n"/>
      <c r="K256" s="25">
        <f>IF(B256="","",IF(J256&lt;&gt;"","Livrée",IF(I256="","À planifier",IF(Paramètres!$B$4&gt;I256+Paramètres!$B$8,"En retard","En cours"))))</f>
        <v/>
      </c>
      <c r="L256" s="25">
        <f>IF(K256="En retard",Paramètres!$B$4-I256,"")</f>
        <v/>
      </c>
      <c r="M256" s="27">
        <f>IF(OR(B256="",J256=""),"",J256+IFERROR(IF(VLOOKUP(C256,Revendeurs!$A:$G,7,FALSE)="",Paramètres!$B$9,VLOOKUP(C256,Revendeurs!$A:$G,7,FALSE)),Paramètres!$B$9))</f>
        <v/>
      </c>
      <c r="N256" s="22" t="n"/>
      <c r="O256" s="23">
        <f>IF(H256="","",H256-N256)</f>
        <v/>
      </c>
      <c r="P256" s="25">
        <f>IF(OR(M256="",O256=""),"",IF(O256&lt;=0,0,MAX(0,Paramètres!$B$4-M256)))</f>
        <v/>
      </c>
      <c r="Q256" s="25">
        <f>IF(H256="","",IF(O256&lt;=0,"Payée",IF(M256="","Pas encore livrée",IF(P256=0,"Non échue",IF(P256&gt;=Paramètres!$B$7,"Relance 3 : appel direction",IF(P256&gt;=Paramètres!$B$6,"Relance 2",IF(P256&gt;=Paramètres!$B$5,"Relance 1","Échue, relance à venir")))))))</f>
        <v/>
      </c>
      <c r="R256" s="25">
        <f>IF(B256="","",IF(U256=Paramètres!$B$4,"Relancé aujourd'hui",TRIM(IF(LEFT(Q256,7)="Relance",Q256&amp;" ","")&amp;IF(K256="En retard","· Prévenir du retard de livraison",""))))</f>
        <v/>
      </c>
      <c r="S256" s="28">
        <f>IF(B256="","",IF(LEFT(Q256,9)="Relance 3","Bonjour "&amp;D256&amp;", nous revenons vers vous au sujet de la commande "&amp;A256&amp;" du "&amp;TEXT(B256,"dd/mm/yyyy")&amp;" : "&amp;SUBSTITUTE(TEXT(O256,"#,##0"),","," ")&amp;" FCFA restent à régler depuis le "&amp;TEXT(M256,"dd/mm/yyyy")&amp;". Notre responsable souhaite vous appeler pour convenir ensemble d'une solution. Quel moment vous arrange cette semaine ? "&amp;Paramètres!$B$11&amp;", "&amp;Paramètres!$B$12,IF(LEFT(Q256,7)="Relance","Bonjour "&amp;D256&amp;", sauf erreur de notre part, la commande "&amp;A256&amp;" du "&amp;TEXT(B256,"dd/mm/yyyy")&amp;" ("&amp;E256&amp;") présente un reste à payer de "&amp;SUBSTITUTE(TEXT(O256,"#,##0"),","," ")&amp;" FCFA, échu depuis le "&amp;TEXT(M256,"dd/mm/yyyy")&amp;". Pouvez-vous nous indiquer la date de règlement prévue ? Si le paiement est déjà parti, merci de nous envoyer la preuve et ne tenez pas compte de ce message. "&amp;Paramètres!$B$11&amp;", "&amp;Paramètres!$B$12,IF(K256="En retard","Bonjour "&amp;D256&amp;", votre commande "&amp;A256&amp;" ("&amp;E256&amp;", "&amp;F256&amp;" pièces) prévue le "&amp;TEXT(I256,"dd/mm/yyyy")&amp;" a pris du retard. Nous vous confirmons la nouvelle date de livraison dans la journée. Toutes nos excuses pour ce contretemps. "&amp;Paramètres!$B$11&amp;", "&amp;Paramètres!$B$12,""))))</f>
        <v/>
      </c>
      <c r="T256" s="21" t="n"/>
      <c r="U256" s="26" t="n"/>
      <c r="V256" s="21" t="n"/>
    </row>
    <row r="257">
      <c r="A257" s="21" t="n"/>
      <c r="B257" s="26" t="n"/>
      <c r="C257" s="21" t="n"/>
      <c r="D257" s="25">
        <f>IF(C257="","",IFERROR(VLOOKUP(C257,Revendeurs!$A:$B,2,FALSE),"Code inconnu"))</f>
        <v/>
      </c>
      <c r="E257" s="21" t="n"/>
      <c r="F257" s="21" t="n"/>
      <c r="G257" s="22" t="n"/>
      <c r="H257" s="23">
        <f>IF(OR(F257="",G257=""),"",F257*G257)</f>
        <v/>
      </c>
      <c r="I257" s="26" t="n"/>
      <c r="J257" s="26" t="n"/>
      <c r="K257" s="25">
        <f>IF(B257="","",IF(J257&lt;&gt;"","Livrée",IF(I257="","À planifier",IF(Paramètres!$B$4&gt;I257+Paramètres!$B$8,"En retard","En cours"))))</f>
        <v/>
      </c>
      <c r="L257" s="25">
        <f>IF(K257="En retard",Paramètres!$B$4-I257,"")</f>
        <v/>
      </c>
      <c r="M257" s="27">
        <f>IF(OR(B257="",J257=""),"",J257+IFERROR(IF(VLOOKUP(C257,Revendeurs!$A:$G,7,FALSE)="",Paramètres!$B$9,VLOOKUP(C257,Revendeurs!$A:$G,7,FALSE)),Paramètres!$B$9))</f>
        <v/>
      </c>
      <c r="N257" s="22" t="n"/>
      <c r="O257" s="23">
        <f>IF(H257="","",H257-N257)</f>
        <v/>
      </c>
      <c r="P257" s="25">
        <f>IF(OR(M257="",O257=""),"",IF(O257&lt;=0,0,MAX(0,Paramètres!$B$4-M257)))</f>
        <v/>
      </c>
      <c r="Q257" s="25">
        <f>IF(H257="","",IF(O257&lt;=0,"Payée",IF(M257="","Pas encore livrée",IF(P257=0,"Non échue",IF(P257&gt;=Paramètres!$B$7,"Relance 3 : appel direction",IF(P257&gt;=Paramètres!$B$6,"Relance 2",IF(P257&gt;=Paramètres!$B$5,"Relance 1","Échue, relance à venir")))))))</f>
        <v/>
      </c>
      <c r="R257" s="25">
        <f>IF(B257="","",IF(U257=Paramètres!$B$4,"Relancé aujourd'hui",TRIM(IF(LEFT(Q257,7)="Relance",Q257&amp;" ","")&amp;IF(K257="En retard","· Prévenir du retard de livraison",""))))</f>
        <v/>
      </c>
      <c r="S257" s="28">
        <f>IF(B257="","",IF(LEFT(Q257,9)="Relance 3","Bonjour "&amp;D257&amp;", nous revenons vers vous au sujet de la commande "&amp;A257&amp;" du "&amp;TEXT(B257,"dd/mm/yyyy")&amp;" : "&amp;SUBSTITUTE(TEXT(O257,"#,##0"),","," ")&amp;" FCFA restent à régler depuis le "&amp;TEXT(M257,"dd/mm/yyyy")&amp;". Notre responsable souhaite vous appeler pour convenir ensemble d'une solution. Quel moment vous arrange cette semaine ? "&amp;Paramètres!$B$11&amp;", "&amp;Paramètres!$B$12,IF(LEFT(Q257,7)="Relance","Bonjour "&amp;D257&amp;", sauf erreur de notre part, la commande "&amp;A257&amp;" du "&amp;TEXT(B257,"dd/mm/yyyy")&amp;" ("&amp;E257&amp;") présente un reste à payer de "&amp;SUBSTITUTE(TEXT(O257,"#,##0"),","," ")&amp;" FCFA, échu depuis le "&amp;TEXT(M257,"dd/mm/yyyy")&amp;". Pouvez-vous nous indiquer la date de règlement prévue ? Si le paiement est déjà parti, merci de nous envoyer la preuve et ne tenez pas compte de ce message. "&amp;Paramètres!$B$11&amp;", "&amp;Paramètres!$B$12,IF(K257="En retard","Bonjour "&amp;D257&amp;", votre commande "&amp;A257&amp;" ("&amp;E257&amp;", "&amp;F257&amp;" pièces) prévue le "&amp;TEXT(I257,"dd/mm/yyyy")&amp;" a pris du retard. Nous vous confirmons la nouvelle date de livraison dans la journée. Toutes nos excuses pour ce contretemps. "&amp;Paramètres!$B$11&amp;", "&amp;Paramètres!$B$12,""))))</f>
        <v/>
      </c>
      <c r="T257" s="21" t="n"/>
      <c r="U257" s="26" t="n"/>
      <c r="V257" s="21" t="n"/>
    </row>
    <row r="258">
      <c r="A258" s="21" t="n"/>
      <c r="B258" s="26" t="n"/>
      <c r="C258" s="21" t="n"/>
      <c r="D258" s="25">
        <f>IF(C258="","",IFERROR(VLOOKUP(C258,Revendeurs!$A:$B,2,FALSE),"Code inconnu"))</f>
        <v/>
      </c>
      <c r="E258" s="21" t="n"/>
      <c r="F258" s="21" t="n"/>
      <c r="G258" s="22" t="n"/>
      <c r="H258" s="23">
        <f>IF(OR(F258="",G258=""),"",F258*G258)</f>
        <v/>
      </c>
      <c r="I258" s="26" t="n"/>
      <c r="J258" s="26" t="n"/>
      <c r="K258" s="25">
        <f>IF(B258="","",IF(J258&lt;&gt;"","Livrée",IF(I258="","À planifier",IF(Paramètres!$B$4&gt;I258+Paramètres!$B$8,"En retard","En cours"))))</f>
        <v/>
      </c>
      <c r="L258" s="25">
        <f>IF(K258="En retard",Paramètres!$B$4-I258,"")</f>
        <v/>
      </c>
      <c r="M258" s="27">
        <f>IF(OR(B258="",J258=""),"",J258+IFERROR(IF(VLOOKUP(C258,Revendeurs!$A:$G,7,FALSE)="",Paramètres!$B$9,VLOOKUP(C258,Revendeurs!$A:$G,7,FALSE)),Paramètres!$B$9))</f>
        <v/>
      </c>
      <c r="N258" s="22" t="n"/>
      <c r="O258" s="23">
        <f>IF(H258="","",H258-N258)</f>
        <v/>
      </c>
      <c r="P258" s="25">
        <f>IF(OR(M258="",O258=""),"",IF(O258&lt;=0,0,MAX(0,Paramètres!$B$4-M258)))</f>
        <v/>
      </c>
      <c r="Q258" s="25">
        <f>IF(H258="","",IF(O258&lt;=0,"Payée",IF(M258="","Pas encore livrée",IF(P258=0,"Non échue",IF(P258&gt;=Paramètres!$B$7,"Relance 3 : appel direction",IF(P258&gt;=Paramètres!$B$6,"Relance 2",IF(P258&gt;=Paramètres!$B$5,"Relance 1","Échue, relance à venir")))))))</f>
        <v/>
      </c>
      <c r="R258" s="25">
        <f>IF(B258="","",IF(U258=Paramètres!$B$4,"Relancé aujourd'hui",TRIM(IF(LEFT(Q258,7)="Relance",Q258&amp;" ","")&amp;IF(K258="En retard","· Prévenir du retard de livraison",""))))</f>
        <v/>
      </c>
      <c r="S258" s="28">
        <f>IF(B258="","",IF(LEFT(Q258,9)="Relance 3","Bonjour "&amp;D258&amp;", nous revenons vers vous au sujet de la commande "&amp;A258&amp;" du "&amp;TEXT(B258,"dd/mm/yyyy")&amp;" : "&amp;SUBSTITUTE(TEXT(O258,"#,##0"),","," ")&amp;" FCFA restent à régler depuis le "&amp;TEXT(M258,"dd/mm/yyyy")&amp;". Notre responsable souhaite vous appeler pour convenir ensemble d'une solution. Quel moment vous arrange cette semaine ? "&amp;Paramètres!$B$11&amp;", "&amp;Paramètres!$B$12,IF(LEFT(Q258,7)="Relance","Bonjour "&amp;D258&amp;", sauf erreur de notre part, la commande "&amp;A258&amp;" du "&amp;TEXT(B258,"dd/mm/yyyy")&amp;" ("&amp;E258&amp;") présente un reste à payer de "&amp;SUBSTITUTE(TEXT(O258,"#,##0"),","," ")&amp;" FCFA, échu depuis le "&amp;TEXT(M258,"dd/mm/yyyy")&amp;". Pouvez-vous nous indiquer la date de règlement prévue ? Si le paiement est déjà parti, merci de nous envoyer la preuve et ne tenez pas compte de ce message. "&amp;Paramètres!$B$11&amp;", "&amp;Paramètres!$B$12,IF(K258="En retard","Bonjour "&amp;D258&amp;", votre commande "&amp;A258&amp;" ("&amp;E258&amp;", "&amp;F258&amp;" pièces) prévue le "&amp;TEXT(I258,"dd/mm/yyyy")&amp;" a pris du retard. Nous vous confirmons la nouvelle date de livraison dans la journée. Toutes nos excuses pour ce contretemps. "&amp;Paramètres!$B$11&amp;", "&amp;Paramètres!$B$12,""))))</f>
        <v/>
      </c>
      <c r="T258" s="21" t="n"/>
      <c r="U258" s="26" t="n"/>
      <c r="V258" s="21" t="n"/>
    </row>
    <row r="259">
      <c r="A259" s="21" t="n"/>
      <c r="B259" s="26" t="n"/>
      <c r="C259" s="21" t="n"/>
      <c r="D259" s="25">
        <f>IF(C259="","",IFERROR(VLOOKUP(C259,Revendeurs!$A:$B,2,FALSE),"Code inconnu"))</f>
        <v/>
      </c>
      <c r="E259" s="21" t="n"/>
      <c r="F259" s="21" t="n"/>
      <c r="G259" s="22" t="n"/>
      <c r="H259" s="23">
        <f>IF(OR(F259="",G259=""),"",F259*G259)</f>
        <v/>
      </c>
      <c r="I259" s="26" t="n"/>
      <c r="J259" s="26" t="n"/>
      <c r="K259" s="25">
        <f>IF(B259="","",IF(J259&lt;&gt;"","Livrée",IF(I259="","À planifier",IF(Paramètres!$B$4&gt;I259+Paramètres!$B$8,"En retard","En cours"))))</f>
        <v/>
      </c>
      <c r="L259" s="25">
        <f>IF(K259="En retard",Paramètres!$B$4-I259,"")</f>
        <v/>
      </c>
      <c r="M259" s="27">
        <f>IF(OR(B259="",J259=""),"",J259+IFERROR(IF(VLOOKUP(C259,Revendeurs!$A:$G,7,FALSE)="",Paramètres!$B$9,VLOOKUP(C259,Revendeurs!$A:$G,7,FALSE)),Paramètres!$B$9))</f>
        <v/>
      </c>
      <c r="N259" s="22" t="n"/>
      <c r="O259" s="23">
        <f>IF(H259="","",H259-N259)</f>
        <v/>
      </c>
      <c r="P259" s="25">
        <f>IF(OR(M259="",O259=""),"",IF(O259&lt;=0,0,MAX(0,Paramètres!$B$4-M259)))</f>
        <v/>
      </c>
      <c r="Q259" s="25">
        <f>IF(H259="","",IF(O259&lt;=0,"Payée",IF(M259="","Pas encore livrée",IF(P259=0,"Non échue",IF(P259&gt;=Paramètres!$B$7,"Relance 3 : appel direction",IF(P259&gt;=Paramètres!$B$6,"Relance 2",IF(P259&gt;=Paramètres!$B$5,"Relance 1","Échue, relance à venir")))))))</f>
        <v/>
      </c>
      <c r="R259" s="25">
        <f>IF(B259="","",IF(U259=Paramètres!$B$4,"Relancé aujourd'hui",TRIM(IF(LEFT(Q259,7)="Relance",Q259&amp;" ","")&amp;IF(K259="En retard","· Prévenir du retard de livraison",""))))</f>
        <v/>
      </c>
      <c r="S259" s="28">
        <f>IF(B259="","",IF(LEFT(Q259,9)="Relance 3","Bonjour "&amp;D259&amp;", nous revenons vers vous au sujet de la commande "&amp;A259&amp;" du "&amp;TEXT(B259,"dd/mm/yyyy")&amp;" : "&amp;SUBSTITUTE(TEXT(O259,"#,##0"),","," ")&amp;" FCFA restent à régler depuis le "&amp;TEXT(M259,"dd/mm/yyyy")&amp;". Notre responsable souhaite vous appeler pour convenir ensemble d'une solution. Quel moment vous arrange cette semaine ? "&amp;Paramètres!$B$11&amp;", "&amp;Paramètres!$B$12,IF(LEFT(Q259,7)="Relance","Bonjour "&amp;D259&amp;", sauf erreur de notre part, la commande "&amp;A259&amp;" du "&amp;TEXT(B259,"dd/mm/yyyy")&amp;" ("&amp;E259&amp;") présente un reste à payer de "&amp;SUBSTITUTE(TEXT(O259,"#,##0"),","," ")&amp;" FCFA, échu depuis le "&amp;TEXT(M259,"dd/mm/yyyy")&amp;". Pouvez-vous nous indiquer la date de règlement prévue ? Si le paiement est déjà parti, merci de nous envoyer la preuve et ne tenez pas compte de ce message. "&amp;Paramètres!$B$11&amp;", "&amp;Paramètres!$B$12,IF(K259="En retard","Bonjour "&amp;D259&amp;", votre commande "&amp;A259&amp;" ("&amp;E259&amp;", "&amp;F259&amp;" pièces) prévue le "&amp;TEXT(I259,"dd/mm/yyyy")&amp;" a pris du retard. Nous vous confirmons la nouvelle date de livraison dans la journée. Toutes nos excuses pour ce contretemps. "&amp;Paramètres!$B$11&amp;", "&amp;Paramètres!$B$12,""))))</f>
        <v/>
      </c>
      <c r="T259" s="21" t="n"/>
      <c r="U259" s="26" t="n"/>
      <c r="V259" s="21" t="n"/>
    </row>
    <row r="260">
      <c r="A260" s="21" t="n"/>
      <c r="B260" s="26" t="n"/>
      <c r="C260" s="21" t="n"/>
      <c r="D260" s="25">
        <f>IF(C260="","",IFERROR(VLOOKUP(C260,Revendeurs!$A:$B,2,FALSE),"Code inconnu"))</f>
        <v/>
      </c>
      <c r="E260" s="21" t="n"/>
      <c r="F260" s="21" t="n"/>
      <c r="G260" s="22" t="n"/>
      <c r="H260" s="23">
        <f>IF(OR(F260="",G260=""),"",F260*G260)</f>
        <v/>
      </c>
      <c r="I260" s="26" t="n"/>
      <c r="J260" s="26" t="n"/>
      <c r="K260" s="25">
        <f>IF(B260="","",IF(J260&lt;&gt;"","Livrée",IF(I260="","À planifier",IF(Paramètres!$B$4&gt;I260+Paramètres!$B$8,"En retard","En cours"))))</f>
        <v/>
      </c>
      <c r="L260" s="25">
        <f>IF(K260="En retard",Paramètres!$B$4-I260,"")</f>
        <v/>
      </c>
      <c r="M260" s="27">
        <f>IF(OR(B260="",J260=""),"",J260+IFERROR(IF(VLOOKUP(C260,Revendeurs!$A:$G,7,FALSE)="",Paramètres!$B$9,VLOOKUP(C260,Revendeurs!$A:$G,7,FALSE)),Paramètres!$B$9))</f>
        <v/>
      </c>
      <c r="N260" s="22" t="n"/>
      <c r="O260" s="23">
        <f>IF(H260="","",H260-N260)</f>
        <v/>
      </c>
      <c r="P260" s="25">
        <f>IF(OR(M260="",O260=""),"",IF(O260&lt;=0,0,MAX(0,Paramètres!$B$4-M260)))</f>
        <v/>
      </c>
      <c r="Q260" s="25">
        <f>IF(H260="","",IF(O260&lt;=0,"Payée",IF(M260="","Pas encore livrée",IF(P260=0,"Non échue",IF(P260&gt;=Paramètres!$B$7,"Relance 3 : appel direction",IF(P260&gt;=Paramètres!$B$6,"Relance 2",IF(P260&gt;=Paramètres!$B$5,"Relance 1","Échue, relance à venir")))))))</f>
        <v/>
      </c>
      <c r="R260" s="25">
        <f>IF(B260="","",IF(U260=Paramètres!$B$4,"Relancé aujourd'hui",TRIM(IF(LEFT(Q260,7)="Relance",Q260&amp;" ","")&amp;IF(K260="En retard","· Prévenir du retard de livraison",""))))</f>
        <v/>
      </c>
      <c r="S260" s="28">
        <f>IF(B260="","",IF(LEFT(Q260,9)="Relance 3","Bonjour "&amp;D260&amp;", nous revenons vers vous au sujet de la commande "&amp;A260&amp;" du "&amp;TEXT(B260,"dd/mm/yyyy")&amp;" : "&amp;SUBSTITUTE(TEXT(O260,"#,##0"),","," ")&amp;" FCFA restent à régler depuis le "&amp;TEXT(M260,"dd/mm/yyyy")&amp;". Notre responsable souhaite vous appeler pour convenir ensemble d'une solution. Quel moment vous arrange cette semaine ? "&amp;Paramètres!$B$11&amp;", "&amp;Paramètres!$B$12,IF(LEFT(Q260,7)="Relance","Bonjour "&amp;D260&amp;", sauf erreur de notre part, la commande "&amp;A260&amp;" du "&amp;TEXT(B260,"dd/mm/yyyy")&amp;" ("&amp;E260&amp;") présente un reste à payer de "&amp;SUBSTITUTE(TEXT(O260,"#,##0"),","," ")&amp;" FCFA, échu depuis le "&amp;TEXT(M260,"dd/mm/yyyy")&amp;". Pouvez-vous nous indiquer la date de règlement prévue ? Si le paiement est déjà parti, merci de nous envoyer la preuve et ne tenez pas compte de ce message. "&amp;Paramètres!$B$11&amp;", "&amp;Paramètres!$B$12,IF(K260="En retard","Bonjour "&amp;D260&amp;", votre commande "&amp;A260&amp;" ("&amp;E260&amp;", "&amp;F260&amp;" pièces) prévue le "&amp;TEXT(I260,"dd/mm/yyyy")&amp;" a pris du retard. Nous vous confirmons la nouvelle date de livraison dans la journée. Toutes nos excuses pour ce contretemps. "&amp;Paramètres!$B$11&amp;", "&amp;Paramètres!$B$12,""))))</f>
        <v/>
      </c>
      <c r="T260" s="21" t="n"/>
      <c r="U260" s="26" t="n"/>
      <c r="V260" s="21" t="n"/>
    </row>
    <row r="261">
      <c r="A261" s="21" t="n"/>
      <c r="B261" s="26" t="n"/>
      <c r="C261" s="21" t="n"/>
      <c r="D261" s="25">
        <f>IF(C261="","",IFERROR(VLOOKUP(C261,Revendeurs!$A:$B,2,FALSE),"Code inconnu"))</f>
        <v/>
      </c>
      <c r="E261" s="21" t="n"/>
      <c r="F261" s="21" t="n"/>
      <c r="G261" s="22" t="n"/>
      <c r="H261" s="23">
        <f>IF(OR(F261="",G261=""),"",F261*G261)</f>
        <v/>
      </c>
      <c r="I261" s="26" t="n"/>
      <c r="J261" s="26" t="n"/>
      <c r="K261" s="25">
        <f>IF(B261="","",IF(J261&lt;&gt;"","Livrée",IF(I261="","À planifier",IF(Paramètres!$B$4&gt;I261+Paramètres!$B$8,"En retard","En cours"))))</f>
        <v/>
      </c>
      <c r="L261" s="25">
        <f>IF(K261="En retard",Paramètres!$B$4-I261,"")</f>
        <v/>
      </c>
      <c r="M261" s="27">
        <f>IF(OR(B261="",J261=""),"",J261+IFERROR(IF(VLOOKUP(C261,Revendeurs!$A:$G,7,FALSE)="",Paramètres!$B$9,VLOOKUP(C261,Revendeurs!$A:$G,7,FALSE)),Paramètres!$B$9))</f>
        <v/>
      </c>
      <c r="N261" s="22" t="n"/>
      <c r="O261" s="23">
        <f>IF(H261="","",H261-N261)</f>
        <v/>
      </c>
      <c r="P261" s="25">
        <f>IF(OR(M261="",O261=""),"",IF(O261&lt;=0,0,MAX(0,Paramètres!$B$4-M261)))</f>
        <v/>
      </c>
      <c r="Q261" s="25">
        <f>IF(H261="","",IF(O261&lt;=0,"Payée",IF(M261="","Pas encore livrée",IF(P261=0,"Non échue",IF(P261&gt;=Paramètres!$B$7,"Relance 3 : appel direction",IF(P261&gt;=Paramètres!$B$6,"Relance 2",IF(P261&gt;=Paramètres!$B$5,"Relance 1","Échue, relance à venir")))))))</f>
        <v/>
      </c>
      <c r="R261" s="25">
        <f>IF(B261="","",IF(U261=Paramètres!$B$4,"Relancé aujourd'hui",TRIM(IF(LEFT(Q261,7)="Relance",Q261&amp;" ","")&amp;IF(K261="En retard","· Prévenir du retard de livraison",""))))</f>
        <v/>
      </c>
      <c r="S261" s="28">
        <f>IF(B261="","",IF(LEFT(Q261,9)="Relance 3","Bonjour "&amp;D261&amp;", nous revenons vers vous au sujet de la commande "&amp;A261&amp;" du "&amp;TEXT(B261,"dd/mm/yyyy")&amp;" : "&amp;SUBSTITUTE(TEXT(O261,"#,##0"),","," ")&amp;" FCFA restent à régler depuis le "&amp;TEXT(M261,"dd/mm/yyyy")&amp;". Notre responsable souhaite vous appeler pour convenir ensemble d'une solution. Quel moment vous arrange cette semaine ? "&amp;Paramètres!$B$11&amp;", "&amp;Paramètres!$B$12,IF(LEFT(Q261,7)="Relance","Bonjour "&amp;D261&amp;", sauf erreur de notre part, la commande "&amp;A261&amp;" du "&amp;TEXT(B261,"dd/mm/yyyy")&amp;" ("&amp;E261&amp;") présente un reste à payer de "&amp;SUBSTITUTE(TEXT(O261,"#,##0"),","," ")&amp;" FCFA, échu depuis le "&amp;TEXT(M261,"dd/mm/yyyy")&amp;". Pouvez-vous nous indiquer la date de règlement prévue ? Si le paiement est déjà parti, merci de nous envoyer la preuve et ne tenez pas compte de ce message. "&amp;Paramètres!$B$11&amp;", "&amp;Paramètres!$B$12,IF(K261="En retard","Bonjour "&amp;D261&amp;", votre commande "&amp;A261&amp;" ("&amp;E261&amp;", "&amp;F261&amp;" pièces) prévue le "&amp;TEXT(I261,"dd/mm/yyyy")&amp;" a pris du retard. Nous vous confirmons la nouvelle date de livraison dans la journée. Toutes nos excuses pour ce contretemps. "&amp;Paramètres!$B$11&amp;", "&amp;Paramètres!$B$12,""))))</f>
        <v/>
      </c>
      <c r="T261" s="21" t="n"/>
      <c r="U261" s="26" t="n"/>
      <c r="V261" s="21" t="n"/>
    </row>
    <row r="262">
      <c r="A262" s="21" t="n"/>
      <c r="B262" s="26" t="n"/>
      <c r="C262" s="21" t="n"/>
      <c r="D262" s="25">
        <f>IF(C262="","",IFERROR(VLOOKUP(C262,Revendeurs!$A:$B,2,FALSE),"Code inconnu"))</f>
        <v/>
      </c>
      <c r="E262" s="21" t="n"/>
      <c r="F262" s="21" t="n"/>
      <c r="G262" s="22" t="n"/>
      <c r="H262" s="23">
        <f>IF(OR(F262="",G262=""),"",F262*G262)</f>
        <v/>
      </c>
      <c r="I262" s="26" t="n"/>
      <c r="J262" s="26" t="n"/>
      <c r="K262" s="25">
        <f>IF(B262="","",IF(J262&lt;&gt;"","Livrée",IF(I262="","À planifier",IF(Paramètres!$B$4&gt;I262+Paramètres!$B$8,"En retard","En cours"))))</f>
        <v/>
      </c>
      <c r="L262" s="25">
        <f>IF(K262="En retard",Paramètres!$B$4-I262,"")</f>
        <v/>
      </c>
      <c r="M262" s="27">
        <f>IF(OR(B262="",J262=""),"",J262+IFERROR(IF(VLOOKUP(C262,Revendeurs!$A:$G,7,FALSE)="",Paramètres!$B$9,VLOOKUP(C262,Revendeurs!$A:$G,7,FALSE)),Paramètres!$B$9))</f>
        <v/>
      </c>
      <c r="N262" s="22" t="n"/>
      <c r="O262" s="23">
        <f>IF(H262="","",H262-N262)</f>
        <v/>
      </c>
      <c r="P262" s="25">
        <f>IF(OR(M262="",O262=""),"",IF(O262&lt;=0,0,MAX(0,Paramètres!$B$4-M262)))</f>
        <v/>
      </c>
      <c r="Q262" s="25">
        <f>IF(H262="","",IF(O262&lt;=0,"Payée",IF(M262="","Pas encore livrée",IF(P262=0,"Non échue",IF(P262&gt;=Paramètres!$B$7,"Relance 3 : appel direction",IF(P262&gt;=Paramètres!$B$6,"Relance 2",IF(P262&gt;=Paramètres!$B$5,"Relance 1","Échue, relance à venir")))))))</f>
        <v/>
      </c>
      <c r="R262" s="25">
        <f>IF(B262="","",IF(U262=Paramètres!$B$4,"Relancé aujourd'hui",TRIM(IF(LEFT(Q262,7)="Relance",Q262&amp;" ","")&amp;IF(K262="En retard","· Prévenir du retard de livraison",""))))</f>
        <v/>
      </c>
      <c r="S262" s="28">
        <f>IF(B262="","",IF(LEFT(Q262,9)="Relance 3","Bonjour "&amp;D262&amp;", nous revenons vers vous au sujet de la commande "&amp;A262&amp;" du "&amp;TEXT(B262,"dd/mm/yyyy")&amp;" : "&amp;SUBSTITUTE(TEXT(O262,"#,##0"),","," ")&amp;" FCFA restent à régler depuis le "&amp;TEXT(M262,"dd/mm/yyyy")&amp;". Notre responsable souhaite vous appeler pour convenir ensemble d'une solution. Quel moment vous arrange cette semaine ? "&amp;Paramètres!$B$11&amp;", "&amp;Paramètres!$B$12,IF(LEFT(Q262,7)="Relance","Bonjour "&amp;D262&amp;", sauf erreur de notre part, la commande "&amp;A262&amp;" du "&amp;TEXT(B262,"dd/mm/yyyy")&amp;" ("&amp;E262&amp;") présente un reste à payer de "&amp;SUBSTITUTE(TEXT(O262,"#,##0"),","," ")&amp;" FCFA, échu depuis le "&amp;TEXT(M262,"dd/mm/yyyy")&amp;". Pouvez-vous nous indiquer la date de règlement prévue ? Si le paiement est déjà parti, merci de nous envoyer la preuve et ne tenez pas compte de ce message. "&amp;Paramètres!$B$11&amp;", "&amp;Paramètres!$B$12,IF(K262="En retard","Bonjour "&amp;D262&amp;", votre commande "&amp;A262&amp;" ("&amp;E262&amp;", "&amp;F262&amp;" pièces) prévue le "&amp;TEXT(I262,"dd/mm/yyyy")&amp;" a pris du retard. Nous vous confirmons la nouvelle date de livraison dans la journée. Toutes nos excuses pour ce contretemps. "&amp;Paramètres!$B$11&amp;", "&amp;Paramètres!$B$12,""))))</f>
        <v/>
      </c>
      <c r="T262" s="21" t="n"/>
      <c r="U262" s="26" t="n"/>
      <c r="V262" s="21" t="n"/>
    </row>
    <row r="263">
      <c r="A263" s="21" t="n"/>
      <c r="B263" s="26" t="n"/>
      <c r="C263" s="21" t="n"/>
      <c r="D263" s="25">
        <f>IF(C263="","",IFERROR(VLOOKUP(C263,Revendeurs!$A:$B,2,FALSE),"Code inconnu"))</f>
        <v/>
      </c>
      <c r="E263" s="21" t="n"/>
      <c r="F263" s="21" t="n"/>
      <c r="G263" s="22" t="n"/>
      <c r="H263" s="23">
        <f>IF(OR(F263="",G263=""),"",F263*G263)</f>
        <v/>
      </c>
      <c r="I263" s="26" t="n"/>
      <c r="J263" s="26" t="n"/>
      <c r="K263" s="25">
        <f>IF(B263="","",IF(J263&lt;&gt;"","Livrée",IF(I263="","À planifier",IF(Paramètres!$B$4&gt;I263+Paramètres!$B$8,"En retard","En cours"))))</f>
        <v/>
      </c>
      <c r="L263" s="25">
        <f>IF(K263="En retard",Paramètres!$B$4-I263,"")</f>
        <v/>
      </c>
      <c r="M263" s="27">
        <f>IF(OR(B263="",J263=""),"",J263+IFERROR(IF(VLOOKUP(C263,Revendeurs!$A:$G,7,FALSE)="",Paramètres!$B$9,VLOOKUP(C263,Revendeurs!$A:$G,7,FALSE)),Paramètres!$B$9))</f>
        <v/>
      </c>
      <c r="N263" s="22" t="n"/>
      <c r="O263" s="23">
        <f>IF(H263="","",H263-N263)</f>
        <v/>
      </c>
      <c r="P263" s="25">
        <f>IF(OR(M263="",O263=""),"",IF(O263&lt;=0,0,MAX(0,Paramètres!$B$4-M263)))</f>
        <v/>
      </c>
      <c r="Q263" s="25">
        <f>IF(H263="","",IF(O263&lt;=0,"Payée",IF(M263="","Pas encore livrée",IF(P263=0,"Non échue",IF(P263&gt;=Paramètres!$B$7,"Relance 3 : appel direction",IF(P263&gt;=Paramètres!$B$6,"Relance 2",IF(P263&gt;=Paramètres!$B$5,"Relance 1","Échue, relance à venir")))))))</f>
        <v/>
      </c>
      <c r="R263" s="25">
        <f>IF(B263="","",IF(U263=Paramètres!$B$4,"Relancé aujourd'hui",TRIM(IF(LEFT(Q263,7)="Relance",Q263&amp;" ","")&amp;IF(K263="En retard","· Prévenir du retard de livraison",""))))</f>
        <v/>
      </c>
      <c r="S263" s="28">
        <f>IF(B263="","",IF(LEFT(Q263,9)="Relance 3","Bonjour "&amp;D263&amp;", nous revenons vers vous au sujet de la commande "&amp;A263&amp;" du "&amp;TEXT(B263,"dd/mm/yyyy")&amp;" : "&amp;SUBSTITUTE(TEXT(O263,"#,##0"),","," ")&amp;" FCFA restent à régler depuis le "&amp;TEXT(M263,"dd/mm/yyyy")&amp;". Notre responsable souhaite vous appeler pour convenir ensemble d'une solution. Quel moment vous arrange cette semaine ? "&amp;Paramètres!$B$11&amp;", "&amp;Paramètres!$B$12,IF(LEFT(Q263,7)="Relance","Bonjour "&amp;D263&amp;", sauf erreur de notre part, la commande "&amp;A263&amp;" du "&amp;TEXT(B263,"dd/mm/yyyy")&amp;" ("&amp;E263&amp;") présente un reste à payer de "&amp;SUBSTITUTE(TEXT(O263,"#,##0"),","," ")&amp;" FCFA, échu depuis le "&amp;TEXT(M263,"dd/mm/yyyy")&amp;". Pouvez-vous nous indiquer la date de règlement prévue ? Si le paiement est déjà parti, merci de nous envoyer la preuve et ne tenez pas compte de ce message. "&amp;Paramètres!$B$11&amp;", "&amp;Paramètres!$B$12,IF(K263="En retard","Bonjour "&amp;D263&amp;", votre commande "&amp;A263&amp;" ("&amp;E263&amp;", "&amp;F263&amp;" pièces) prévue le "&amp;TEXT(I263,"dd/mm/yyyy")&amp;" a pris du retard. Nous vous confirmons la nouvelle date de livraison dans la journée. Toutes nos excuses pour ce contretemps. "&amp;Paramètres!$B$11&amp;", "&amp;Paramètres!$B$12,""))))</f>
        <v/>
      </c>
      <c r="T263" s="21" t="n"/>
      <c r="U263" s="26" t="n"/>
      <c r="V263" s="21" t="n"/>
    </row>
    <row r="264">
      <c r="A264" s="21" t="n"/>
      <c r="B264" s="26" t="n"/>
      <c r="C264" s="21" t="n"/>
      <c r="D264" s="25">
        <f>IF(C264="","",IFERROR(VLOOKUP(C264,Revendeurs!$A:$B,2,FALSE),"Code inconnu"))</f>
        <v/>
      </c>
      <c r="E264" s="21" t="n"/>
      <c r="F264" s="21" t="n"/>
      <c r="G264" s="22" t="n"/>
      <c r="H264" s="23">
        <f>IF(OR(F264="",G264=""),"",F264*G264)</f>
        <v/>
      </c>
      <c r="I264" s="26" t="n"/>
      <c r="J264" s="26" t="n"/>
      <c r="K264" s="25">
        <f>IF(B264="","",IF(J264&lt;&gt;"","Livrée",IF(I264="","À planifier",IF(Paramètres!$B$4&gt;I264+Paramètres!$B$8,"En retard","En cours"))))</f>
        <v/>
      </c>
      <c r="L264" s="25">
        <f>IF(K264="En retard",Paramètres!$B$4-I264,"")</f>
        <v/>
      </c>
      <c r="M264" s="27">
        <f>IF(OR(B264="",J264=""),"",J264+IFERROR(IF(VLOOKUP(C264,Revendeurs!$A:$G,7,FALSE)="",Paramètres!$B$9,VLOOKUP(C264,Revendeurs!$A:$G,7,FALSE)),Paramètres!$B$9))</f>
        <v/>
      </c>
      <c r="N264" s="22" t="n"/>
      <c r="O264" s="23">
        <f>IF(H264="","",H264-N264)</f>
        <v/>
      </c>
      <c r="P264" s="25">
        <f>IF(OR(M264="",O264=""),"",IF(O264&lt;=0,0,MAX(0,Paramètres!$B$4-M264)))</f>
        <v/>
      </c>
      <c r="Q264" s="25">
        <f>IF(H264="","",IF(O264&lt;=0,"Payée",IF(M264="","Pas encore livrée",IF(P264=0,"Non échue",IF(P264&gt;=Paramètres!$B$7,"Relance 3 : appel direction",IF(P264&gt;=Paramètres!$B$6,"Relance 2",IF(P264&gt;=Paramètres!$B$5,"Relance 1","Échue, relance à venir")))))))</f>
        <v/>
      </c>
      <c r="R264" s="25">
        <f>IF(B264="","",IF(U264=Paramètres!$B$4,"Relancé aujourd'hui",TRIM(IF(LEFT(Q264,7)="Relance",Q264&amp;" ","")&amp;IF(K264="En retard","· Prévenir du retard de livraison",""))))</f>
        <v/>
      </c>
      <c r="S264" s="28">
        <f>IF(B264="","",IF(LEFT(Q264,9)="Relance 3","Bonjour "&amp;D264&amp;", nous revenons vers vous au sujet de la commande "&amp;A264&amp;" du "&amp;TEXT(B264,"dd/mm/yyyy")&amp;" : "&amp;SUBSTITUTE(TEXT(O264,"#,##0"),","," ")&amp;" FCFA restent à régler depuis le "&amp;TEXT(M264,"dd/mm/yyyy")&amp;". Notre responsable souhaite vous appeler pour convenir ensemble d'une solution. Quel moment vous arrange cette semaine ? "&amp;Paramètres!$B$11&amp;", "&amp;Paramètres!$B$12,IF(LEFT(Q264,7)="Relance","Bonjour "&amp;D264&amp;", sauf erreur de notre part, la commande "&amp;A264&amp;" du "&amp;TEXT(B264,"dd/mm/yyyy")&amp;" ("&amp;E264&amp;") présente un reste à payer de "&amp;SUBSTITUTE(TEXT(O264,"#,##0"),","," ")&amp;" FCFA, échu depuis le "&amp;TEXT(M264,"dd/mm/yyyy")&amp;". Pouvez-vous nous indiquer la date de règlement prévue ? Si le paiement est déjà parti, merci de nous envoyer la preuve et ne tenez pas compte de ce message. "&amp;Paramètres!$B$11&amp;", "&amp;Paramètres!$B$12,IF(K264="En retard","Bonjour "&amp;D264&amp;", votre commande "&amp;A264&amp;" ("&amp;E264&amp;", "&amp;F264&amp;" pièces) prévue le "&amp;TEXT(I264,"dd/mm/yyyy")&amp;" a pris du retard. Nous vous confirmons la nouvelle date de livraison dans la journée. Toutes nos excuses pour ce contretemps. "&amp;Paramètres!$B$11&amp;", "&amp;Paramètres!$B$12,""))))</f>
        <v/>
      </c>
      <c r="T264" s="21" t="n"/>
      <c r="U264" s="26" t="n"/>
      <c r="V264" s="21" t="n"/>
    </row>
    <row r="265">
      <c r="A265" s="21" t="n"/>
      <c r="B265" s="26" t="n"/>
      <c r="C265" s="21" t="n"/>
      <c r="D265" s="25">
        <f>IF(C265="","",IFERROR(VLOOKUP(C265,Revendeurs!$A:$B,2,FALSE),"Code inconnu"))</f>
        <v/>
      </c>
      <c r="E265" s="21" t="n"/>
      <c r="F265" s="21" t="n"/>
      <c r="G265" s="22" t="n"/>
      <c r="H265" s="23">
        <f>IF(OR(F265="",G265=""),"",F265*G265)</f>
        <v/>
      </c>
      <c r="I265" s="26" t="n"/>
      <c r="J265" s="26" t="n"/>
      <c r="K265" s="25">
        <f>IF(B265="","",IF(J265&lt;&gt;"","Livrée",IF(I265="","À planifier",IF(Paramètres!$B$4&gt;I265+Paramètres!$B$8,"En retard","En cours"))))</f>
        <v/>
      </c>
      <c r="L265" s="25">
        <f>IF(K265="En retard",Paramètres!$B$4-I265,"")</f>
        <v/>
      </c>
      <c r="M265" s="27">
        <f>IF(OR(B265="",J265=""),"",J265+IFERROR(IF(VLOOKUP(C265,Revendeurs!$A:$G,7,FALSE)="",Paramètres!$B$9,VLOOKUP(C265,Revendeurs!$A:$G,7,FALSE)),Paramètres!$B$9))</f>
        <v/>
      </c>
      <c r="N265" s="22" t="n"/>
      <c r="O265" s="23">
        <f>IF(H265="","",H265-N265)</f>
        <v/>
      </c>
      <c r="P265" s="25">
        <f>IF(OR(M265="",O265=""),"",IF(O265&lt;=0,0,MAX(0,Paramètres!$B$4-M265)))</f>
        <v/>
      </c>
      <c r="Q265" s="25">
        <f>IF(H265="","",IF(O265&lt;=0,"Payée",IF(M265="","Pas encore livrée",IF(P265=0,"Non échue",IF(P265&gt;=Paramètres!$B$7,"Relance 3 : appel direction",IF(P265&gt;=Paramètres!$B$6,"Relance 2",IF(P265&gt;=Paramètres!$B$5,"Relance 1","Échue, relance à venir")))))))</f>
        <v/>
      </c>
      <c r="R265" s="25">
        <f>IF(B265="","",IF(U265=Paramètres!$B$4,"Relancé aujourd'hui",TRIM(IF(LEFT(Q265,7)="Relance",Q265&amp;" ","")&amp;IF(K265="En retard","· Prévenir du retard de livraison",""))))</f>
        <v/>
      </c>
      <c r="S265" s="28">
        <f>IF(B265="","",IF(LEFT(Q265,9)="Relance 3","Bonjour "&amp;D265&amp;", nous revenons vers vous au sujet de la commande "&amp;A265&amp;" du "&amp;TEXT(B265,"dd/mm/yyyy")&amp;" : "&amp;SUBSTITUTE(TEXT(O265,"#,##0"),","," ")&amp;" FCFA restent à régler depuis le "&amp;TEXT(M265,"dd/mm/yyyy")&amp;". Notre responsable souhaite vous appeler pour convenir ensemble d'une solution. Quel moment vous arrange cette semaine ? "&amp;Paramètres!$B$11&amp;", "&amp;Paramètres!$B$12,IF(LEFT(Q265,7)="Relance","Bonjour "&amp;D265&amp;", sauf erreur de notre part, la commande "&amp;A265&amp;" du "&amp;TEXT(B265,"dd/mm/yyyy")&amp;" ("&amp;E265&amp;") présente un reste à payer de "&amp;SUBSTITUTE(TEXT(O265,"#,##0"),","," ")&amp;" FCFA, échu depuis le "&amp;TEXT(M265,"dd/mm/yyyy")&amp;". Pouvez-vous nous indiquer la date de règlement prévue ? Si le paiement est déjà parti, merci de nous envoyer la preuve et ne tenez pas compte de ce message. "&amp;Paramètres!$B$11&amp;", "&amp;Paramètres!$B$12,IF(K265="En retard","Bonjour "&amp;D265&amp;", votre commande "&amp;A265&amp;" ("&amp;E265&amp;", "&amp;F265&amp;" pièces) prévue le "&amp;TEXT(I265,"dd/mm/yyyy")&amp;" a pris du retard. Nous vous confirmons la nouvelle date de livraison dans la journée. Toutes nos excuses pour ce contretemps. "&amp;Paramètres!$B$11&amp;", "&amp;Paramètres!$B$12,""))))</f>
        <v/>
      </c>
      <c r="T265" s="21" t="n"/>
      <c r="U265" s="26" t="n"/>
      <c r="V265" s="21" t="n"/>
    </row>
    <row r="266">
      <c r="A266" s="21" t="n"/>
      <c r="B266" s="26" t="n"/>
      <c r="C266" s="21" t="n"/>
      <c r="D266" s="25">
        <f>IF(C266="","",IFERROR(VLOOKUP(C266,Revendeurs!$A:$B,2,FALSE),"Code inconnu"))</f>
        <v/>
      </c>
      <c r="E266" s="21" t="n"/>
      <c r="F266" s="21" t="n"/>
      <c r="G266" s="22" t="n"/>
      <c r="H266" s="23">
        <f>IF(OR(F266="",G266=""),"",F266*G266)</f>
        <v/>
      </c>
      <c r="I266" s="26" t="n"/>
      <c r="J266" s="26" t="n"/>
      <c r="K266" s="25">
        <f>IF(B266="","",IF(J266&lt;&gt;"","Livrée",IF(I266="","À planifier",IF(Paramètres!$B$4&gt;I266+Paramètres!$B$8,"En retard","En cours"))))</f>
        <v/>
      </c>
      <c r="L266" s="25">
        <f>IF(K266="En retard",Paramètres!$B$4-I266,"")</f>
        <v/>
      </c>
      <c r="M266" s="27">
        <f>IF(OR(B266="",J266=""),"",J266+IFERROR(IF(VLOOKUP(C266,Revendeurs!$A:$G,7,FALSE)="",Paramètres!$B$9,VLOOKUP(C266,Revendeurs!$A:$G,7,FALSE)),Paramètres!$B$9))</f>
        <v/>
      </c>
      <c r="N266" s="22" t="n"/>
      <c r="O266" s="23">
        <f>IF(H266="","",H266-N266)</f>
        <v/>
      </c>
      <c r="P266" s="25">
        <f>IF(OR(M266="",O266=""),"",IF(O266&lt;=0,0,MAX(0,Paramètres!$B$4-M266)))</f>
        <v/>
      </c>
      <c r="Q266" s="25">
        <f>IF(H266="","",IF(O266&lt;=0,"Payée",IF(M266="","Pas encore livrée",IF(P266=0,"Non échue",IF(P266&gt;=Paramètres!$B$7,"Relance 3 : appel direction",IF(P266&gt;=Paramètres!$B$6,"Relance 2",IF(P266&gt;=Paramètres!$B$5,"Relance 1","Échue, relance à venir")))))))</f>
        <v/>
      </c>
      <c r="R266" s="25">
        <f>IF(B266="","",IF(U266=Paramètres!$B$4,"Relancé aujourd'hui",TRIM(IF(LEFT(Q266,7)="Relance",Q266&amp;" ","")&amp;IF(K266="En retard","· Prévenir du retard de livraison",""))))</f>
        <v/>
      </c>
      <c r="S266" s="28">
        <f>IF(B266="","",IF(LEFT(Q266,9)="Relance 3","Bonjour "&amp;D266&amp;", nous revenons vers vous au sujet de la commande "&amp;A266&amp;" du "&amp;TEXT(B266,"dd/mm/yyyy")&amp;" : "&amp;SUBSTITUTE(TEXT(O266,"#,##0"),","," ")&amp;" FCFA restent à régler depuis le "&amp;TEXT(M266,"dd/mm/yyyy")&amp;". Notre responsable souhaite vous appeler pour convenir ensemble d'une solution. Quel moment vous arrange cette semaine ? "&amp;Paramètres!$B$11&amp;", "&amp;Paramètres!$B$12,IF(LEFT(Q266,7)="Relance","Bonjour "&amp;D266&amp;", sauf erreur de notre part, la commande "&amp;A266&amp;" du "&amp;TEXT(B266,"dd/mm/yyyy")&amp;" ("&amp;E266&amp;") présente un reste à payer de "&amp;SUBSTITUTE(TEXT(O266,"#,##0"),","," ")&amp;" FCFA, échu depuis le "&amp;TEXT(M266,"dd/mm/yyyy")&amp;". Pouvez-vous nous indiquer la date de règlement prévue ? Si le paiement est déjà parti, merci de nous envoyer la preuve et ne tenez pas compte de ce message. "&amp;Paramètres!$B$11&amp;", "&amp;Paramètres!$B$12,IF(K266="En retard","Bonjour "&amp;D266&amp;", votre commande "&amp;A266&amp;" ("&amp;E266&amp;", "&amp;F266&amp;" pièces) prévue le "&amp;TEXT(I266,"dd/mm/yyyy")&amp;" a pris du retard. Nous vous confirmons la nouvelle date de livraison dans la journée. Toutes nos excuses pour ce contretemps. "&amp;Paramètres!$B$11&amp;", "&amp;Paramètres!$B$12,""))))</f>
        <v/>
      </c>
      <c r="T266" s="21" t="n"/>
      <c r="U266" s="26" t="n"/>
      <c r="V266" s="21" t="n"/>
    </row>
    <row r="267">
      <c r="A267" s="21" t="n"/>
      <c r="B267" s="26" t="n"/>
      <c r="C267" s="21" t="n"/>
      <c r="D267" s="25">
        <f>IF(C267="","",IFERROR(VLOOKUP(C267,Revendeurs!$A:$B,2,FALSE),"Code inconnu"))</f>
        <v/>
      </c>
      <c r="E267" s="21" t="n"/>
      <c r="F267" s="21" t="n"/>
      <c r="G267" s="22" t="n"/>
      <c r="H267" s="23">
        <f>IF(OR(F267="",G267=""),"",F267*G267)</f>
        <v/>
      </c>
      <c r="I267" s="26" t="n"/>
      <c r="J267" s="26" t="n"/>
      <c r="K267" s="25">
        <f>IF(B267="","",IF(J267&lt;&gt;"","Livrée",IF(I267="","À planifier",IF(Paramètres!$B$4&gt;I267+Paramètres!$B$8,"En retard","En cours"))))</f>
        <v/>
      </c>
      <c r="L267" s="25">
        <f>IF(K267="En retard",Paramètres!$B$4-I267,"")</f>
        <v/>
      </c>
      <c r="M267" s="27">
        <f>IF(OR(B267="",J267=""),"",J267+IFERROR(IF(VLOOKUP(C267,Revendeurs!$A:$G,7,FALSE)="",Paramètres!$B$9,VLOOKUP(C267,Revendeurs!$A:$G,7,FALSE)),Paramètres!$B$9))</f>
        <v/>
      </c>
      <c r="N267" s="22" t="n"/>
      <c r="O267" s="23">
        <f>IF(H267="","",H267-N267)</f>
        <v/>
      </c>
      <c r="P267" s="25">
        <f>IF(OR(M267="",O267=""),"",IF(O267&lt;=0,0,MAX(0,Paramètres!$B$4-M267)))</f>
        <v/>
      </c>
      <c r="Q267" s="25">
        <f>IF(H267="","",IF(O267&lt;=0,"Payée",IF(M267="","Pas encore livrée",IF(P267=0,"Non échue",IF(P267&gt;=Paramètres!$B$7,"Relance 3 : appel direction",IF(P267&gt;=Paramètres!$B$6,"Relance 2",IF(P267&gt;=Paramètres!$B$5,"Relance 1","Échue, relance à venir")))))))</f>
        <v/>
      </c>
      <c r="R267" s="25">
        <f>IF(B267="","",IF(U267=Paramètres!$B$4,"Relancé aujourd'hui",TRIM(IF(LEFT(Q267,7)="Relance",Q267&amp;" ","")&amp;IF(K267="En retard","· Prévenir du retard de livraison",""))))</f>
        <v/>
      </c>
      <c r="S267" s="28">
        <f>IF(B267="","",IF(LEFT(Q267,9)="Relance 3","Bonjour "&amp;D267&amp;", nous revenons vers vous au sujet de la commande "&amp;A267&amp;" du "&amp;TEXT(B267,"dd/mm/yyyy")&amp;" : "&amp;SUBSTITUTE(TEXT(O267,"#,##0"),","," ")&amp;" FCFA restent à régler depuis le "&amp;TEXT(M267,"dd/mm/yyyy")&amp;". Notre responsable souhaite vous appeler pour convenir ensemble d'une solution. Quel moment vous arrange cette semaine ? "&amp;Paramètres!$B$11&amp;", "&amp;Paramètres!$B$12,IF(LEFT(Q267,7)="Relance","Bonjour "&amp;D267&amp;", sauf erreur de notre part, la commande "&amp;A267&amp;" du "&amp;TEXT(B267,"dd/mm/yyyy")&amp;" ("&amp;E267&amp;") présente un reste à payer de "&amp;SUBSTITUTE(TEXT(O267,"#,##0"),","," ")&amp;" FCFA, échu depuis le "&amp;TEXT(M267,"dd/mm/yyyy")&amp;". Pouvez-vous nous indiquer la date de règlement prévue ? Si le paiement est déjà parti, merci de nous envoyer la preuve et ne tenez pas compte de ce message. "&amp;Paramètres!$B$11&amp;", "&amp;Paramètres!$B$12,IF(K267="En retard","Bonjour "&amp;D267&amp;", votre commande "&amp;A267&amp;" ("&amp;E267&amp;", "&amp;F267&amp;" pièces) prévue le "&amp;TEXT(I267,"dd/mm/yyyy")&amp;" a pris du retard. Nous vous confirmons la nouvelle date de livraison dans la journée. Toutes nos excuses pour ce contretemps. "&amp;Paramètres!$B$11&amp;", "&amp;Paramètres!$B$12,""))))</f>
        <v/>
      </c>
      <c r="T267" s="21" t="n"/>
      <c r="U267" s="26" t="n"/>
      <c r="V267" s="21" t="n"/>
    </row>
    <row r="268">
      <c r="A268" s="21" t="n"/>
      <c r="B268" s="26" t="n"/>
      <c r="C268" s="21" t="n"/>
      <c r="D268" s="25">
        <f>IF(C268="","",IFERROR(VLOOKUP(C268,Revendeurs!$A:$B,2,FALSE),"Code inconnu"))</f>
        <v/>
      </c>
      <c r="E268" s="21" t="n"/>
      <c r="F268" s="21" t="n"/>
      <c r="G268" s="22" t="n"/>
      <c r="H268" s="23">
        <f>IF(OR(F268="",G268=""),"",F268*G268)</f>
        <v/>
      </c>
      <c r="I268" s="26" t="n"/>
      <c r="J268" s="26" t="n"/>
      <c r="K268" s="25">
        <f>IF(B268="","",IF(J268&lt;&gt;"","Livrée",IF(I268="","À planifier",IF(Paramètres!$B$4&gt;I268+Paramètres!$B$8,"En retard","En cours"))))</f>
        <v/>
      </c>
      <c r="L268" s="25">
        <f>IF(K268="En retard",Paramètres!$B$4-I268,"")</f>
        <v/>
      </c>
      <c r="M268" s="27">
        <f>IF(OR(B268="",J268=""),"",J268+IFERROR(IF(VLOOKUP(C268,Revendeurs!$A:$G,7,FALSE)="",Paramètres!$B$9,VLOOKUP(C268,Revendeurs!$A:$G,7,FALSE)),Paramètres!$B$9))</f>
        <v/>
      </c>
      <c r="N268" s="22" t="n"/>
      <c r="O268" s="23">
        <f>IF(H268="","",H268-N268)</f>
        <v/>
      </c>
      <c r="P268" s="25">
        <f>IF(OR(M268="",O268=""),"",IF(O268&lt;=0,0,MAX(0,Paramètres!$B$4-M268)))</f>
        <v/>
      </c>
      <c r="Q268" s="25">
        <f>IF(H268="","",IF(O268&lt;=0,"Payée",IF(M268="","Pas encore livrée",IF(P268=0,"Non échue",IF(P268&gt;=Paramètres!$B$7,"Relance 3 : appel direction",IF(P268&gt;=Paramètres!$B$6,"Relance 2",IF(P268&gt;=Paramètres!$B$5,"Relance 1","Échue, relance à venir")))))))</f>
        <v/>
      </c>
      <c r="R268" s="25">
        <f>IF(B268="","",IF(U268=Paramètres!$B$4,"Relancé aujourd'hui",TRIM(IF(LEFT(Q268,7)="Relance",Q268&amp;" ","")&amp;IF(K268="En retard","· Prévenir du retard de livraison",""))))</f>
        <v/>
      </c>
      <c r="S268" s="28">
        <f>IF(B268="","",IF(LEFT(Q268,9)="Relance 3","Bonjour "&amp;D268&amp;", nous revenons vers vous au sujet de la commande "&amp;A268&amp;" du "&amp;TEXT(B268,"dd/mm/yyyy")&amp;" : "&amp;SUBSTITUTE(TEXT(O268,"#,##0"),","," ")&amp;" FCFA restent à régler depuis le "&amp;TEXT(M268,"dd/mm/yyyy")&amp;". Notre responsable souhaite vous appeler pour convenir ensemble d'une solution. Quel moment vous arrange cette semaine ? "&amp;Paramètres!$B$11&amp;", "&amp;Paramètres!$B$12,IF(LEFT(Q268,7)="Relance","Bonjour "&amp;D268&amp;", sauf erreur de notre part, la commande "&amp;A268&amp;" du "&amp;TEXT(B268,"dd/mm/yyyy")&amp;" ("&amp;E268&amp;") présente un reste à payer de "&amp;SUBSTITUTE(TEXT(O268,"#,##0"),","," ")&amp;" FCFA, échu depuis le "&amp;TEXT(M268,"dd/mm/yyyy")&amp;". Pouvez-vous nous indiquer la date de règlement prévue ? Si le paiement est déjà parti, merci de nous envoyer la preuve et ne tenez pas compte de ce message. "&amp;Paramètres!$B$11&amp;", "&amp;Paramètres!$B$12,IF(K268="En retard","Bonjour "&amp;D268&amp;", votre commande "&amp;A268&amp;" ("&amp;E268&amp;", "&amp;F268&amp;" pièces) prévue le "&amp;TEXT(I268,"dd/mm/yyyy")&amp;" a pris du retard. Nous vous confirmons la nouvelle date de livraison dans la journée. Toutes nos excuses pour ce contretemps. "&amp;Paramètres!$B$11&amp;", "&amp;Paramètres!$B$12,""))))</f>
        <v/>
      </c>
      <c r="T268" s="21" t="n"/>
      <c r="U268" s="26" t="n"/>
      <c r="V268" s="21" t="n"/>
    </row>
    <row r="269">
      <c r="A269" s="21" t="n"/>
      <c r="B269" s="26" t="n"/>
      <c r="C269" s="21" t="n"/>
      <c r="D269" s="25">
        <f>IF(C269="","",IFERROR(VLOOKUP(C269,Revendeurs!$A:$B,2,FALSE),"Code inconnu"))</f>
        <v/>
      </c>
      <c r="E269" s="21" t="n"/>
      <c r="F269" s="21" t="n"/>
      <c r="G269" s="22" t="n"/>
      <c r="H269" s="23">
        <f>IF(OR(F269="",G269=""),"",F269*G269)</f>
        <v/>
      </c>
      <c r="I269" s="26" t="n"/>
      <c r="J269" s="26" t="n"/>
      <c r="K269" s="25">
        <f>IF(B269="","",IF(J269&lt;&gt;"","Livrée",IF(I269="","À planifier",IF(Paramètres!$B$4&gt;I269+Paramètres!$B$8,"En retard","En cours"))))</f>
        <v/>
      </c>
      <c r="L269" s="25">
        <f>IF(K269="En retard",Paramètres!$B$4-I269,"")</f>
        <v/>
      </c>
      <c r="M269" s="27">
        <f>IF(OR(B269="",J269=""),"",J269+IFERROR(IF(VLOOKUP(C269,Revendeurs!$A:$G,7,FALSE)="",Paramètres!$B$9,VLOOKUP(C269,Revendeurs!$A:$G,7,FALSE)),Paramètres!$B$9))</f>
        <v/>
      </c>
      <c r="N269" s="22" t="n"/>
      <c r="O269" s="23">
        <f>IF(H269="","",H269-N269)</f>
        <v/>
      </c>
      <c r="P269" s="25">
        <f>IF(OR(M269="",O269=""),"",IF(O269&lt;=0,0,MAX(0,Paramètres!$B$4-M269)))</f>
        <v/>
      </c>
      <c r="Q269" s="25">
        <f>IF(H269="","",IF(O269&lt;=0,"Payée",IF(M269="","Pas encore livrée",IF(P269=0,"Non échue",IF(P269&gt;=Paramètres!$B$7,"Relance 3 : appel direction",IF(P269&gt;=Paramètres!$B$6,"Relance 2",IF(P269&gt;=Paramètres!$B$5,"Relance 1","Échue, relance à venir")))))))</f>
        <v/>
      </c>
      <c r="R269" s="25">
        <f>IF(B269="","",IF(U269=Paramètres!$B$4,"Relancé aujourd'hui",TRIM(IF(LEFT(Q269,7)="Relance",Q269&amp;" ","")&amp;IF(K269="En retard","· Prévenir du retard de livraison",""))))</f>
        <v/>
      </c>
      <c r="S269" s="28">
        <f>IF(B269="","",IF(LEFT(Q269,9)="Relance 3","Bonjour "&amp;D269&amp;", nous revenons vers vous au sujet de la commande "&amp;A269&amp;" du "&amp;TEXT(B269,"dd/mm/yyyy")&amp;" : "&amp;SUBSTITUTE(TEXT(O269,"#,##0"),","," ")&amp;" FCFA restent à régler depuis le "&amp;TEXT(M269,"dd/mm/yyyy")&amp;". Notre responsable souhaite vous appeler pour convenir ensemble d'une solution. Quel moment vous arrange cette semaine ? "&amp;Paramètres!$B$11&amp;", "&amp;Paramètres!$B$12,IF(LEFT(Q269,7)="Relance","Bonjour "&amp;D269&amp;", sauf erreur de notre part, la commande "&amp;A269&amp;" du "&amp;TEXT(B269,"dd/mm/yyyy")&amp;" ("&amp;E269&amp;") présente un reste à payer de "&amp;SUBSTITUTE(TEXT(O269,"#,##0"),","," ")&amp;" FCFA, échu depuis le "&amp;TEXT(M269,"dd/mm/yyyy")&amp;". Pouvez-vous nous indiquer la date de règlement prévue ? Si le paiement est déjà parti, merci de nous envoyer la preuve et ne tenez pas compte de ce message. "&amp;Paramètres!$B$11&amp;", "&amp;Paramètres!$B$12,IF(K269="En retard","Bonjour "&amp;D269&amp;", votre commande "&amp;A269&amp;" ("&amp;E269&amp;", "&amp;F269&amp;" pièces) prévue le "&amp;TEXT(I269,"dd/mm/yyyy")&amp;" a pris du retard. Nous vous confirmons la nouvelle date de livraison dans la journée. Toutes nos excuses pour ce contretemps. "&amp;Paramètres!$B$11&amp;", "&amp;Paramètres!$B$12,""))))</f>
        <v/>
      </c>
      <c r="T269" s="21" t="n"/>
      <c r="U269" s="26" t="n"/>
      <c r="V269" s="21" t="n"/>
    </row>
    <row r="270">
      <c r="A270" s="21" t="n"/>
      <c r="B270" s="26" t="n"/>
      <c r="C270" s="21" t="n"/>
      <c r="D270" s="25">
        <f>IF(C270="","",IFERROR(VLOOKUP(C270,Revendeurs!$A:$B,2,FALSE),"Code inconnu"))</f>
        <v/>
      </c>
      <c r="E270" s="21" t="n"/>
      <c r="F270" s="21" t="n"/>
      <c r="G270" s="22" t="n"/>
      <c r="H270" s="23">
        <f>IF(OR(F270="",G270=""),"",F270*G270)</f>
        <v/>
      </c>
      <c r="I270" s="26" t="n"/>
      <c r="J270" s="26" t="n"/>
      <c r="K270" s="25">
        <f>IF(B270="","",IF(J270&lt;&gt;"","Livrée",IF(I270="","À planifier",IF(Paramètres!$B$4&gt;I270+Paramètres!$B$8,"En retard","En cours"))))</f>
        <v/>
      </c>
      <c r="L270" s="25">
        <f>IF(K270="En retard",Paramètres!$B$4-I270,"")</f>
        <v/>
      </c>
      <c r="M270" s="27">
        <f>IF(OR(B270="",J270=""),"",J270+IFERROR(IF(VLOOKUP(C270,Revendeurs!$A:$G,7,FALSE)="",Paramètres!$B$9,VLOOKUP(C270,Revendeurs!$A:$G,7,FALSE)),Paramètres!$B$9))</f>
        <v/>
      </c>
      <c r="N270" s="22" t="n"/>
      <c r="O270" s="23">
        <f>IF(H270="","",H270-N270)</f>
        <v/>
      </c>
      <c r="P270" s="25">
        <f>IF(OR(M270="",O270=""),"",IF(O270&lt;=0,0,MAX(0,Paramètres!$B$4-M270)))</f>
        <v/>
      </c>
      <c r="Q270" s="25">
        <f>IF(H270="","",IF(O270&lt;=0,"Payée",IF(M270="","Pas encore livrée",IF(P270=0,"Non échue",IF(P270&gt;=Paramètres!$B$7,"Relance 3 : appel direction",IF(P270&gt;=Paramètres!$B$6,"Relance 2",IF(P270&gt;=Paramètres!$B$5,"Relance 1","Échue, relance à venir")))))))</f>
        <v/>
      </c>
      <c r="R270" s="25">
        <f>IF(B270="","",IF(U270=Paramètres!$B$4,"Relancé aujourd'hui",TRIM(IF(LEFT(Q270,7)="Relance",Q270&amp;" ","")&amp;IF(K270="En retard","· Prévenir du retard de livraison",""))))</f>
        <v/>
      </c>
      <c r="S270" s="28">
        <f>IF(B270="","",IF(LEFT(Q270,9)="Relance 3","Bonjour "&amp;D270&amp;", nous revenons vers vous au sujet de la commande "&amp;A270&amp;" du "&amp;TEXT(B270,"dd/mm/yyyy")&amp;" : "&amp;SUBSTITUTE(TEXT(O270,"#,##0"),","," ")&amp;" FCFA restent à régler depuis le "&amp;TEXT(M270,"dd/mm/yyyy")&amp;". Notre responsable souhaite vous appeler pour convenir ensemble d'une solution. Quel moment vous arrange cette semaine ? "&amp;Paramètres!$B$11&amp;", "&amp;Paramètres!$B$12,IF(LEFT(Q270,7)="Relance","Bonjour "&amp;D270&amp;", sauf erreur de notre part, la commande "&amp;A270&amp;" du "&amp;TEXT(B270,"dd/mm/yyyy")&amp;" ("&amp;E270&amp;") présente un reste à payer de "&amp;SUBSTITUTE(TEXT(O270,"#,##0"),","," ")&amp;" FCFA, échu depuis le "&amp;TEXT(M270,"dd/mm/yyyy")&amp;". Pouvez-vous nous indiquer la date de règlement prévue ? Si le paiement est déjà parti, merci de nous envoyer la preuve et ne tenez pas compte de ce message. "&amp;Paramètres!$B$11&amp;", "&amp;Paramètres!$B$12,IF(K270="En retard","Bonjour "&amp;D270&amp;", votre commande "&amp;A270&amp;" ("&amp;E270&amp;", "&amp;F270&amp;" pièces) prévue le "&amp;TEXT(I270,"dd/mm/yyyy")&amp;" a pris du retard. Nous vous confirmons la nouvelle date de livraison dans la journée. Toutes nos excuses pour ce contretemps. "&amp;Paramètres!$B$11&amp;", "&amp;Paramètres!$B$12,""))))</f>
        <v/>
      </c>
      <c r="T270" s="21" t="n"/>
      <c r="U270" s="26" t="n"/>
      <c r="V270" s="21" t="n"/>
    </row>
    <row r="271">
      <c r="A271" s="21" t="n"/>
      <c r="B271" s="26" t="n"/>
      <c r="C271" s="21" t="n"/>
      <c r="D271" s="25">
        <f>IF(C271="","",IFERROR(VLOOKUP(C271,Revendeurs!$A:$B,2,FALSE),"Code inconnu"))</f>
        <v/>
      </c>
      <c r="E271" s="21" t="n"/>
      <c r="F271" s="21" t="n"/>
      <c r="G271" s="22" t="n"/>
      <c r="H271" s="23">
        <f>IF(OR(F271="",G271=""),"",F271*G271)</f>
        <v/>
      </c>
      <c r="I271" s="26" t="n"/>
      <c r="J271" s="26" t="n"/>
      <c r="K271" s="25">
        <f>IF(B271="","",IF(J271&lt;&gt;"","Livrée",IF(I271="","À planifier",IF(Paramètres!$B$4&gt;I271+Paramètres!$B$8,"En retard","En cours"))))</f>
        <v/>
      </c>
      <c r="L271" s="25">
        <f>IF(K271="En retard",Paramètres!$B$4-I271,"")</f>
        <v/>
      </c>
      <c r="M271" s="27">
        <f>IF(OR(B271="",J271=""),"",J271+IFERROR(IF(VLOOKUP(C271,Revendeurs!$A:$G,7,FALSE)="",Paramètres!$B$9,VLOOKUP(C271,Revendeurs!$A:$G,7,FALSE)),Paramètres!$B$9))</f>
        <v/>
      </c>
      <c r="N271" s="22" t="n"/>
      <c r="O271" s="23">
        <f>IF(H271="","",H271-N271)</f>
        <v/>
      </c>
      <c r="P271" s="25">
        <f>IF(OR(M271="",O271=""),"",IF(O271&lt;=0,0,MAX(0,Paramètres!$B$4-M271)))</f>
        <v/>
      </c>
      <c r="Q271" s="25">
        <f>IF(H271="","",IF(O271&lt;=0,"Payée",IF(M271="","Pas encore livrée",IF(P271=0,"Non échue",IF(P271&gt;=Paramètres!$B$7,"Relance 3 : appel direction",IF(P271&gt;=Paramètres!$B$6,"Relance 2",IF(P271&gt;=Paramètres!$B$5,"Relance 1","Échue, relance à venir")))))))</f>
        <v/>
      </c>
      <c r="R271" s="25">
        <f>IF(B271="","",IF(U271=Paramètres!$B$4,"Relancé aujourd'hui",TRIM(IF(LEFT(Q271,7)="Relance",Q271&amp;" ","")&amp;IF(K271="En retard","· Prévenir du retard de livraison",""))))</f>
        <v/>
      </c>
      <c r="S271" s="28">
        <f>IF(B271="","",IF(LEFT(Q271,9)="Relance 3","Bonjour "&amp;D271&amp;", nous revenons vers vous au sujet de la commande "&amp;A271&amp;" du "&amp;TEXT(B271,"dd/mm/yyyy")&amp;" : "&amp;SUBSTITUTE(TEXT(O271,"#,##0"),","," ")&amp;" FCFA restent à régler depuis le "&amp;TEXT(M271,"dd/mm/yyyy")&amp;". Notre responsable souhaite vous appeler pour convenir ensemble d'une solution. Quel moment vous arrange cette semaine ? "&amp;Paramètres!$B$11&amp;", "&amp;Paramètres!$B$12,IF(LEFT(Q271,7)="Relance","Bonjour "&amp;D271&amp;", sauf erreur de notre part, la commande "&amp;A271&amp;" du "&amp;TEXT(B271,"dd/mm/yyyy")&amp;" ("&amp;E271&amp;") présente un reste à payer de "&amp;SUBSTITUTE(TEXT(O271,"#,##0"),","," ")&amp;" FCFA, échu depuis le "&amp;TEXT(M271,"dd/mm/yyyy")&amp;". Pouvez-vous nous indiquer la date de règlement prévue ? Si le paiement est déjà parti, merci de nous envoyer la preuve et ne tenez pas compte de ce message. "&amp;Paramètres!$B$11&amp;", "&amp;Paramètres!$B$12,IF(K271="En retard","Bonjour "&amp;D271&amp;", votre commande "&amp;A271&amp;" ("&amp;E271&amp;", "&amp;F271&amp;" pièces) prévue le "&amp;TEXT(I271,"dd/mm/yyyy")&amp;" a pris du retard. Nous vous confirmons la nouvelle date de livraison dans la journée. Toutes nos excuses pour ce contretemps. "&amp;Paramètres!$B$11&amp;", "&amp;Paramètres!$B$12,""))))</f>
        <v/>
      </c>
      <c r="T271" s="21" t="n"/>
      <c r="U271" s="26" t="n"/>
      <c r="V271" s="21" t="n"/>
    </row>
    <row r="272">
      <c r="A272" s="21" t="n"/>
      <c r="B272" s="26" t="n"/>
      <c r="C272" s="21" t="n"/>
      <c r="D272" s="25">
        <f>IF(C272="","",IFERROR(VLOOKUP(C272,Revendeurs!$A:$B,2,FALSE),"Code inconnu"))</f>
        <v/>
      </c>
      <c r="E272" s="21" t="n"/>
      <c r="F272" s="21" t="n"/>
      <c r="G272" s="22" t="n"/>
      <c r="H272" s="23">
        <f>IF(OR(F272="",G272=""),"",F272*G272)</f>
        <v/>
      </c>
      <c r="I272" s="26" t="n"/>
      <c r="J272" s="26" t="n"/>
      <c r="K272" s="25">
        <f>IF(B272="","",IF(J272&lt;&gt;"","Livrée",IF(I272="","À planifier",IF(Paramètres!$B$4&gt;I272+Paramètres!$B$8,"En retard","En cours"))))</f>
        <v/>
      </c>
      <c r="L272" s="25">
        <f>IF(K272="En retard",Paramètres!$B$4-I272,"")</f>
        <v/>
      </c>
      <c r="M272" s="27">
        <f>IF(OR(B272="",J272=""),"",J272+IFERROR(IF(VLOOKUP(C272,Revendeurs!$A:$G,7,FALSE)="",Paramètres!$B$9,VLOOKUP(C272,Revendeurs!$A:$G,7,FALSE)),Paramètres!$B$9))</f>
        <v/>
      </c>
      <c r="N272" s="22" t="n"/>
      <c r="O272" s="23">
        <f>IF(H272="","",H272-N272)</f>
        <v/>
      </c>
      <c r="P272" s="25">
        <f>IF(OR(M272="",O272=""),"",IF(O272&lt;=0,0,MAX(0,Paramètres!$B$4-M272)))</f>
        <v/>
      </c>
      <c r="Q272" s="25">
        <f>IF(H272="","",IF(O272&lt;=0,"Payée",IF(M272="","Pas encore livrée",IF(P272=0,"Non échue",IF(P272&gt;=Paramètres!$B$7,"Relance 3 : appel direction",IF(P272&gt;=Paramètres!$B$6,"Relance 2",IF(P272&gt;=Paramètres!$B$5,"Relance 1","Échue, relance à venir")))))))</f>
        <v/>
      </c>
      <c r="R272" s="25">
        <f>IF(B272="","",IF(U272=Paramètres!$B$4,"Relancé aujourd'hui",TRIM(IF(LEFT(Q272,7)="Relance",Q272&amp;" ","")&amp;IF(K272="En retard","· Prévenir du retard de livraison",""))))</f>
        <v/>
      </c>
      <c r="S272" s="28">
        <f>IF(B272="","",IF(LEFT(Q272,9)="Relance 3","Bonjour "&amp;D272&amp;", nous revenons vers vous au sujet de la commande "&amp;A272&amp;" du "&amp;TEXT(B272,"dd/mm/yyyy")&amp;" : "&amp;SUBSTITUTE(TEXT(O272,"#,##0"),","," ")&amp;" FCFA restent à régler depuis le "&amp;TEXT(M272,"dd/mm/yyyy")&amp;". Notre responsable souhaite vous appeler pour convenir ensemble d'une solution. Quel moment vous arrange cette semaine ? "&amp;Paramètres!$B$11&amp;", "&amp;Paramètres!$B$12,IF(LEFT(Q272,7)="Relance","Bonjour "&amp;D272&amp;", sauf erreur de notre part, la commande "&amp;A272&amp;" du "&amp;TEXT(B272,"dd/mm/yyyy")&amp;" ("&amp;E272&amp;") présente un reste à payer de "&amp;SUBSTITUTE(TEXT(O272,"#,##0"),","," ")&amp;" FCFA, échu depuis le "&amp;TEXT(M272,"dd/mm/yyyy")&amp;". Pouvez-vous nous indiquer la date de règlement prévue ? Si le paiement est déjà parti, merci de nous envoyer la preuve et ne tenez pas compte de ce message. "&amp;Paramètres!$B$11&amp;", "&amp;Paramètres!$B$12,IF(K272="En retard","Bonjour "&amp;D272&amp;", votre commande "&amp;A272&amp;" ("&amp;E272&amp;", "&amp;F272&amp;" pièces) prévue le "&amp;TEXT(I272,"dd/mm/yyyy")&amp;" a pris du retard. Nous vous confirmons la nouvelle date de livraison dans la journée. Toutes nos excuses pour ce contretemps. "&amp;Paramètres!$B$11&amp;", "&amp;Paramètres!$B$12,""))))</f>
        <v/>
      </c>
      <c r="T272" s="21" t="n"/>
      <c r="U272" s="26" t="n"/>
      <c r="V272" s="21" t="n"/>
    </row>
    <row r="273">
      <c r="A273" s="21" t="n"/>
      <c r="B273" s="26" t="n"/>
      <c r="C273" s="21" t="n"/>
      <c r="D273" s="25">
        <f>IF(C273="","",IFERROR(VLOOKUP(C273,Revendeurs!$A:$B,2,FALSE),"Code inconnu"))</f>
        <v/>
      </c>
      <c r="E273" s="21" t="n"/>
      <c r="F273" s="21" t="n"/>
      <c r="G273" s="22" t="n"/>
      <c r="H273" s="23">
        <f>IF(OR(F273="",G273=""),"",F273*G273)</f>
        <v/>
      </c>
      <c r="I273" s="26" t="n"/>
      <c r="J273" s="26" t="n"/>
      <c r="K273" s="25">
        <f>IF(B273="","",IF(J273&lt;&gt;"","Livrée",IF(I273="","À planifier",IF(Paramètres!$B$4&gt;I273+Paramètres!$B$8,"En retard","En cours"))))</f>
        <v/>
      </c>
      <c r="L273" s="25">
        <f>IF(K273="En retard",Paramètres!$B$4-I273,"")</f>
        <v/>
      </c>
      <c r="M273" s="27">
        <f>IF(OR(B273="",J273=""),"",J273+IFERROR(IF(VLOOKUP(C273,Revendeurs!$A:$G,7,FALSE)="",Paramètres!$B$9,VLOOKUP(C273,Revendeurs!$A:$G,7,FALSE)),Paramètres!$B$9))</f>
        <v/>
      </c>
      <c r="N273" s="22" t="n"/>
      <c r="O273" s="23">
        <f>IF(H273="","",H273-N273)</f>
        <v/>
      </c>
      <c r="P273" s="25">
        <f>IF(OR(M273="",O273=""),"",IF(O273&lt;=0,0,MAX(0,Paramètres!$B$4-M273)))</f>
        <v/>
      </c>
      <c r="Q273" s="25">
        <f>IF(H273="","",IF(O273&lt;=0,"Payée",IF(M273="","Pas encore livrée",IF(P273=0,"Non échue",IF(P273&gt;=Paramètres!$B$7,"Relance 3 : appel direction",IF(P273&gt;=Paramètres!$B$6,"Relance 2",IF(P273&gt;=Paramètres!$B$5,"Relance 1","Échue, relance à venir")))))))</f>
        <v/>
      </c>
      <c r="R273" s="25">
        <f>IF(B273="","",IF(U273=Paramètres!$B$4,"Relancé aujourd'hui",TRIM(IF(LEFT(Q273,7)="Relance",Q273&amp;" ","")&amp;IF(K273="En retard","· Prévenir du retard de livraison",""))))</f>
        <v/>
      </c>
      <c r="S273" s="28">
        <f>IF(B273="","",IF(LEFT(Q273,9)="Relance 3","Bonjour "&amp;D273&amp;", nous revenons vers vous au sujet de la commande "&amp;A273&amp;" du "&amp;TEXT(B273,"dd/mm/yyyy")&amp;" : "&amp;SUBSTITUTE(TEXT(O273,"#,##0"),","," ")&amp;" FCFA restent à régler depuis le "&amp;TEXT(M273,"dd/mm/yyyy")&amp;". Notre responsable souhaite vous appeler pour convenir ensemble d'une solution. Quel moment vous arrange cette semaine ? "&amp;Paramètres!$B$11&amp;", "&amp;Paramètres!$B$12,IF(LEFT(Q273,7)="Relance","Bonjour "&amp;D273&amp;", sauf erreur de notre part, la commande "&amp;A273&amp;" du "&amp;TEXT(B273,"dd/mm/yyyy")&amp;" ("&amp;E273&amp;") présente un reste à payer de "&amp;SUBSTITUTE(TEXT(O273,"#,##0"),","," ")&amp;" FCFA, échu depuis le "&amp;TEXT(M273,"dd/mm/yyyy")&amp;". Pouvez-vous nous indiquer la date de règlement prévue ? Si le paiement est déjà parti, merci de nous envoyer la preuve et ne tenez pas compte de ce message. "&amp;Paramètres!$B$11&amp;", "&amp;Paramètres!$B$12,IF(K273="En retard","Bonjour "&amp;D273&amp;", votre commande "&amp;A273&amp;" ("&amp;E273&amp;", "&amp;F273&amp;" pièces) prévue le "&amp;TEXT(I273,"dd/mm/yyyy")&amp;" a pris du retard. Nous vous confirmons la nouvelle date de livraison dans la journée. Toutes nos excuses pour ce contretemps. "&amp;Paramètres!$B$11&amp;", "&amp;Paramètres!$B$12,""))))</f>
        <v/>
      </c>
      <c r="T273" s="21" t="n"/>
      <c r="U273" s="26" t="n"/>
      <c r="V273" s="21" t="n"/>
    </row>
    <row r="274">
      <c r="A274" s="21" t="n"/>
      <c r="B274" s="26" t="n"/>
      <c r="C274" s="21" t="n"/>
      <c r="D274" s="25">
        <f>IF(C274="","",IFERROR(VLOOKUP(C274,Revendeurs!$A:$B,2,FALSE),"Code inconnu"))</f>
        <v/>
      </c>
      <c r="E274" s="21" t="n"/>
      <c r="F274" s="21" t="n"/>
      <c r="G274" s="22" t="n"/>
      <c r="H274" s="23">
        <f>IF(OR(F274="",G274=""),"",F274*G274)</f>
        <v/>
      </c>
      <c r="I274" s="26" t="n"/>
      <c r="J274" s="26" t="n"/>
      <c r="K274" s="25">
        <f>IF(B274="","",IF(J274&lt;&gt;"","Livrée",IF(I274="","À planifier",IF(Paramètres!$B$4&gt;I274+Paramètres!$B$8,"En retard","En cours"))))</f>
        <v/>
      </c>
      <c r="L274" s="25">
        <f>IF(K274="En retard",Paramètres!$B$4-I274,"")</f>
        <v/>
      </c>
      <c r="M274" s="27">
        <f>IF(OR(B274="",J274=""),"",J274+IFERROR(IF(VLOOKUP(C274,Revendeurs!$A:$G,7,FALSE)="",Paramètres!$B$9,VLOOKUP(C274,Revendeurs!$A:$G,7,FALSE)),Paramètres!$B$9))</f>
        <v/>
      </c>
      <c r="N274" s="22" t="n"/>
      <c r="O274" s="23">
        <f>IF(H274="","",H274-N274)</f>
        <v/>
      </c>
      <c r="P274" s="25">
        <f>IF(OR(M274="",O274=""),"",IF(O274&lt;=0,0,MAX(0,Paramètres!$B$4-M274)))</f>
        <v/>
      </c>
      <c r="Q274" s="25">
        <f>IF(H274="","",IF(O274&lt;=0,"Payée",IF(M274="","Pas encore livrée",IF(P274=0,"Non échue",IF(P274&gt;=Paramètres!$B$7,"Relance 3 : appel direction",IF(P274&gt;=Paramètres!$B$6,"Relance 2",IF(P274&gt;=Paramètres!$B$5,"Relance 1","Échue, relance à venir")))))))</f>
        <v/>
      </c>
      <c r="R274" s="25">
        <f>IF(B274="","",IF(U274=Paramètres!$B$4,"Relancé aujourd'hui",TRIM(IF(LEFT(Q274,7)="Relance",Q274&amp;" ","")&amp;IF(K274="En retard","· Prévenir du retard de livraison",""))))</f>
        <v/>
      </c>
      <c r="S274" s="28">
        <f>IF(B274="","",IF(LEFT(Q274,9)="Relance 3","Bonjour "&amp;D274&amp;", nous revenons vers vous au sujet de la commande "&amp;A274&amp;" du "&amp;TEXT(B274,"dd/mm/yyyy")&amp;" : "&amp;SUBSTITUTE(TEXT(O274,"#,##0"),","," ")&amp;" FCFA restent à régler depuis le "&amp;TEXT(M274,"dd/mm/yyyy")&amp;". Notre responsable souhaite vous appeler pour convenir ensemble d'une solution. Quel moment vous arrange cette semaine ? "&amp;Paramètres!$B$11&amp;", "&amp;Paramètres!$B$12,IF(LEFT(Q274,7)="Relance","Bonjour "&amp;D274&amp;", sauf erreur de notre part, la commande "&amp;A274&amp;" du "&amp;TEXT(B274,"dd/mm/yyyy")&amp;" ("&amp;E274&amp;") présente un reste à payer de "&amp;SUBSTITUTE(TEXT(O274,"#,##0"),","," ")&amp;" FCFA, échu depuis le "&amp;TEXT(M274,"dd/mm/yyyy")&amp;". Pouvez-vous nous indiquer la date de règlement prévue ? Si le paiement est déjà parti, merci de nous envoyer la preuve et ne tenez pas compte de ce message. "&amp;Paramètres!$B$11&amp;", "&amp;Paramètres!$B$12,IF(K274="En retard","Bonjour "&amp;D274&amp;", votre commande "&amp;A274&amp;" ("&amp;E274&amp;", "&amp;F274&amp;" pièces) prévue le "&amp;TEXT(I274,"dd/mm/yyyy")&amp;" a pris du retard. Nous vous confirmons la nouvelle date de livraison dans la journée. Toutes nos excuses pour ce contretemps. "&amp;Paramètres!$B$11&amp;", "&amp;Paramètres!$B$12,""))))</f>
        <v/>
      </c>
      <c r="T274" s="21" t="n"/>
      <c r="U274" s="26" t="n"/>
      <c r="V274" s="21" t="n"/>
    </row>
    <row r="275">
      <c r="A275" s="21" t="n"/>
      <c r="B275" s="26" t="n"/>
      <c r="C275" s="21" t="n"/>
      <c r="D275" s="25">
        <f>IF(C275="","",IFERROR(VLOOKUP(C275,Revendeurs!$A:$B,2,FALSE),"Code inconnu"))</f>
        <v/>
      </c>
      <c r="E275" s="21" t="n"/>
      <c r="F275" s="21" t="n"/>
      <c r="G275" s="22" t="n"/>
      <c r="H275" s="23">
        <f>IF(OR(F275="",G275=""),"",F275*G275)</f>
        <v/>
      </c>
      <c r="I275" s="26" t="n"/>
      <c r="J275" s="26" t="n"/>
      <c r="K275" s="25">
        <f>IF(B275="","",IF(J275&lt;&gt;"","Livrée",IF(I275="","À planifier",IF(Paramètres!$B$4&gt;I275+Paramètres!$B$8,"En retard","En cours"))))</f>
        <v/>
      </c>
      <c r="L275" s="25">
        <f>IF(K275="En retard",Paramètres!$B$4-I275,"")</f>
        <v/>
      </c>
      <c r="M275" s="27">
        <f>IF(OR(B275="",J275=""),"",J275+IFERROR(IF(VLOOKUP(C275,Revendeurs!$A:$G,7,FALSE)="",Paramètres!$B$9,VLOOKUP(C275,Revendeurs!$A:$G,7,FALSE)),Paramètres!$B$9))</f>
        <v/>
      </c>
      <c r="N275" s="22" t="n"/>
      <c r="O275" s="23">
        <f>IF(H275="","",H275-N275)</f>
        <v/>
      </c>
      <c r="P275" s="25">
        <f>IF(OR(M275="",O275=""),"",IF(O275&lt;=0,0,MAX(0,Paramètres!$B$4-M275)))</f>
        <v/>
      </c>
      <c r="Q275" s="25">
        <f>IF(H275="","",IF(O275&lt;=0,"Payée",IF(M275="","Pas encore livrée",IF(P275=0,"Non échue",IF(P275&gt;=Paramètres!$B$7,"Relance 3 : appel direction",IF(P275&gt;=Paramètres!$B$6,"Relance 2",IF(P275&gt;=Paramètres!$B$5,"Relance 1","Échue, relance à venir")))))))</f>
        <v/>
      </c>
      <c r="R275" s="25">
        <f>IF(B275="","",IF(U275=Paramètres!$B$4,"Relancé aujourd'hui",TRIM(IF(LEFT(Q275,7)="Relance",Q275&amp;" ","")&amp;IF(K275="En retard","· Prévenir du retard de livraison",""))))</f>
        <v/>
      </c>
      <c r="S275" s="28">
        <f>IF(B275="","",IF(LEFT(Q275,9)="Relance 3","Bonjour "&amp;D275&amp;", nous revenons vers vous au sujet de la commande "&amp;A275&amp;" du "&amp;TEXT(B275,"dd/mm/yyyy")&amp;" : "&amp;SUBSTITUTE(TEXT(O275,"#,##0"),","," ")&amp;" FCFA restent à régler depuis le "&amp;TEXT(M275,"dd/mm/yyyy")&amp;". Notre responsable souhaite vous appeler pour convenir ensemble d'une solution. Quel moment vous arrange cette semaine ? "&amp;Paramètres!$B$11&amp;", "&amp;Paramètres!$B$12,IF(LEFT(Q275,7)="Relance","Bonjour "&amp;D275&amp;", sauf erreur de notre part, la commande "&amp;A275&amp;" du "&amp;TEXT(B275,"dd/mm/yyyy")&amp;" ("&amp;E275&amp;") présente un reste à payer de "&amp;SUBSTITUTE(TEXT(O275,"#,##0"),","," ")&amp;" FCFA, échu depuis le "&amp;TEXT(M275,"dd/mm/yyyy")&amp;". Pouvez-vous nous indiquer la date de règlement prévue ? Si le paiement est déjà parti, merci de nous envoyer la preuve et ne tenez pas compte de ce message. "&amp;Paramètres!$B$11&amp;", "&amp;Paramètres!$B$12,IF(K275="En retard","Bonjour "&amp;D275&amp;", votre commande "&amp;A275&amp;" ("&amp;E275&amp;", "&amp;F275&amp;" pièces) prévue le "&amp;TEXT(I275,"dd/mm/yyyy")&amp;" a pris du retard. Nous vous confirmons la nouvelle date de livraison dans la journée. Toutes nos excuses pour ce contretemps. "&amp;Paramètres!$B$11&amp;", "&amp;Paramètres!$B$12,""))))</f>
        <v/>
      </c>
      <c r="T275" s="21" t="n"/>
      <c r="U275" s="26" t="n"/>
      <c r="V275" s="21" t="n"/>
    </row>
    <row r="276">
      <c r="A276" s="21" t="n"/>
      <c r="B276" s="26" t="n"/>
      <c r="C276" s="21" t="n"/>
      <c r="D276" s="25">
        <f>IF(C276="","",IFERROR(VLOOKUP(C276,Revendeurs!$A:$B,2,FALSE),"Code inconnu"))</f>
        <v/>
      </c>
      <c r="E276" s="21" t="n"/>
      <c r="F276" s="21" t="n"/>
      <c r="G276" s="22" t="n"/>
      <c r="H276" s="23">
        <f>IF(OR(F276="",G276=""),"",F276*G276)</f>
        <v/>
      </c>
      <c r="I276" s="26" t="n"/>
      <c r="J276" s="26" t="n"/>
      <c r="K276" s="25">
        <f>IF(B276="","",IF(J276&lt;&gt;"","Livrée",IF(I276="","À planifier",IF(Paramètres!$B$4&gt;I276+Paramètres!$B$8,"En retard","En cours"))))</f>
        <v/>
      </c>
      <c r="L276" s="25">
        <f>IF(K276="En retard",Paramètres!$B$4-I276,"")</f>
        <v/>
      </c>
      <c r="M276" s="27">
        <f>IF(OR(B276="",J276=""),"",J276+IFERROR(IF(VLOOKUP(C276,Revendeurs!$A:$G,7,FALSE)="",Paramètres!$B$9,VLOOKUP(C276,Revendeurs!$A:$G,7,FALSE)),Paramètres!$B$9))</f>
        <v/>
      </c>
      <c r="N276" s="22" t="n"/>
      <c r="O276" s="23">
        <f>IF(H276="","",H276-N276)</f>
        <v/>
      </c>
      <c r="P276" s="25">
        <f>IF(OR(M276="",O276=""),"",IF(O276&lt;=0,0,MAX(0,Paramètres!$B$4-M276)))</f>
        <v/>
      </c>
      <c r="Q276" s="25">
        <f>IF(H276="","",IF(O276&lt;=0,"Payée",IF(M276="","Pas encore livrée",IF(P276=0,"Non échue",IF(P276&gt;=Paramètres!$B$7,"Relance 3 : appel direction",IF(P276&gt;=Paramètres!$B$6,"Relance 2",IF(P276&gt;=Paramètres!$B$5,"Relance 1","Échue, relance à venir")))))))</f>
        <v/>
      </c>
      <c r="R276" s="25">
        <f>IF(B276="","",IF(U276=Paramètres!$B$4,"Relancé aujourd'hui",TRIM(IF(LEFT(Q276,7)="Relance",Q276&amp;" ","")&amp;IF(K276="En retard","· Prévenir du retard de livraison",""))))</f>
        <v/>
      </c>
      <c r="S276" s="28">
        <f>IF(B276="","",IF(LEFT(Q276,9)="Relance 3","Bonjour "&amp;D276&amp;", nous revenons vers vous au sujet de la commande "&amp;A276&amp;" du "&amp;TEXT(B276,"dd/mm/yyyy")&amp;" : "&amp;SUBSTITUTE(TEXT(O276,"#,##0"),","," ")&amp;" FCFA restent à régler depuis le "&amp;TEXT(M276,"dd/mm/yyyy")&amp;". Notre responsable souhaite vous appeler pour convenir ensemble d'une solution. Quel moment vous arrange cette semaine ? "&amp;Paramètres!$B$11&amp;", "&amp;Paramètres!$B$12,IF(LEFT(Q276,7)="Relance","Bonjour "&amp;D276&amp;", sauf erreur de notre part, la commande "&amp;A276&amp;" du "&amp;TEXT(B276,"dd/mm/yyyy")&amp;" ("&amp;E276&amp;") présente un reste à payer de "&amp;SUBSTITUTE(TEXT(O276,"#,##0"),","," ")&amp;" FCFA, échu depuis le "&amp;TEXT(M276,"dd/mm/yyyy")&amp;". Pouvez-vous nous indiquer la date de règlement prévue ? Si le paiement est déjà parti, merci de nous envoyer la preuve et ne tenez pas compte de ce message. "&amp;Paramètres!$B$11&amp;", "&amp;Paramètres!$B$12,IF(K276="En retard","Bonjour "&amp;D276&amp;", votre commande "&amp;A276&amp;" ("&amp;E276&amp;", "&amp;F276&amp;" pièces) prévue le "&amp;TEXT(I276,"dd/mm/yyyy")&amp;" a pris du retard. Nous vous confirmons la nouvelle date de livraison dans la journée. Toutes nos excuses pour ce contretemps. "&amp;Paramètres!$B$11&amp;", "&amp;Paramètres!$B$12,""))))</f>
        <v/>
      </c>
      <c r="T276" s="21" t="n"/>
      <c r="U276" s="26" t="n"/>
      <c r="V276" s="21" t="n"/>
    </row>
    <row r="277">
      <c r="A277" s="21" t="n"/>
      <c r="B277" s="26" t="n"/>
      <c r="C277" s="21" t="n"/>
      <c r="D277" s="25">
        <f>IF(C277="","",IFERROR(VLOOKUP(C277,Revendeurs!$A:$B,2,FALSE),"Code inconnu"))</f>
        <v/>
      </c>
      <c r="E277" s="21" t="n"/>
      <c r="F277" s="21" t="n"/>
      <c r="G277" s="22" t="n"/>
      <c r="H277" s="23">
        <f>IF(OR(F277="",G277=""),"",F277*G277)</f>
        <v/>
      </c>
      <c r="I277" s="26" t="n"/>
      <c r="J277" s="26" t="n"/>
      <c r="K277" s="25">
        <f>IF(B277="","",IF(J277&lt;&gt;"","Livrée",IF(I277="","À planifier",IF(Paramètres!$B$4&gt;I277+Paramètres!$B$8,"En retard","En cours"))))</f>
        <v/>
      </c>
      <c r="L277" s="25">
        <f>IF(K277="En retard",Paramètres!$B$4-I277,"")</f>
        <v/>
      </c>
      <c r="M277" s="27">
        <f>IF(OR(B277="",J277=""),"",J277+IFERROR(IF(VLOOKUP(C277,Revendeurs!$A:$G,7,FALSE)="",Paramètres!$B$9,VLOOKUP(C277,Revendeurs!$A:$G,7,FALSE)),Paramètres!$B$9))</f>
        <v/>
      </c>
      <c r="N277" s="22" t="n"/>
      <c r="O277" s="23">
        <f>IF(H277="","",H277-N277)</f>
        <v/>
      </c>
      <c r="P277" s="25">
        <f>IF(OR(M277="",O277=""),"",IF(O277&lt;=0,0,MAX(0,Paramètres!$B$4-M277)))</f>
        <v/>
      </c>
      <c r="Q277" s="25">
        <f>IF(H277="","",IF(O277&lt;=0,"Payée",IF(M277="","Pas encore livrée",IF(P277=0,"Non échue",IF(P277&gt;=Paramètres!$B$7,"Relance 3 : appel direction",IF(P277&gt;=Paramètres!$B$6,"Relance 2",IF(P277&gt;=Paramètres!$B$5,"Relance 1","Échue, relance à venir")))))))</f>
        <v/>
      </c>
      <c r="R277" s="25">
        <f>IF(B277="","",IF(U277=Paramètres!$B$4,"Relancé aujourd'hui",TRIM(IF(LEFT(Q277,7)="Relance",Q277&amp;" ","")&amp;IF(K277="En retard","· Prévenir du retard de livraison",""))))</f>
        <v/>
      </c>
      <c r="S277" s="28">
        <f>IF(B277="","",IF(LEFT(Q277,9)="Relance 3","Bonjour "&amp;D277&amp;", nous revenons vers vous au sujet de la commande "&amp;A277&amp;" du "&amp;TEXT(B277,"dd/mm/yyyy")&amp;" : "&amp;SUBSTITUTE(TEXT(O277,"#,##0"),","," ")&amp;" FCFA restent à régler depuis le "&amp;TEXT(M277,"dd/mm/yyyy")&amp;". Notre responsable souhaite vous appeler pour convenir ensemble d'une solution. Quel moment vous arrange cette semaine ? "&amp;Paramètres!$B$11&amp;", "&amp;Paramètres!$B$12,IF(LEFT(Q277,7)="Relance","Bonjour "&amp;D277&amp;", sauf erreur de notre part, la commande "&amp;A277&amp;" du "&amp;TEXT(B277,"dd/mm/yyyy")&amp;" ("&amp;E277&amp;") présente un reste à payer de "&amp;SUBSTITUTE(TEXT(O277,"#,##0"),","," ")&amp;" FCFA, échu depuis le "&amp;TEXT(M277,"dd/mm/yyyy")&amp;". Pouvez-vous nous indiquer la date de règlement prévue ? Si le paiement est déjà parti, merci de nous envoyer la preuve et ne tenez pas compte de ce message. "&amp;Paramètres!$B$11&amp;", "&amp;Paramètres!$B$12,IF(K277="En retard","Bonjour "&amp;D277&amp;", votre commande "&amp;A277&amp;" ("&amp;E277&amp;", "&amp;F277&amp;" pièces) prévue le "&amp;TEXT(I277,"dd/mm/yyyy")&amp;" a pris du retard. Nous vous confirmons la nouvelle date de livraison dans la journée. Toutes nos excuses pour ce contretemps. "&amp;Paramètres!$B$11&amp;", "&amp;Paramètres!$B$12,""))))</f>
        <v/>
      </c>
      <c r="T277" s="21" t="n"/>
      <c r="U277" s="26" t="n"/>
      <c r="V277" s="21" t="n"/>
    </row>
    <row r="278">
      <c r="A278" s="21" t="n"/>
      <c r="B278" s="26" t="n"/>
      <c r="C278" s="21" t="n"/>
      <c r="D278" s="25">
        <f>IF(C278="","",IFERROR(VLOOKUP(C278,Revendeurs!$A:$B,2,FALSE),"Code inconnu"))</f>
        <v/>
      </c>
      <c r="E278" s="21" t="n"/>
      <c r="F278" s="21" t="n"/>
      <c r="G278" s="22" t="n"/>
      <c r="H278" s="23">
        <f>IF(OR(F278="",G278=""),"",F278*G278)</f>
        <v/>
      </c>
      <c r="I278" s="26" t="n"/>
      <c r="J278" s="26" t="n"/>
      <c r="K278" s="25">
        <f>IF(B278="","",IF(J278&lt;&gt;"","Livrée",IF(I278="","À planifier",IF(Paramètres!$B$4&gt;I278+Paramètres!$B$8,"En retard","En cours"))))</f>
        <v/>
      </c>
      <c r="L278" s="25">
        <f>IF(K278="En retard",Paramètres!$B$4-I278,"")</f>
        <v/>
      </c>
      <c r="M278" s="27">
        <f>IF(OR(B278="",J278=""),"",J278+IFERROR(IF(VLOOKUP(C278,Revendeurs!$A:$G,7,FALSE)="",Paramètres!$B$9,VLOOKUP(C278,Revendeurs!$A:$G,7,FALSE)),Paramètres!$B$9))</f>
        <v/>
      </c>
      <c r="N278" s="22" t="n"/>
      <c r="O278" s="23">
        <f>IF(H278="","",H278-N278)</f>
        <v/>
      </c>
      <c r="P278" s="25">
        <f>IF(OR(M278="",O278=""),"",IF(O278&lt;=0,0,MAX(0,Paramètres!$B$4-M278)))</f>
        <v/>
      </c>
      <c r="Q278" s="25">
        <f>IF(H278="","",IF(O278&lt;=0,"Payée",IF(M278="","Pas encore livrée",IF(P278=0,"Non échue",IF(P278&gt;=Paramètres!$B$7,"Relance 3 : appel direction",IF(P278&gt;=Paramètres!$B$6,"Relance 2",IF(P278&gt;=Paramètres!$B$5,"Relance 1","Échue, relance à venir")))))))</f>
        <v/>
      </c>
      <c r="R278" s="25">
        <f>IF(B278="","",IF(U278=Paramètres!$B$4,"Relancé aujourd'hui",TRIM(IF(LEFT(Q278,7)="Relance",Q278&amp;" ","")&amp;IF(K278="En retard","· Prévenir du retard de livraison",""))))</f>
        <v/>
      </c>
      <c r="S278" s="28">
        <f>IF(B278="","",IF(LEFT(Q278,9)="Relance 3","Bonjour "&amp;D278&amp;", nous revenons vers vous au sujet de la commande "&amp;A278&amp;" du "&amp;TEXT(B278,"dd/mm/yyyy")&amp;" : "&amp;SUBSTITUTE(TEXT(O278,"#,##0"),","," ")&amp;" FCFA restent à régler depuis le "&amp;TEXT(M278,"dd/mm/yyyy")&amp;". Notre responsable souhaite vous appeler pour convenir ensemble d'une solution. Quel moment vous arrange cette semaine ? "&amp;Paramètres!$B$11&amp;", "&amp;Paramètres!$B$12,IF(LEFT(Q278,7)="Relance","Bonjour "&amp;D278&amp;", sauf erreur de notre part, la commande "&amp;A278&amp;" du "&amp;TEXT(B278,"dd/mm/yyyy")&amp;" ("&amp;E278&amp;") présente un reste à payer de "&amp;SUBSTITUTE(TEXT(O278,"#,##0"),","," ")&amp;" FCFA, échu depuis le "&amp;TEXT(M278,"dd/mm/yyyy")&amp;". Pouvez-vous nous indiquer la date de règlement prévue ? Si le paiement est déjà parti, merci de nous envoyer la preuve et ne tenez pas compte de ce message. "&amp;Paramètres!$B$11&amp;", "&amp;Paramètres!$B$12,IF(K278="En retard","Bonjour "&amp;D278&amp;", votre commande "&amp;A278&amp;" ("&amp;E278&amp;", "&amp;F278&amp;" pièces) prévue le "&amp;TEXT(I278,"dd/mm/yyyy")&amp;" a pris du retard. Nous vous confirmons la nouvelle date de livraison dans la journée. Toutes nos excuses pour ce contretemps. "&amp;Paramètres!$B$11&amp;", "&amp;Paramètres!$B$12,""))))</f>
        <v/>
      </c>
      <c r="T278" s="21" t="n"/>
      <c r="U278" s="26" t="n"/>
      <c r="V278" s="21" t="n"/>
    </row>
    <row r="279">
      <c r="A279" s="21" t="n"/>
      <c r="B279" s="26" t="n"/>
      <c r="C279" s="21" t="n"/>
      <c r="D279" s="25">
        <f>IF(C279="","",IFERROR(VLOOKUP(C279,Revendeurs!$A:$B,2,FALSE),"Code inconnu"))</f>
        <v/>
      </c>
      <c r="E279" s="21" t="n"/>
      <c r="F279" s="21" t="n"/>
      <c r="G279" s="22" t="n"/>
      <c r="H279" s="23">
        <f>IF(OR(F279="",G279=""),"",F279*G279)</f>
        <v/>
      </c>
      <c r="I279" s="26" t="n"/>
      <c r="J279" s="26" t="n"/>
      <c r="K279" s="25">
        <f>IF(B279="","",IF(J279&lt;&gt;"","Livrée",IF(I279="","À planifier",IF(Paramètres!$B$4&gt;I279+Paramètres!$B$8,"En retard","En cours"))))</f>
        <v/>
      </c>
      <c r="L279" s="25">
        <f>IF(K279="En retard",Paramètres!$B$4-I279,"")</f>
        <v/>
      </c>
      <c r="M279" s="27">
        <f>IF(OR(B279="",J279=""),"",J279+IFERROR(IF(VLOOKUP(C279,Revendeurs!$A:$G,7,FALSE)="",Paramètres!$B$9,VLOOKUP(C279,Revendeurs!$A:$G,7,FALSE)),Paramètres!$B$9))</f>
        <v/>
      </c>
      <c r="N279" s="22" t="n"/>
      <c r="O279" s="23">
        <f>IF(H279="","",H279-N279)</f>
        <v/>
      </c>
      <c r="P279" s="25">
        <f>IF(OR(M279="",O279=""),"",IF(O279&lt;=0,0,MAX(0,Paramètres!$B$4-M279)))</f>
        <v/>
      </c>
      <c r="Q279" s="25">
        <f>IF(H279="","",IF(O279&lt;=0,"Payée",IF(M279="","Pas encore livrée",IF(P279=0,"Non échue",IF(P279&gt;=Paramètres!$B$7,"Relance 3 : appel direction",IF(P279&gt;=Paramètres!$B$6,"Relance 2",IF(P279&gt;=Paramètres!$B$5,"Relance 1","Échue, relance à venir")))))))</f>
        <v/>
      </c>
      <c r="R279" s="25">
        <f>IF(B279="","",IF(U279=Paramètres!$B$4,"Relancé aujourd'hui",TRIM(IF(LEFT(Q279,7)="Relance",Q279&amp;" ","")&amp;IF(K279="En retard","· Prévenir du retard de livraison",""))))</f>
        <v/>
      </c>
      <c r="S279" s="28">
        <f>IF(B279="","",IF(LEFT(Q279,9)="Relance 3","Bonjour "&amp;D279&amp;", nous revenons vers vous au sujet de la commande "&amp;A279&amp;" du "&amp;TEXT(B279,"dd/mm/yyyy")&amp;" : "&amp;SUBSTITUTE(TEXT(O279,"#,##0"),","," ")&amp;" FCFA restent à régler depuis le "&amp;TEXT(M279,"dd/mm/yyyy")&amp;". Notre responsable souhaite vous appeler pour convenir ensemble d'une solution. Quel moment vous arrange cette semaine ? "&amp;Paramètres!$B$11&amp;", "&amp;Paramètres!$B$12,IF(LEFT(Q279,7)="Relance","Bonjour "&amp;D279&amp;", sauf erreur de notre part, la commande "&amp;A279&amp;" du "&amp;TEXT(B279,"dd/mm/yyyy")&amp;" ("&amp;E279&amp;") présente un reste à payer de "&amp;SUBSTITUTE(TEXT(O279,"#,##0"),","," ")&amp;" FCFA, échu depuis le "&amp;TEXT(M279,"dd/mm/yyyy")&amp;". Pouvez-vous nous indiquer la date de règlement prévue ? Si le paiement est déjà parti, merci de nous envoyer la preuve et ne tenez pas compte de ce message. "&amp;Paramètres!$B$11&amp;", "&amp;Paramètres!$B$12,IF(K279="En retard","Bonjour "&amp;D279&amp;", votre commande "&amp;A279&amp;" ("&amp;E279&amp;", "&amp;F279&amp;" pièces) prévue le "&amp;TEXT(I279,"dd/mm/yyyy")&amp;" a pris du retard. Nous vous confirmons la nouvelle date de livraison dans la journée. Toutes nos excuses pour ce contretemps. "&amp;Paramètres!$B$11&amp;", "&amp;Paramètres!$B$12,""))))</f>
        <v/>
      </c>
      <c r="T279" s="21" t="n"/>
      <c r="U279" s="26" t="n"/>
      <c r="V279" s="21" t="n"/>
    </row>
    <row r="280">
      <c r="A280" s="21" t="n"/>
      <c r="B280" s="26" t="n"/>
      <c r="C280" s="21" t="n"/>
      <c r="D280" s="25">
        <f>IF(C280="","",IFERROR(VLOOKUP(C280,Revendeurs!$A:$B,2,FALSE),"Code inconnu"))</f>
        <v/>
      </c>
      <c r="E280" s="21" t="n"/>
      <c r="F280" s="21" t="n"/>
      <c r="G280" s="22" t="n"/>
      <c r="H280" s="23">
        <f>IF(OR(F280="",G280=""),"",F280*G280)</f>
        <v/>
      </c>
      <c r="I280" s="26" t="n"/>
      <c r="J280" s="26" t="n"/>
      <c r="K280" s="25">
        <f>IF(B280="","",IF(J280&lt;&gt;"","Livrée",IF(I280="","À planifier",IF(Paramètres!$B$4&gt;I280+Paramètres!$B$8,"En retard","En cours"))))</f>
        <v/>
      </c>
      <c r="L280" s="25">
        <f>IF(K280="En retard",Paramètres!$B$4-I280,"")</f>
        <v/>
      </c>
      <c r="M280" s="27">
        <f>IF(OR(B280="",J280=""),"",J280+IFERROR(IF(VLOOKUP(C280,Revendeurs!$A:$G,7,FALSE)="",Paramètres!$B$9,VLOOKUP(C280,Revendeurs!$A:$G,7,FALSE)),Paramètres!$B$9))</f>
        <v/>
      </c>
      <c r="N280" s="22" t="n"/>
      <c r="O280" s="23">
        <f>IF(H280="","",H280-N280)</f>
        <v/>
      </c>
      <c r="P280" s="25">
        <f>IF(OR(M280="",O280=""),"",IF(O280&lt;=0,0,MAX(0,Paramètres!$B$4-M280)))</f>
        <v/>
      </c>
      <c r="Q280" s="25">
        <f>IF(H280="","",IF(O280&lt;=0,"Payée",IF(M280="","Pas encore livrée",IF(P280=0,"Non échue",IF(P280&gt;=Paramètres!$B$7,"Relance 3 : appel direction",IF(P280&gt;=Paramètres!$B$6,"Relance 2",IF(P280&gt;=Paramètres!$B$5,"Relance 1","Échue, relance à venir")))))))</f>
        <v/>
      </c>
      <c r="R280" s="25">
        <f>IF(B280="","",IF(U280=Paramètres!$B$4,"Relancé aujourd'hui",TRIM(IF(LEFT(Q280,7)="Relance",Q280&amp;" ","")&amp;IF(K280="En retard","· Prévenir du retard de livraison",""))))</f>
        <v/>
      </c>
      <c r="S280" s="28">
        <f>IF(B280="","",IF(LEFT(Q280,9)="Relance 3","Bonjour "&amp;D280&amp;", nous revenons vers vous au sujet de la commande "&amp;A280&amp;" du "&amp;TEXT(B280,"dd/mm/yyyy")&amp;" : "&amp;SUBSTITUTE(TEXT(O280,"#,##0"),","," ")&amp;" FCFA restent à régler depuis le "&amp;TEXT(M280,"dd/mm/yyyy")&amp;". Notre responsable souhaite vous appeler pour convenir ensemble d'une solution. Quel moment vous arrange cette semaine ? "&amp;Paramètres!$B$11&amp;", "&amp;Paramètres!$B$12,IF(LEFT(Q280,7)="Relance","Bonjour "&amp;D280&amp;", sauf erreur de notre part, la commande "&amp;A280&amp;" du "&amp;TEXT(B280,"dd/mm/yyyy")&amp;" ("&amp;E280&amp;") présente un reste à payer de "&amp;SUBSTITUTE(TEXT(O280,"#,##0"),","," ")&amp;" FCFA, échu depuis le "&amp;TEXT(M280,"dd/mm/yyyy")&amp;". Pouvez-vous nous indiquer la date de règlement prévue ? Si le paiement est déjà parti, merci de nous envoyer la preuve et ne tenez pas compte de ce message. "&amp;Paramètres!$B$11&amp;", "&amp;Paramètres!$B$12,IF(K280="En retard","Bonjour "&amp;D280&amp;", votre commande "&amp;A280&amp;" ("&amp;E280&amp;", "&amp;F280&amp;" pièces) prévue le "&amp;TEXT(I280,"dd/mm/yyyy")&amp;" a pris du retard. Nous vous confirmons la nouvelle date de livraison dans la journée. Toutes nos excuses pour ce contretemps. "&amp;Paramètres!$B$11&amp;", "&amp;Paramètres!$B$12,""))))</f>
        <v/>
      </c>
      <c r="T280" s="21" t="n"/>
      <c r="U280" s="26" t="n"/>
      <c r="V280" s="21" t="n"/>
    </row>
    <row r="281">
      <c r="A281" s="21" t="n"/>
      <c r="B281" s="26" t="n"/>
      <c r="C281" s="21" t="n"/>
      <c r="D281" s="25">
        <f>IF(C281="","",IFERROR(VLOOKUP(C281,Revendeurs!$A:$B,2,FALSE),"Code inconnu"))</f>
        <v/>
      </c>
      <c r="E281" s="21" t="n"/>
      <c r="F281" s="21" t="n"/>
      <c r="G281" s="22" t="n"/>
      <c r="H281" s="23">
        <f>IF(OR(F281="",G281=""),"",F281*G281)</f>
        <v/>
      </c>
      <c r="I281" s="26" t="n"/>
      <c r="J281" s="26" t="n"/>
      <c r="K281" s="25">
        <f>IF(B281="","",IF(J281&lt;&gt;"","Livrée",IF(I281="","À planifier",IF(Paramètres!$B$4&gt;I281+Paramètres!$B$8,"En retard","En cours"))))</f>
        <v/>
      </c>
      <c r="L281" s="25">
        <f>IF(K281="En retard",Paramètres!$B$4-I281,"")</f>
        <v/>
      </c>
      <c r="M281" s="27">
        <f>IF(OR(B281="",J281=""),"",J281+IFERROR(IF(VLOOKUP(C281,Revendeurs!$A:$G,7,FALSE)="",Paramètres!$B$9,VLOOKUP(C281,Revendeurs!$A:$G,7,FALSE)),Paramètres!$B$9))</f>
        <v/>
      </c>
      <c r="N281" s="22" t="n"/>
      <c r="O281" s="23">
        <f>IF(H281="","",H281-N281)</f>
        <v/>
      </c>
      <c r="P281" s="25">
        <f>IF(OR(M281="",O281=""),"",IF(O281&lt;=0,0,MAX(0,Paramètres!$B$4-M281)))</f>
        <v/>
      </c>
      <c r="Q281" s="25">
        <f>IF(H281="","",IF(O281&lt;=0,"Payée",IF(M281="","Pas encore livrée",IF(P281=0,"Non échue",IF(P281&gt;=Paramètres!$B$7,"Relance 3 : appel direction",IF(P281&gt;=Paramètres!$B$6,"Relance 2",IF(P281&gt;=Paramètres!$B$5,"Relance 1","Échue, relance à venir")))))))</f>
        <v/>
      </c>
      <c r="R281" s="25">
        <f>IF(B281="","",IF(U281=Paramètres!$B$4,"Relancé aujourd'hui",TRIM(IF(LEFT(Q281,7)="Relance",Q281&amp;" ","")&amp;IF(K281="En retard","· Prévenir du retard de livraison",""))))</f>
        <v/>
      </c>
      <c r="S281" s="28">
        <f>IF(B281="","",IF(LEFT(Q281,9)="Relance 3","Bonjour "&amp;D281&amp;", nous revenons vers vous au sujet de la commande "&amp;A281&amp;" du "&amp;TEXT(B281,"dd/mm/yyyy")&amp;" : "&amp;SUBSTITUTE(TEXT(O281,"#,##0"),","," ")&amp;" FCFA restent à régler depuis le "&amp;TEXT(M281,"dd/mm/yyyy")&amp;". Notre responsable souhaite vous appeler pour convenir ensemble d'une solution. Quel moment vous arrange cette semaine ? "&amp;Paramètres!$B$11&amp;", "&amp;Paramètres!$B$12,IF(LEFT(Q281,7)="Relance","Bonjour "&amp;D281&amp;", sauf erreur de notre part, la commande "&amp;A281&amp;" du "&amp;TEXT(B281,"dd/mm/yyyy")&amp;" ("&amp;E281&amp;") présente un reste à payer de "&amp;SUBSTITUTE(TEXT(O281,"#,##0"),","," ")&amp;" FCFA, échu depuis le "&amp;TEXT(M281,"dd/mm/yyyy")&amp;". Pouvez-vous nous indiquer la date de règlement prévue ? Si le paiement est déjà parti, merci de nous envoyer la preuve et ne tenez pas compte de ce message. "&amp;Paramètres!$B$11&amp;", "&amp;Paramètres!$B$12,IF(K281="En retard","Bonjour "&amp;D281&amp;", votre commande "&amp;A281&amp;" ("&amp;E281&amp;", "&amp;F281&amp;" pièces) prévue le "&amp;TEXT(I281,"dd/mm/yyyy")&amp;" a pris du retard. Nous vous confirmons la nouvelle date de livraison dans la journée. Toutes nos excuses pour ce contretemps. "&amp;Paramètres!$B$11&amp;", "&amp;Paramètres!$B$12,""))))</f>
        <v/>
      </c>
      <c r="T281" s="21" t="n"/>
      <c r="U281" s="26" t="n"/>
      <c r="V281" s="21" t="n"/>
    </row>
    <row r="282">
      <c r="A282" s="21" t="n"/>
      <c r="B282" s="26" t="n"/>
      <c r="C282" s="21" t="n"/>
      <c r="D282" s="25">
        <f>IF(C282="","",IFERROR(VLOOKUP(C282,Revendeurs!$A:$B,2,FALSE),"Code inconnu"))</f>
        <v/>
      </c>
      <c r="E282" s="21" t="n"/>
      <c r="F282" s="21" t="n"/>
      <c r="G282" s="22" t="n"/>
      <c r="H282" s="23">
        <f>IF(OR(F282="",G282=""),"",F282*G282)</f>
        <v/>
      </c>
      <c r="I282" s="26" t="n"/>
      <c r="J282" s="26" t="n"/>
      <c r="K282" s="25">
        <f>IF(B282="","",IF(J282&lt;&gt;"","Livrée",IF(I282="","À planifier",IF(Paramètres!$B$4&gt;I282+Paramètres!$B$8,"En retard","En cours"))))</f>
        <v/>
      </c>
      <c r="L282" s="25">
        <f>IF(K282="En retard",Paramètres!$B$4-I282,"")</f>
        <v/>
      </c>
      <c r="M282" s="27">
        <f>IF(OR(B282="",J282=""),"",J282+IFERROR(IF(VLOOKUP(C282,Revendeurs!$A:$G,7,FALSE)="",Paramètres!$B$9,VLOOKUP(C282,Revendeurs!$A:$G,7,FALSE)),Paramètres!$B$9))</f>
        <v/>
      </c>
      <c r="N282" s="22" t="n"/>
      <c r="O282" s="23">
        <f>IF(H282="","",H282-N282)</f>
        <v/>
      </c>
      <c r="P282" s="25">
        <f>IF(OR(M282="",O282=""),"",IF(O282&lt;=0,0,MAX(0,Paramètres!$B$4-M282)))</f>
        <v/>
      </c>
      <c r="Q282" s="25">
        <f>IF(H282="","",IF(O282&lt;=0,"Payée",IF(M282="","Pas encore livrée",IF(P282=0,"Non échue",IF(P282&gt;=Paramètres!$B$7,"Relance 3 : appel direction",IF(P282&gt;=Paramètres!$B$6,"Relance 2",IF(P282&gt;=Paramètres!$B$5,"Relance 1","Échue, relance à venir")))))))</f>
        <v/>
      </c>
      <c r="R282" s="25">
        <f>IF(B282="","",IF(U282=Paramètres!$B$4,"Relancé aujourd'hui",TRIM(IF(LEFT(Q282,7)="Relance",Q282&amp;" ","")&amp;IF(K282="En retard","· Prévenir du retard de livraison",""))))</f>
        <v/>
      </c>
      <c r="S282" s="28">
        <f>IF(B282="","",IF(LEFT(Q282,9)="Relance 3","Bonjour "&amp;D282&amp;", nous revenons vers vous au sujet de la commande "&amp;A282&amp;" du "&amp;TEXT(B282,"dd/mm/yyyy")&amp;" : "&amp;SUBSTITUTE(TEXT(O282,"#,##0"),","," ")&amp;" FCFA restent à régler depuis le "&amp;TEXT(M282,"dd/mm/yyyy")&amp;". Notre responsable souhaite vous appeler pour convenir ensemble d'une solution. Quel moment vous arrange cette semaine ? "&amp;Paramètres!$B$11&amp;", "&amp;Paramètres!$B$12,IF(LEFT(Q282,7)="Relance","Bonjour "&amp;D282&amp;", sauf erreur de notre part, la commande "&amp;A282&amp;" du "&amp;TEXT(B282,"dd/mm/yyyy")&amp;" ("&amp;E282&amp;") présente un reste à payer de "&amp;SUBSTITUTE(TEXT(O282,"#,##0"),","," ")&amp;" FCFA, échu depuis le "&amp;TEXT(M282,"dd/mm/yyyy")&amp;". Pouvez-vous nous indiquer la date de règlement prévue ? Si le paiement est déjà parti, merci de nous envoyer la preuve et ne tenez pas compte de ce message. "&amp;Paramètres!$B$11&amp;", "&amp;Paramètres!$B$12,IF(K282="En retard","Bonjour "&amp;D282&amp;", votre commande "&amp;A282&amp;" ("&amp;E282&amp;", "&amp;F282&amp;" pièces) prévue le "&amp;TEXT(I282,"dd/mm/yyyy")&amp;" a pris du retard. Nous vous confirmons la nouvelle date de livraison dans la journée. Toutes nos excuses pour ce contretemps. "&amp;Paramètres!$B$11&amp;", "&amp;Paramètres!$B$12,""))))</f>
        <v/>
      </c>
      <c r="T282" s="21" t="n"/>
      <c r="U282" s="26" t="n"/>
      <c r="V282" s="21" t="n"/>
    </row>
    <row r="283">
      <c r="A283" s="21" t="n"/>
      <c r="B283" s="26" t="n"/>
      <c r="C283" s="21" t="n"/>
      <c r="D283" s="25">
        <f>IF(C283="","",IFERROR(VLOOKUP(C283,Revendeurs!$A:$B,2,FALSE),"Code inconnu"))</f>
        <v/>
      </c>
      <c r="E283" s="21" t="n"/>
      <c r="F283" s="21" t="n"/>
      <c r="G283" s="22" t="n"/>
      <c r="H283" s="23">
        <f>IF(OR(F283="",G283=""),"",F283*G283)</f>
        <v/>
      </c>
      <c r="I283" s="26" t="n"/>
      <c r="J283" s="26" t="n"/>
      <c r="K283" s="25">
        <f>IF(B283="","",IF(J283&lt;&gt;"","Livrée",IF(I283="","À planifier",IF(Paramètres!$B$4&gt;I283+Paramètres!$B$8,"En retard","En cours"))))</f>
        <v/>
      </c>
      <c r="L283" s="25">
        <f>IF(K283="En retard",Paramètres!$B$4-I283,"")</f>
        <v/>
      </c>
      <c r="M283" s="27">
        <f>IF(OR(B283="",J283=""),"",J283+IFERROR(IF(VLOOKUP(C283,Revendeurs!$A:$G,7,FALSE)="",Paramètres!$B$9,VLOOKUP(C283,Revendeurs!$A:$G,7,FALSE)),Paramètres!$B$9))</f>
        <v/>
      </c>
      <c r="N283" s="22" t="n"/>
      <c r="O283" s="23">
        <f>IF(H283="","",H283-N283)</f>
        <v/>
      </c>
      <c r="P283" s="25">
        <f>IF(OR(M283="",O283=""),"",IF(O283&lt;=0,0,MAX(0,Paramètres!$B$4-M283)))</f>
        <v/>
      </c>
      <c r="Q283" s="25">
        <f>IF(H283="","",IF(O283&lt;=0,"Payée",IF(M283="","Pas encore livrée",IF(P283=0,"Non échue",IF(P283&gt;=Paramètres!$B$7,"Relance 3 : appel direction",IF(P283&gt;=Paramètres!$B$6,"Relance 2",IF(P283&gt;=Paramètres!$B$5,"Relance 1","Échue, relance à venir")))))))</f>
        <v/>
      </c>
      <c r="R283" s="25">
        <f>IF(B283="","",IF(U283=Paramètres!$B$4,"Relancé aujourd'hui",TRIM(IF(LEFT(Q283,7)="Relance",Q283&amp;" ","")&amp;IF(K283="En retard","· Prévenir du retard de livraison",""))))</f>
        <v/>
      </c>
      <c r="S283" s="28">
        <f>IF(B283="","",IF(LEFT(Q283,9)="Relance 3","Bonjour "&amp;D283&amp;", nous revenons vers vous au sujet de la commande "&amp;A283&amp;" du "&amp;TEXT(B283,"dd/mm/yyyy")&amp;" : "&amp;SUBSTITUTE(TEXT(O283,"#,##0"),","," ")&amp;" FCFA restent à régler depuis le "&amp;TEXT(M283,"dd/mm/yyyy")&amp;". Notre responsable souhaite vous appeler pour convenir ensemble d'une solution. Quel moment vous arrange cette semaine ? "&amp;Paramètres!$B$11&amp;", "&amp;Paramètres!$B$12,IF(LEFT(Q283,7)="Relance","Bonjour "&amp;D283&amp;", sauf erreur de notre part, la commande "&amp;A283&amp;" du "&amp;TEXT(B283,"dd/mm/yyyy")&amp;" ("&amp;E283&amp;") présente un reste à payer de "&amp;SUBSTITUTE(TEXT(O283,"#,##0"),","," ")&amp;" FCFA, échu depuis le "&amp;TEXT(M283,"dd/mm/yyyy")&amp;". Pouvez-vous nous indiquer la date de règlement prévue ? Si le paiement est déjà parti, merci de nous envoyer la preuve et ne tenez pas compte de ce message. "&amp;Paramètres!$B$11&amp;", "&amp;Paramètres!$B$12,IF(K283="En retard","Bonjour "&amp;D283&amp;", votre commande "&amp;A283&amp;" ("&amp;E283&amp;", "&amp;F283&amp;" pièces) prévue le "&amp;TEXT(I283,"dd/mm/yyyy")&amp;" a pris du retard. Nous vous confirmons la nouvelle date de livraison dans la journée. Toutes nos excuses pour ce contretemps. "&amp;Paramètres!$B$11&amp;", "&amp;Paramètres!$B$12,""))))</f>
        <v/>
      </c>
      <c r="T283" s="21" t="n"/>
      <c r="U283" s="26" t="n"/>
      <c r="V283" s="21" t="n"/>
    </row>
    <row r="284">
      <c r="A284" s="21" t="n"/>
      <c r="B284" s="26" t="n"/>
      <c r="C284" s="21" t="n"/>
      <c r="D284" s="25">
        <f>IF(C284="","",IFERROR(VLOOKUP(C284,Revendeurs!$A:$B,2,FALSE),"Code inconnu"))</f>
        <v/>
      </c>
      <c r="E284" s="21" t="n"/>
      <c r="F284" s="21" t="n"/>
      <c r="G284" s="22" t="n"/>
      <c r="H284" s="23">
        <f>IF(OR(F284="",G284=""),"",F284*G284)</f>
        <v/>
      </c>
      <c r="I284" s="26" t="n"/>
      <c r="J284" s="26" t="n"/>
      <c r="K284" s="25">
        <f>IF(B284="","",IF(J284&lt;&gt;"","Livrée",IF(I284="","À planifier",IF(Paramètres!$B$4&gt;I284+Paramètres!$B$8,"En retard","En cours"))))</f>
        <v/>
      </c>
      <c r="L284" s="25">
        <f>IF(K284="En retard",Paramètres!$B$4-I284,"")</f>
        <v/>
      </c>
      <c r="M284" s="27">
        <f>IF(OR(B284="",J284=""),"",J284+IFERROR(IF(VLOOKUP(C284,Revendeurs!$A:$G,7,FALSE)="",Paramètres!$B$9,VLOOKUP(C284,Revendeurs!$A:$G,7,FALSE)),Paramètres!$B$9))</f>
        <v/>
      </c>
      <c r="N284" s="22" t="n"/>
      <c r="O284" s="23">
        <f>IF(H284="","",H284-N284)</f>
        <v/>
      </c>
      <c r="P284" s="25">
        <f>IF(OR(M284="",O284=""),"",IF(O284&lt;=0,0,MAX(0,Paramètres!$B$4-M284)))</f>
        <v/>
      </c>
      <c r="Q284" s="25">
        <f>IF(H284="","",IF(O284&lt;=0,"Payée",IF(M284="","Pas encore livrée",IF(P284=0,"Non échue",IF(P284&gt;=Paramètres!$B$7,"Relance 3 : appel direction",IF(P284&gt;=Paramètres!$B$6,"Relance 2",IF(P284&gt;=Paramètres!$B$5,"Relance 1","Échue, relance à venir")))))))</f>
        <v/>
      </c>
      <c r="R284" s="25">
        <f>IF(B284="","",IF(U284=Paramètres!$B$4,"Relancé aujourd'hui",TRIM(IF(LEFT(Q284,7)="Relance",Q284&amp;" ","")&amp;IF(K284="En retard","· Prévenir du retard de livraison",""))))</f>
        <v/>
      </c>
      <c r="S284" s="28">
        <f>IF(B284="","",IF(LEFT(Q284,9)="Relance 3","Bonjour "&amp;D284&amp;", nous revenons vers vous au sujet de la commande "&amp;A284&amp;" du "&amp;TEXT(B284,"dd/mm/yyyy")&amp;" : "&amp;SUBSTITUTE(TEXT(O284,"#,##0"),","," ")&amp;" FCFA restent à régler depuis le "&amp;TEXT(M284,"dd/mm/yyyy")&amp;". Notre responsable souhaite vous appeler pour convenir ensemble d'une solution. Quel moment vous arrange cette semaine ? "&amp;Paramètres!$B$11&amp;", "&amp;Paramètres!$B$12,IF(LEFT(Q284,7)="Relance","Bonjour "&amp;D284&amp;", sauf erreur de notre part, la commande "&amp;A284&amp;" du "&amp;TEXT(B284,"dd/mm/yyyy")&amp;" ("&amp;E284&amp;") présente un reste à payer de "&amp;SUBSTITUTE(TEXT(O284,"#,##0"),","," ")&amp;" FCFA, échu depuis le "&amp;TEXT(M284,"dd/mm/yyyy")&amp;". Pouvez-vous nous indiquer la date de règlement prévue ? Si le paiement est déjà parti, merci de nous envoyer la preuve et ne tenez pas compte de ce message. "&amp;Paramètres!$B$11&amp;", "&amp;Paramètres!$B$12,IF(K284="En retard","Bonjour "&amp;D284&amp;", votre commande "&amp;A284&amp;" ("&amp;E284&amp;", "&amp;F284&amp;" pièces) prévue le "&amp;TEXT(I284,"dd/mm/yyyy")&amp;" a pris du retard. Nous vous confirmons la nouvelle date de livraison dans la journée. Toutes nos excuses pour ce contretemps. "&amp;Paramètres!$B$11&amp;", "&amp;Paramètres!$B$12,""))))</f>
        <v/>
      </c>
      <c r="T284" s="21" t="n"/>
      <c r="U284" s="26" t="n"/>
      <c r="V284" s="21" t="n"/>
    </row>
    <row r="285">
      <c r="A285" s="21" t="n"/>
      <c r="B285" s="26" t="n"/>
      <c r="C285" s="21" t="n"/>
      <c r="D285" s="25">
        <f>IF(C285="","",IFERROR(VLOOKUP(C285,Revendeurs!$A:$B,2,FALSE),"Code inconnu"))</f>
        <v/>
      </c>
      <c r="E285" s="21" t="n"/>
      <c r="F285" s="21" t="n"/>
      <c r="G285" s="22" t="n"/>
      <c r="H285" s="23">
        <f>IF(OR(F285="",G285=""),"",F285*G285)</f>
        <v/>
      </c>
      <c r="I285" s="26" t="n"/>
      <c r="J285" s="26" t="n"/>
      <c r="K285" s="25">
        <f>IF(B285="","",IF(J285&lt;&gt;"","Livrée",IF(I285="","À planifier",IF(Paramètres!$B$4&gt;I285+Paramètres!$B$8,"En retard","En cours"))))</f>
        <v/>
      </c>
      <c r="L285" s="25">
        <f>IF(K285="En retard",Paramètres!$B$4-I285,"")</f>
        <v/>
      </c>
      <c r="M285" s="27">
        <f>IF(OR(B285="",J285=""),"",J285+IFERROR(IF(VLOOKUP(C285,Revendeurs!$A:$G,7,FALSE)="",Paramètres!$B$9,VLOOKUP(C285,Revendeurs!$A:$G,7,FALSE)),Paramètres!$B$9))</f>
        <v/>
      </c>
      <c r="N285" s="22" t="n"/>
      <c r="O285" s="23">
        <f>IF(H285="","",H285-N285)</f>
        <v/>
      </c>
      <c r="P285" s="25">
        <f>IF(OR(M285="",O285=""),"",IF(O285&lt;=0,0,MAX(0,Paramètres!$B$4-M285)))</f>
        <v/>
      </c>
      <c r="Q285" s="25">
        <f>IF(H285="","",IF(O285&lt;=0,"Payée",IF(M285="","Pas encore livrée",IF(P285=0,"Non échue",IF(P285&gt;=Paramètres!$B$7,"Relance 3 : appel direction",IF(P285&gt;=Paramètres!$B$6,"Relance 2",IF(P285&gt;=Paramètres!$B$5,"Relance 1","Échue, relance à venir")))))))</f>
        <v/>
      </c>
      <c r="R285" s="25">
        <f>IF(B285="","",IF(U285=Paramètres!$B$4,"Relancé aujourd'hui",TRIM(IF(LEFT(Q285,7)="Relance",Q285&amp;" ","")&amp;IF(K285="En retard","· Prévenir du retard de livraison",""))))</f>
        <v/>
      </c>
      <c r="S285" s="28">
        <f>IF(B285="","",IF(LEFT(Q285,9)="Relance 3","Bonjour "&amp;D285&amp;", nous revenons vers vous au sujet de la commande "&amp;A285&amp;" du "&amp;TEXT(B285,"dd/mm/yyyy")&amp;" : "&amp;SUBSTITUTE(TEXT(O285,"#,##0"),","," ")&amp;" FCFA restent à régler depuis le "&amp;TEXT(M285,"dd/mm/yyyy")&amp;". Notre responsable souhaite vous appeler pour convenir ensemble d'une solution. Quel moment vous arrange cette semaine ? "&amp;Paramètres!$B$11&amp;", "&amp;Paramètres!$B$12,IF(LEFT(Q285,7)="Relance","Bonjour "&amp;D285&amp;", sauf erreur de notre part, la commande "&amp;A285&amp;" du "&amp;TEXT(B285,"dd/mm/yyyy")&amp;" ("&amp;E285&amp;") présente un reste à payer de "&amp;SUBSTITUTE(TEXT(O285,"#,##0"),","," ")&amp;" FCFA, échu depuis le "&amp;TEXT(M285,"dd/mm/yyyy")&amp;". Pouvez-vous nous indiquer la date de règlement prévue ? Si le paiement est déjà parti, merci de nous envoyer la preuve et ne tenez pas compte de ce message. "&amp;Paramètres!$B$11&amp;", "&amp;Paramètres!$B$12,IF(K285="En retard","Bonjour "&amp;D285&amp;", votre commande "&amp;A285&amp;" ("&amp;E285&amp;", "&amp;F285&amp;" pièces) prévue le "&amp;TEXT(I285,"dd/mm/yyyy")&amp;" a pris du retard. Nous vous confirmons la nouvelle date de livraison dans la journée. Toutes nos excuses pour ce contretemps. "&amp;Paramètres!$B$11&amp;", "&amp;Paramètres!$B$12,""))))</f>
        <v/>
      </c>
      <c r="T285" s="21" t="n"/>
      <c r="U285" s="26" t="n"/>
      <c r="V285" s="21" t="n"/>
    </row>
    <row r="286">
      <c r="A286" s="21" t="n"/>
      <c r="B286" s="26" t="n"/>
      <c r="C286" s="21" t="n"/>
      <c r="D286" s="25">
        <f>IF(C286="","",IFERROR(VLOOKUP(C286,Revendeurs!$A:$B,2,FALSE),"Code inconnu"))</f>
        <v/>
      </c>
      <c r="E286" s="21" t="n"/>
      <c r="F286" s="21" t="n"/>
      <c r="G286" s="22" t="n"/>
      <c r="H286" s="23">
        <f>IF(OR(F286="",G286=""),"",F286*G286)</f>
        <v/>
      </c>
      <c r="I286" s="26" t="n"/>
      <c r="J286" s="26" t="n"/>
      <c r="K286" s="25">
        <f>IF(B286="","",IF(J286&lt;&gt;"","Livrée",IF(I286="","À planifier",IF(Paramètres!$B$4&gt;I286+Paramètres!$B$8,"En retard","En cours"))))</f>
        <v/>
      </c>
      <c r="L286" s="25">
        <f>IF(K286="En retard",Paramètres!$B$4-I286,"")</f>
        <v/>
      </c>
      <c r="M286" s="27">
        <f>IF(OR(B286="",J286=""),"",J286+IFERROR(IF(VLOOKUP(C286,Revendeurs!$A:$G,7,FALSE)="",Paramètres!$B$9,VLOOKUP(C286,Revendeurs!$A:$G,7,FALSE)),Paramètres!$B$9))</f>
        <v/>
      </c>
      <c r="N286" s="22" t="n"/>
      <c r="O286" s="23">
        <f>IF(H286="","",H286-N286)</f>
        <v/>
      </c>
      <c r="P286" s="25">
        <f>IF(OR(M286="",O286=""),"",IF(O286&lt;=0,0,MAX(0,Paramètres!$B$4-M286)))</f>
        <v/>
      </c>
      <c r="Q286" s="25">
        <f>IF(H286="","",IF(O286&lt;=0,"Payée",IF(M286="","Pas encore livrée",IF(P286=0,"Non échue",IF(P286&gt;=Paramètres!$B$7,"Relance 3 : appel direction",IF(P286&gt;=Paramètres!$B$6,"Relance 2",IF(P286&gt;=Paramètres!$B$5,"Relance 1","Échue, relance à venir")))))))</f>
        <v/>
      </c>
      <c r="R286" s="25">
        <f>IF(B286="","",IF(U286=Paramètres!$B$4,"Relancé aujourd'hui",TRIM(IF(LEFT(Q286,7)="Relance",Q286&amp;" ","")&amp;IF(K286="En retard","· Prévenir du retard de livraison",""))))</f>
        <v/>
      </c>
      <c r="S286" s="28">
        <f>IF(B286="","",IF(LEFT(Q286,9)="Relance 3","Bonjour "&amp;D286&amp;", nous revenons vers vous au sujet de la commande "&amp;A286&amp;" du "&amp;TEXT(B286,"dd/mm/yyyy")&amp;" : "&amp;SUBSTITUTE(TEXT(O286,"#,##0"),","," ")&amp;" FCFA restent à régler depuis le "&amp;TEXT(M286,"dd/mm/yyyy")&amp;". Notre responsable souhaite vous appeler pour convenir ensemble d'une solution. Quel moment vous arrange cette semaine ? "&amp;Paramètres!$B$11&amp;", "&amp;Paramètres!$B$12,IF(LEFT(Q286,7)="Relance","Bonjour "&amp;D286&amp;", sauf erreur de notre part, la commande "&amp;A286&amp;" du "&amp;TEXT(B286,"dd/mm/yyyy")&amp;" ("&amp;E286&amp;") présente un reste à payer de "&amp;SUBSTITUTE(TEXT(O286,"#,##0"),","," ")&amp;" FCFA, échu depuis le "&amp;TEXT(M286,"dd/mm/yyyy")&amp;". Pouvez-vous nous indiquer la date de règlement prévue ? Si le paiement est déjà parti, merci de nous envoyer la preuve et ne tenez pas compte de ce message. "&amp;Paramètres!$B$11&amp;", "&amp;Paramètres!$B$12,IF(K286="En retard","Bonjour "&amp;D286&amp;", votre commande "&amp;A286&amp;" ("&amp;E286&amp;", "&amp;F286&amp;" pièces) prévue le "&amp;TEXT(I286,"dd/mm/yyyy")&amp;" a pris du retard. Nous vous confirmons la nouvelle date de livraison dans la journée. Toutes nos excuses pour ce contretemps. "&amp;Paramètres!$B$11&amp;", "&amp;Paramètres!$B$12,""))))</f>
        <v/>
      </c>
      <c r="T286" s="21" t="n"/>
      <c r="U286" s="26" t="n"/>
      <c r="V286" s="21" t="n"/>
    </row>
    <row r="287">
      <c r="A287" s="21" t="n"/>
      <c r="B287" s="26" t="n"/>
      <c r="C287" s="21" t="n"/>
      <c r="D287" s="25">
        <f>IF(C287="","",IFERROR(VLOOKUP(C287,Revendeurs!$A:$B,2,FALSE),"Code inconnu"))</f>
        <v/>
      </c>
      <c r="E287" s="21" t="n"/>
      <c r="F287" s="21" t="n"/>
      <c r="G287" s="22" t="n"/>
      <c r="H287" s="23">
        <f>IF(OR(F287="",G287=""),"",F287*G287)</f>
        <v/>
      </c>
      <c r="I287" s="26" t="n"/>
      <c r="J287" s="26" t="n"/>
      <c r="K287" s="25">
        <f>IF(B287="","",IF(J287&lt;&gt;"","Livrée",IF(I287="","À planifier",IF(Paramètres!$B$4&gt;I287+Paramètres!$B$8,"En retard","En cours"))))</f>
        <v/>
      </c>
      <c r="L287" s="25">
        <f>IF(K287="En retard",Paramètres!$B$4-I287,"")</f>
        <v/>
      </c>
      <c r="M287" s="27">
        <f>IF(OR(B287="",J287=""),"",J287+IFERROR(IF(VLOOKUP(C287,Revendeurs!$A:$G,7,FALSE)="",Paramètres!$B$9,VLOOKUP(C287,Revendeurs!$A:$G,7,FALSE)),Paramètres!$B$9))</f>
        <v/>
      </c>
      <c r="N287" s="22" t="n"/>
      <c r="O287" s="23">
        <f>IF(H287="","",H287-N287)</f>
        <v/>
      </c>
      <c r="P287" s="25">
        <f>IF(OR(M287="",O287=""),"",IF(O287&lt;=0,0,MAX(0,Paramètres!$B$4-M287)))</f>
        <v/>
      </c>
      <c r="Q287" s="25">
        <f>IF(H287="","",IF(O287&lt;=0,"Payée",IF(M287="","Pas encore livrée",IF(P287=0,"Non échue",IF(P287&gt;=Paramètres!$B$7,"Relance 3 : appel direction",IF(P287&gt;=Paramètres!$B$6,"Relance 2",IF(P287&gt;=Paramètres!$B$5,"Relance 1","Échue, relance à venir")))))))</f>
        <v/>
      </c>
      <c r="R287" s="25">
        <f>IF(B287="","",IF(U287=Paramètres!$B$4,"Relancé aujourd'hui",TRIM(IF(LEFT(Q287,7)="Relance",Q287&amp;" ","")&amp;IF(K287="En retard","· Prévenir du retard de livraison",""))))</f>
        <v/>
      </c>
      <c r="S287" s="28">
        <f>IF(B287="","",IF(LEFT(Q287,9)="Relance 3","Bonjour "&amp;D287&amp;", nous revenons vers vous au sujet de la commande "&amp;A287&amp;" du "&amp;TEXT(B287,"dd/mm/yyyy")&amp;" : "&amp;SUBSTITUTE(TEXT(O287,"#,##0"),","," ")&amp;" FCFA restent à régler depuis le "&amp;TEXT(M287,"dd/mm/yyyy")&amp;". Notre responsable souhaite vous appeler pour convenir ensemble d'une solution. Quel moment vous arrange cette semaine ? "&amp;Paramètres!$B$11&amp;", "&amp;Paramètres!$B$12,IF(LEFT(Q287,7)="Relance","Bonjour "&amp;D287&amp;", sauf erreur de notre part, la commande "&amp;A287&amp;" du "&amp;TEXT(B287,"dd/mm/yyyy")&amp;" ("&amp;E287&amp;") présente un reste à payer de "&amp;SUBSTITUTE(TEXT(O287,"#,##0"),","," ")&amp;" FCFA, échu depuis le "&amp;TEXT(M287,"dd/mm/yyyy")&amp;". Pouvez-vous nous indiquer la date de règlement prévue ? Si le paiement est déjà parti, merci de nous envoyer la preuve et ne tenez pas compte de ce message. "&amp;Paramètres!$B$11&amp;", "&amp;Paramètres!$B$12,IF(K287="En retard","Bonjour "&amp;D287&amp;", votre commande "&amp;A287&amp;" ("&amp;E287&amp;", "&amp;F287&amp;" pièces) prévue le "&amp;TEXT(I287,"dd/mm/yyyy")&amp;" a pris du retard. Nous vous confirmons la nouvelle date de livraison dans la journée. Toutes nos excuses pour ce contretemps. "&amp;Paramètres!$B$11&amp;", "&amp;Paramètres!$B$12,""))))</f>
        <v/>
      </c>
      <c r="T287" s="21" t="n"/>
      <c r="U287" s="26" t="n"/>
      <c r="V287" s="21" t="n"/>
    </row>
    <row r="288">
      <c r="A288" s="21" t="n"/>
      <c r="B288" s="26" t="n"/>
      <c r="C288" s="21" t="n"/>
      <c r="D288" s="25">
        <f>IF(C288="","",IFERROR(VLOOKUP(C288,Revendeurs!$A:$B,2,FALSE),"Code inconnu"))</f>
        <v/>
      </c>
      <c r="E288" s="21" t="n"/>
      <c r="F288" s="21" t="n"/>
      <c r="G288" s="22" t="n"/>
      <c r="H288" s="23">
        <f>IF(OR(F288="",G288=""),"",F288*G288)</f>
        <v/>
      </c>
      <c r="I288" s="26" t="n"/>
      <c r="J288" s="26" t="n"/>
      <c r="K288" s="25">
        <f>IF(B288="","",IF(J288&lt;&gt;"","Livrée",IF(I288="","À planifier",IF(Paramètres!$B$4&gt;I288+Paramètres!$B$8,"En retard","En cours"))))</f>
        <v/>
      </c>
      <c r="L288" s="25">
        <f>IF(K288="En retard",Paramètres!$B$4-I288,"")</f>
        <v/>
      </c>
      <c r="M288" s="27">
        <f>IF(OR(B288="",J288=""),"",J288+IFERROR(IF(VLOOKUP(C288,Revendeurs!$A:$G,7,FALSE)="",Paramètres!$B$9,VLOOKUP(C288,Revendeurs!$A:$G,7,FALSE)),Paramètres!$B$9))</f>
        <v/>
      </c>
      <c r="N288" s="22" t="n"/>
      <c r="O288" s="23">
        <f>IF(H288="","",H288-N288)</f>
        <v/>
      </c>
      <c r="P288" s="25">
        <f>IF(OR(M288="",O288=""),"",IF(O288&lt;=0,0,MAX(0,Paramètres!$B$4-M288)))</f>
        <v/>
      </c>
      <c r="Q288" s="25">
        <f>IF(H288="","",IF(O288&lt;=0,"Payée",IF(M288="","Pas encore livrée",IF(P288=0,"Non échue",IF(P288&gt;=Paramètres!$B$7,"Relance 3 : appel direction",IF(P288&gt;=Paramètres!$B$6,"Relance 2",IF(P288&gt;=Paramètres!$B$5,"Relance 1","Échue, relance à venir")))))))</f>
        <v/>
      </c>
      <c r="R288" s="25">
        <f>IF(B288="","",IF(U288=Paramètres!$B$4,"Relancé aujourd'hui",TRIM(IF(LEFT(Q288,7)="Relance",Q288&amp;" ","")&amp;IF(K288="En retard","· Prévenir du retard de livraison",""))))</f>
        <v/>
      </c>
      <c r="S288" s="28">
        <f>IF(B288="","",IF(LEFT(Q288,9)="Relance 3","Bonjour "&amp;D288&amp;", nous revenons vers vous au sujet de la commande "&amp;A288&amp;" du "&amp;TEXT(B288,"dd/mm/yyyy")&amp;" : "&amp;SUBSTITUTE(TEXT(O288,"#,##0"),","," ")&amp;" FCFA restent à régler depuis le "&amp;TEXT(M288,"dd/mm/yyyy")&amp;". Notre responsable souhaite vous appeler pour convenir ensemble d'une solution. Quel moment vous arrange cette semaine ? "&amp;Paramètres!$B$11&amp;", "&amp;Paramètres!$B$12,IF(LEFT(Q288,7)="Relance","Bonjour "&amp;D288&amp;", sauf erreur de notre part, la commande "&amp;A288&amp;" du "&amp;TEXT(B288,"dd/mm/yyyy")&amp;" ("&amp;E288&amp;") présente un reste à payer de "&amp;SUBSTITUTE(TEXT(O288,"#,##0"),","," ")&amp;" FCFA, échu depuis le "&amp;TEXT(M288,"dd/mm/yyyy")&amp;". Pouvez-vous nous indiquer la date de règlement prévue ? Si le paiement est déjà parti, merci de nous envoyer la preuve et ne tenez pas compte de ce message. "&amp;Paramètres!$B$11&amp;", "&amp;Paramètres!$B$12,IF(K288="En retard","Bonjour "&amp;D288&amp;", votre commande "&amp;A288&amp;" ("&amp;E288&amp;", "&amp;F288&amp;" pièces) prévue le "&amp;TEXT(I288,"dd/mm/yyyy")&amp;" a pris du retard. Nous vous confirmons la nouvelle date de livraison dans la journée. Toutes nos excuses pour ce contretemps. "&amp;Paramètres!$B$11&amp;", "&amp;Paramètres!$B$12,""))))</f>
        <v/>
      </c>
      <c r="T288" s="21" t="n"/>
      <c r="U288" s="26" t="n"/>
      <c r="V288" s="21" t="n"/>
    </row>
    <row r="289">
      <c r="A289" s="21" t="n"/>
      <c r="B289" s="26" t="n"/>
      <c r="C289" s="21" t="n"/>
      <c r="D289" s="25">
        <f>IF(C289="","",IFERROR(VLOOKUP(C289,Revendeurs!$A:$B,2,FALSE),"Code inconnu"))</f>
        <v/>
      </c>
      <c r="E289" s="21" t="n"/>
      <c r="F289" s="21" t="n"/>
      <c r="G289" s="22" t="n"/>
      <c r="H289" s="23">
        <f>IF(OR(F289="",G289=""),"",F289*G289)</f>
        <v/>
      </c>
      <c r="I289" s="26" t="n"/>
      <c r="J289" s="26" t="n"/>
      <c r="K289" s="25">
        <f>IF(B289="","",IF(J289&lt;&gt;"","Livrée",IF(I289="","À planifier",IF(Paramètres!$B$4&gt;I289+Paramètres!$B$8,"En retard","En cours"))))</f>
        <v/>
      </c>
      <c r="L289" s="25">
        <f>IF(K289="En retard",Paramètres!$B$4-I289,"")</f>
        <v/>
      </c>
      <c r="M289" s="27">
        <f>IF(OR(B289="",J289=""),"",J289+IFERROR(IF(VLOOKUP(C289,Revendeurs!$A:$G,7,FALSE)="",Paramètres!$B$9,VLOOKUP(C289,Revendeurs!$A:$G,7,FALSE)),Paramètres!$B$9))</f>
        <v/>
      </c>
      <c r="N289" s="22" t="n"/>
      <c r="O289" s="23">
        <f>IF(H289="","",H289-N289)</f>
        <v/>
      </c>
      <c r="P289" s="25">
        <f>IF(OR(M289="",O289=""),"",IF(O289&lt;=0,0,MAX(0,Paramètres!$B$4-M289)))</f>
        <v/>
      </c>
      <c r="Q289" s="25">
        <f>IF(H289="","",IF(O289&lt;=0,"Payée",IF(M289="","Pas encore livrée",IF(P289=0,"Non échue",IF(P289&gt;=Paramètres!$B$7,"Relance 3 : appel direction",IF(P289&gt;=Paramètres!$B$6,"Relance 2",IF(P289&gt;=Paramètres!$B$5,"Relance 1","Échue, relance à venir")))))))</f>
        <v/>
      </c>
      <c r="R289" s="25">
        <f>IF(B289="","",IF(U289=Paramètres!$B$4,"Relancé aujourd'hui",TRIM(IF(LEFT(Q289,7)="Relance",Q289&amp;" ","")&amp;IF(K289="En retard","· Prévenir du retard de livraison",""))))</f>
        <v/>
      </c>
      <c r="S289" s="28">
        <f>IF(B289="","",IF(LEFT(Q289,9)="Relance 3","Bonjour "&amp;D289&amp;", nous revenons vers vous au sujet de la commande "&amp;A289&amp;" du "&amp;TEXT(B289,"dd/mm/yyyy")&amp;" : "&amp;SUBSTITUTE(TEXT(O289,"#,##0"),","," ")&amp;" FCFA restent à régler depuis le "&amp;TEXT(M289,"dd/mm/yyyy")&amp;". Notre responsable souhaite vous appeler pour convenir ensemble d'une solution. Quel moment vous arrange cette semaine ? "&amp;Paramètres!$B$11&amp;", "&amp;Paramètres!$B$12,IF(LEFT(Q289,7)="Relance","Bonjour "&amp;D289&amp;", sauf erreur de notre part, la commande "&amp;A289&amp;" du "&amp;TEXT(B289,"dd/mm/yyyy")&amp;" ("&amp;E289&amp;") présente un reste à payer de "&amp;SUBSTITUTE(TEXT(O289,"#,##0"),","," ")&amp;" FCFA, échu depuis le "&amp;TEXT(M289,"dd/mm/yyyy")&amp;". Pouvez-vous nous indiquer la date de règlement prévue ? Si le paiement est déjà parti, merci de nous envoyer la preuve et ne tenez pas compte de ce message. "&amp;Paramètres!$B$11&amp;", "&amp;Paramètres!$B$12,IF(K289="En retard","Bonjour "&amp;D289&amp;", votre commande "&amp;A289&amp;" ("&amp;E289&amp;", "&amp;F289&amp;" pièces) prévue le "&amp;TEXT(I289,"dd/mm/yyyy")&amp;" a pris du retard. Nous vous confirmons la nouvelle date de livraison dans la journée. Toutes nos excuses pour ce contretemps. "&amp;Paramètres!$B$11&amp;", "&amp;Paramètres!$B$12,""))))</f>
        <v/>
      </c>
      <c r="T289" s="21" t="n"/>
      <c r="U289" s="26" t="n"/>
      <c r="V289" s="21" t="n"/>
    </row>
    <row r="290">
      <c r="A290" s="21" t="n"/>
      <c r="B290" s="26" t="n"/>
      <c r="C290" s="21" t="n"/>
      <c r="D290" s="25">
        <f>IF(C290="","",IFERROR(VLOOKUP(C290,Revendeurs!$A:$B,2,FALSE),"Code inconnu"))</f>
        <v/>
      </c>
      <c r="E290" s="21" t="n"/>
      <c r="F290" s="21" t="n"/>
      <c r="G290" s="22" t="n"/>
      <c r="H290" s="23">
        <f>IF(OR(F290="",G290=""),"",F290*G290)</f>
        <v/>
      </c>
      <c r="I290" s="26" t="n"/>
      <c r="J290" s="26" t="n"/>
      <c r="K290" s="25">
        <f>IF(B290="","",IF(J290&lt;&gt;"","Livrée",IF(I290="","À planifier",IF(Paramètres!$B$4&gt;I290+Paramètres!$B$8,"En retard","En cours"))))</f>
        <v/>
      </c>
      <c r="L290" s="25">
        <f>IF(K290="En retard",Paramètres!$B$4-I290,"")</f>
        <v/>
      </c>
      <c r="M290" s="27">
        <f>IF(OR(B290="",J290=""),"",J290+IFERROR(IF(VLOOKUP(C290,Revendeurs!$A:$G,7,FALSE)="",Paramètres!$B$9,VLOOKUP(C290,Revendeurs!$A:$G,7,FALSE)),Paramètres!$B$9))</f>
        <v/>
      </c>
      <c r="N290" s="22" t="n"/>
      <c r="O290" s="23">
        <f>IF(H290="","",H290-N290)</f>
        <v/>
      </c>
      <c r="P290" s="25">
        <f>IF(OR(M290="",O290=""),"",IF(O290&lt;=0,0,MAX(0,Paramètres!$B$4-M290)))</f>
        <v/>
      </c>
      <c r="Q290" s="25">
        <f>IF(H290="","",IF(O290&lt;=0,"Payée",IF(M290="","Pas encore livrée",IF(P290=0,"Non échue",IF(P290&gt;=Paramètres!$B$7,"Relance 3 : appel direction",IF(P290&gt;=Paramètres!$B$6,"Relance 2",IF(P290&gt;=Paramètres!$B$5,"Relance 1","Échue, relance à venir")))))))</f>
        <v/>
      </c>
      <c r="R290" s="25">
        <f>IF(B290="","",IF(U290=Paramètres!$B$4,"Relancé aujourd'hui",TRIM(IF(LEFT(Q290,7)="Relance",Q290&amp;" ","")&amp;IF(K290="En retard","· Prévenir du retard de livraison",""))))</f>
        <v/>
      </c>
      <c r="S290" s="28">
        <f>IF(B290="","",IF(LEFT(Q290,9)="Relance 3","Bonjour "&amp;D290&amp;", nous revenons vers vous au sujet de la commande "&amp;A290&amp;" du "&amp;TEXT(B290,"dd/mm/yyyy")&amp;" : "&amp;SUBSTITUTE(TEXT(O290,"#,##0"),","," ")&amp;" FCFA restent à régler depuis le "&amp;TEXT(M290,"dd/mm/yyyy")&amp;". Notre responsable souhaite vous appeler pour convenir ensemble d'une solution. Quel moment vous arrange cette semaine ? "&amp;Paramètres!$B$11&amp;", "&amp;Paramètres!$B$12,IF(LEFT(Q290,7)="Relance","Bonjour "&amp;D290&amp;", sauf erreur de notre part, la commande "&amp;A290&amp;" du "&amp;TEXT(B290,"dd/mm/yyyy")&amp;" ("&amp;E290&amp;") présente un reste à payer de "&amp;SUBSTITUTE(TEXT(O290,"#,##0"),","," ")&amp;" FCFA, échu depuis le "&amp;TEXT(M290,"dd/mm/yyyy")&amp;". Pouvez-vous nous indiquer la date de règlement prévue ? Si le paiement est déjà parti, merci de nous envoyer la preuve et ne tenez pas compte de ce message. "&amp;Paramètres!$B$11&amp;", "&amp;Paramètres!$B$12,IF(K290="En retard","Bonjour "&amp;D290&amp;", votre commande "&amp;A290&amp;" ("&amp;E290&amp;", "&amp;F290&amp;" pièces) prévue le "&amp;TEXT(I290,"dd/mm/yyyy")&amp;" a pris du retard. Nous vous confirmons la nouvelle date de livraison dans la journée. Toutes nos excuses pour ce contretemps. "&amp;Paramètres!$B$11&amp;", "&amp;Paramètres!$B$12,""))))</f>
        <v/>
      </c>
      <c r="T290" s="21" t="n"/>
      <c r="U290" s="26" t="n"/>
      <c r="V290" s="21" t="n"/>
    </row>
    <row r="291">
      <c r="A291" s="21" t="n"/>
      <c r="B291" s="26" t="n"/>
      <c r="C291" s="21" t="n"/>
      <c r="D291" s="25">
        <f>IF(C291="","",IFERROR(VLOOKUP(C291,Revendeurs!$A:$B,2,FALSE),"Code inconnu"))</f>
        <v/>
      </c>
      <c r="E291" s="21" t="n"/>
      <c r="F291" s="21" t="n"/>
      <c r="G291" s="22" t="n"/>
      <c r="H291" s="23">
        <f>IF(OR(F291="",G291=""),"",F291*G291)</f>
        <v/>
      </c>
      <c r="I291" s="26" t="n"/>
      <c r="J291" s="26" t="n"/>
      <c r="K291" s="25">
        <f>IF(B291="","",IF(J291&lt;&gt;"","Livrée",IF(I291="","À planifier",IF(Paramètres!$B$4&gt;I291+Paramètres!$B$8,"En retard","En cours"))))</f>
        <v/>
      </c>
      <c r="L291" s="25">
        <f>IF(K291="En retard",Paramètres!$B$4-I291,"")</f>
        <v/>
      </c>
      <c r="M291" s="27">
        <f>IF(OR(B291="",J291=""),"",J291+IFERROR(IF(VLOOKUP(C291,Revendeurs!$A:$G,7,FALSE)="",Paramètres!$B$9,VLOOKUP(C291,Revendeurs!$A:$G,7,FALSE)),Paramètres!$B$9))</f>
        <v/>
      </c>
      <c r="N291" s="22" t="n"/>
      <c r="O291" s="23">
        <f>IF(H291="","",H291-N291)</f>
        <v/>
      </c>
      <c r="P291" s="25">
        <f>IF(OR(M291="",O291=""),"",IF(O291&lt;=0,0,MAX(0,Paramètres!$B$4-M291)))</f>
        <v/>
      </c>
      <c r="Q291" s="25">
        <f>IF(H291="","",IF(O291&lt;=0,"Payée",IF(M291="","Pas encore livrée",IF(P291=0,"Non échue",IF(P291&gt;=Paramètres!$B$7,"Relance 3 : appel direction",IF(P291&gt;=Paramètres!$B$6,"Relance 2",IF(P291&gt;=Paramètres!$B$5,"Relance 1","Échue, relance à venir")))))))</f>
        <v/>
      </c>
      <c r="R291" s="25">
        <f>IF(B291="","",IF(U291=Paramètres!$B$4,"Relancé aujourd'hui",TRIM(IF(LEFT(Q291,7)="Relance",Q291&amp;" ","")&amp;IF(K291="En retard","· Prévenir du retard de livraison",""))))</f>
        <v/>
      </c>
      <c r="S291" s="28">
        <f>IF(B291="","",IF(LEFT(Q291,9)="Relance 3","Bonjour "&amp;D291&amp;", nous revenons vers vous au sujet de la commande "&amp;A291&amp;" du "&amp;TEXT(B291,"dd/mm/yyyy")&amp;" : "&amp;SUBSTITUTE(TEXT(O291,"#,##0"),","," ")&amp;" FCFA restent à régler depuis le "&amp;TEXT(M291,"dd/mm/yyyy")&amp;". Notre responsable souhaite vous appeler pour convenir ensemble d'une solution. Quel moment vous arrange cette semaine ? "&amp;Paramètres!$B$11&amp;", "&amp;Paramètres!$B$12,IF(LEFT(Q291,7)="Relance","Bonjour "&amp;D291&amp;", sauf erreur de notre part, la commande "&amp;A291&amp;" du "&amp;TEXT(B291,"dd/mm/yyyy")&amp;" ("&amp;E291&amp;") présente un reste à payer de "&amp;SUBSTITUTE(TEXT(O291,"#,##0"),","," ")&amp;" FCFA, échu depuis le "&amp;TEXT(M291,"dd/mm/yyyy")&amp;". Pouvez-vous nous indiquer la date de règlement prévue ? Si le paiement est déjà parti, merci de nous envoyer la preuve et ne tenez pas compte de ce message. "&amp;Paramètres!$B$11&amp;", "&amp;Paramètres!$B$12,IF(K291="En retard","Bonjour "&amp;D291&amp;", votre commande "&amp;A291&amp;" ("&amp;E291&amp;", "&amp;F291&amp;" pièces) prévue le "&amp;TEXT(I291,"dd/mm/yyyy")&amp;" a pris du retard. Nous vous confirmons la nouvelle date de livraison dans la journée. Toutes nos excuses pour ce contretemps. "&amp;Paramètres!$B$11&amp;", "&amp;Paramètres!$B$12,""))))</f>
        <v/>
      </c>
      <c r="T291" s="21" t="n"/>
      <c r="U291" s="26" t="n"/>
      <c r="V291" s="21" t="n"/>
    </row>
    <row r="292">
      <c r="A292" s="21" t="n"/>
      <c r="B292" s="26" t="n"/>
      <c r="C292" s="21" t="n"/>
      <c r="D292" s="25">
        <f>IF(C292="","",IFERROR(VLOOKUP(C292,Revendeurs!$A:$B,2,FALSE),"Code inconnu"))</f>
        <v/>
      </c>
      <c r="E292" s="21" t="n"/>
      <c r="F292" s="21" t="n"/>
      <c r="G292" s="22" t="n"/>
      <c r="H292" s="23">
        <f>IF(OR(F292="",G292=""),"",F292*G292)</f>
        <v/>
      </c>
      <c r="I292" s="26" t="n"/>
      <c r="J292" s="26" t="n"/>
      <c r="K292" s="25">
        <f>IF(B292="","",IF(J292&lt;&gt;"","Livrée",IF(I292="","À planifier",IF(Paramètres!$B$4&gt;I292+Paramètres!$B$8,"En retard","En cours"))))</f>
        <v/>
      </c>
      <c r="L292" s="25">
        <f>IF(K292="En retard",Paramètres!$B$4-I292,"")</f>
        <v/>
      </c>
      <c r="M292" s="27">
        <f>IF(OR(B292="",J292=""),"",J292+IFERROR(IF(VLOOKUP(C292,Revendeurs!$A:$G,7,FALSE)="",Paramètres!$B$9,VLOOKUP(C292,Revendeurs!$A:$G,7,FALSE)),Paramètres!$B$9))</f>
        <v/>
      </c>
      <c r="N292" s="22" t="n"/>
      <c r="O292" s="23">
        <f>IF(H292="","",H292-N292)</f>
        <v/>
      </c>
      <c r="P292" s="25">
        <f>IF(OR(M292="",O292=""),"",IF(O292&lt;=0,0,MAX(0,Paramètres!$B$4-M292)))</f>
        <v/>
      </c>
      <c r="Q292" s="25">
        <f>IF(H292="","",IF(O292&lt;=0,"Payée",IF(M292="","Pas encore livrée",IF(P292=0,"Non échue",IF(P292&gt;=Paramètres!$B$7,"Relance 3 : appel direction",IF(P292&gt;=Paramètres!$B$6,"Relance 2",IF(P292&gt;=Paramètres!$B$5,"Relance 1","Échue, relance à venir")))))))</f>
        <v/>
      </c>
      <c r="R292" s="25">
        <f>IF(B292="","",IF(U292=Paramètres!$B$4,"Relancé aujourd'hui",TRIM(IF(LEFT(Q292,7)="Relance",Q292&amp;" ","")&amp;IF(K292="En retard","· Prévenir du retard de livraison",""))))</f>
        <v/>
      </c>
      <c r="S292" s="28">
        <f>IF(B292="","",IF(LEFT(Q292,9)="Relance 3","Bonjour "&amp;D292&amp;", nous revenons vers vous au sujet de la commande "&amp;A292&amp;" du "&amp;TEXT(B292,"dd/mm/yyyy")&amp;" : "&amp;SUBSTITUTE(TEXT(O292,"#,##0"),","," ")&amp;" FCFA restent à régler depuis le "&amp;TEXT(M292,"dd/mm/yyyy")&amp;". Notre responsable souhaite vous appeler pour convenir ensemble d'une solution. Quel moment vous arrange cette semaine ? "&amp;Paramètres!$B$11&amp;", "&amp;Paramètres!$B$12,IF(LEFT(Q292,7)="Relance","Bonjour "&amp;D292&amp;", sauf erreur de notre part, la commande "&amp;A292&amp;" du "&amp;TEXT(B292,"dd/mm/yyyy")&amp;" ("&amp;E292&amp;") présente un reste à payer de "&amp;SUBSTITUTE(TEXT(O292,"#,##0"),","," ")&amp;" FCFA, échu depuis le "&amp;TEXT(M292,"dd/mm/yyyy")&amp;". Pouvez-vous nous indiquer la date de règlement prévue ? Si le paiement est déjà parti, merci de nous envoyer la preuve et ne tenez pas compte de ce message. "&amp;Paramètres!$B$11&amp;", "&amp;Paramètres!$B$12,IF(K292="En retard","Bonjour "&amp;D292&amp;", votre commande "&amp;A292&amp;" ("&amp;E292&amp;", "&amp;F292&amp;" pièces) prévue le "&amp;TEXT(I292,"dd/mm/yyyy")&amp;" a pris du retard. Nous vous confirmons la nouvelle date de livraison dans la journée. Toutes nos excuses pour ce contretemps. "&amp;Paramètres!$B$11&amp;", "&amp;Paramètres!$B$12,""))))</f>
        <v/>
      </c>
      <c r="T292" s="21" t="n"/>
      <c r="U292" s="26" t="n"/>
      <c r="V292" s="21" t="n"/>
    </row>
    <row r="293">
      <c r="A293" s="21" t="n"/>
      <c r="B293" s="26" t="n"/>
      <c r="C293" s="21" t="n"/>
      <c r="D293" s="25">
        <f>IF(C293="","",IFERROR(VLOOKUP(C293,Revendeurs!$A:$B,2,FALSE),"Code inconnu"))</f>
        <v/>
      </c>
      <c r="E293" s="21" t="n"/>
      <c r="F293" s="21" t="n"/>
      <c r="G293" s="22" t="n"/>
      <c r="H293" s="23">
        <f>IF(OR(F293="",G293=""),"",F293*G293)</f>
        <v/>
      </c>
      <c r="I293" s="26" t="n"/>
      <c r="J293" s="26" t="n"/>
      <c r="K293" s="25">
        <f>IF(B293="","",IF(J293&lt;&gt;"","Livrée",IF(I293="","À planifier",IF(Paramètres!$B$4&gt;I293+Paramètres!$B$8,"En retard","En cours"))))</f>
        <v/>
      </c>
      <c r="L293" s="25">
        <f>IF(K293="En retard",Paramètres!$B$4-I293,"")</f>
        <v/>
      </c>
      <c r="M293" s="27">
        <f>IF(OR(B293="",J293=""),"",J293+IFERROR(IF(VLOOKUP(C293,Revendeurs!$A:$G,7,FALSE)="",Paramètres!$B$9,VLOOKUP(C293,Revendeurs!$A:$G,7,FALSE)),Paramètres!$B$9))</f>
        <v/>
      </c>
      <c r="N293" s="22" t="n"/>
      <c r="O293" s="23">
        <f>IF(H293="","",H293-N293)</f>
        <v/>
      </c>
      <c r="P293" s="25">
        <f>IF(OR(M293="",O293=""),"",IF(O293&lt;=0,0,MAX(0,Paramètres!$B$4-M293)))</f>
        <v/>
      </c>
      <c r="Q293" s="25">
        <f>IF(H293="","",IF(O293&lt;=0,"Payée",IF(M293="","Pas encore livrée",IF(P293=0,"Non échue",IF(P293&gt;=Paramètres!$B$7,"Relance 3 : appel direction",IF(P293&gt;=Paramètres!$B$6,"Relance 2",IF(P293&gt;=Paramètres!$B$5,"Relance 1","Échue, relance à venir")))))))</f>
        <v/>
      </c>
      <c r="R293" s="25">
        <f>IF(B293="","",IF(U293=Paramètres!$B$4,"Relancé aujourd'hui",TRIM(IF(LEFT(Q293,7)="Relance",Q293&amp;" ","")&amp;IF(K293="En retard","· Prévenir du retard de livraison",""))))</f>
        <v/>
      </c>
      <c r="S293" s="28">
        <f>IF(B293="","",IF(LEFT(Q293,9)="Relance 3","Bonjour "&amp;D293&amp;", nous revenons vers vous au sujet de la commande "&amp;A293&amp;" du "&amp;TEXT(B293,"dd/mm/yyyy")&amp;" : "&amp;SUBSTITUTE(TEXT(O293,"#,##0"),","," ")&amp;" FCFA restent à régler depuis le "&amp;TEXT(M293,"dd/mm/yyyy")&amp;". Notre responsable souhaite vous appeler pour convenir ensemble d'une solution. Quel moment vous arrange cette semaine ? "&amp;Paramètres!$B$11&amp;", "&amp;Paramètres!$B$12,IF(LEFT(Q293,7)="Relance","Bonjour "&amp;D293&amp;", sauf erreur de notre part, la commande "&amp;A293&amp;" du "&amp;TEXT(B293,"dd/mm/yyyy")&amp;" ("&amp;E293&amp;") présente un reste à payer de "&amp;SUBSTITUTE(TEXT(O293,"#,##0"),","," ")&amp;" FCFA, échu depuis le "&amp;TEXT(M293,"dd/mm/yyyy")&amp;". Pouvez-vous nous indiquer la date de règlement prévue ? Si le paiement est déjà parti, merci de nous envoyer la preuve et ne tenez pas compte de ce message. "&amp;Paramètres!$B$11&amp;", "&amp;Paramètres!$B$12,IF(K293="En retard","Bonjour "&amp;D293&amp;", votre commande "&amp;A293&amp;" ("&amp;E293&amp;", "&amp;F293&amp;" pièces) prévue le "&amp;TEXT(I293,"dd/mm/yyyy")&amp;" a pris du retard. Nous vous confirmons la nouvelle date de livraison dans la journée. Toutes nos excuses pour ce contretemps. "&amp;Paramètres!$B$11&amp;", "&amp;Paramètres!$B$12,""))))</f>
        <v/>
      </c>
      <c r="T293" s="21" t="n"/>
      <c r="U293" s="26" t="n"/>
      <c r="V293" s="21" t="n"/>
    </row>
    <row r="294">
      <c r="A294" s="21" t="n"/>
      <c r="B294" s="26" t="n"/>
      <c r="C294" s="21" t="n"/>
      <c r="D294" s="25">
        <f>IF(C294="","",IFERROR(VLOOKUP(C294,Revendeurs!$A:$B,2,FALSE),"Code inconnu"))</f>
        <v/>
      </c>
      <c r="E294" s="21" t="n"/>
      <c r="F294" s="21" t="n"/>
      <c r="G294" s="22" t="n"/>
      <c r="H294" s="23">
        <f>IF(OR(F294="",G294=""),"",F294*G294)</f>
        <v/>
      </c>
      <c r="I294" s="26" t="n"/>
      <c r="J294" s="26" t="n"/>
      <c r="K294" s="25">
        <f>IF(B294="","",IF(J294&lt;&gt;"","Livrée",IF(I294="","À planifier",IF(Paramètres!$B$4&gt;I294+Paramètres!$B$8,"En retard","En cours"))))</f>
        <v/>
      </c>
      <c r="L294" s="25">
        <f>IF(K294="En retard",Paramètres!$B$4-I294,"")</f>
        <v/>
      </c>
      <c r="M294" s="27">
        <f>IF(OR(B294="",J294=""),"",J294+IFERROR(IF(VLOOKUP(C294,Revendeurs!$A:$G,7,FALSE)="",Paramètres!$B$9,VLOOKUP(C294,Revendeurs!$A:$G,7,FALSE)),Paramètres!$B$9))</f>
        <v/>
      </c>
      <c r="N294" s="22" t="n"/>
      <c r="O294" s="23">
        <f>IF(H294="","",H294-N294)</f>
        <v/>
      </c>
      <c r="P294" s="25">
        <f>IF(OR(M294="",O294=""),"",IF(O294&lt;=0,0,MAX(0,Paramètres!$B$4-M294)))</f>
        <v/>
      </c>
      <c r="Q294" s="25">
        <f>IF(H294="","",IF(O294&lt;=0,"Payée",IF(M294="","Pas encore livrée",IF(P294=0,"Non échue",IF(P294&gt;=Paramètres!$B$7,"Relance 3 : appel direction",IF(P294&gt;=Paramètres!$B$6,"Relance 2",IF(P294&gt;=Paramètres!$B$5,"Relance 1","Échue, relance à venir")))))))</f>
        <v/>
      </c>
      <c r="R294" s="25">
        <f>IF(B294="","",IF(U294=Paramètres!$B$4,"Relancé aujourd'hui",TRIM(IF(LEFT(Q294,7)="Relance",Q294&amp;" ","")&amp;IF(K294="En retard","· Prévenir du retard de livraison",""))))</f>
        <v/>
      </c>
      <c r="S294" s="28">
        <f>IF(B294="","",IF(LEFT(Q294,9)="Relance 3","Bonjour "&amp;D294&amp;", nous revenons vers vous au sujet de la commande "&amp;A294&amp;" du "&amp;TEXT(B294,"dd/mm/yyyy")&amp;" : "&amp;SUBSTITUTE(TEXT(O294,"#,##0"),","," ")&amp;" FCFA restent à régler depuis le "&amp;TEXT(M294,"dd/mm/yyyy")&amp;". Notre responsable souhaite vous appeler pour convenir ensemble d'une solution. Quel moment vous arrange cette semaine ? "&amp;Paramètres!$B$11&amp;", "&amp;Paramètres!$B$12,IF(LEFT(Q294,7)="Relance","Bonjour "&amp;D294&amp;", sauf erreur de notre part, la commande "&amp;A294&amp;" du "&amp;TEXT(B294,"dd/mm/yyyy")&amp;" ("&amp;E294&amp;") présente un reste à payer de "&amp;SUBSTITUTE(TEXT(O294,"#,##0"),","," ")&amp;" FCFA, échu depuis le "&amp;TEXT(M294,"dd/mm/yyyy")&amp;". Pouvez-vous nous indiquer la date de règlement prévue ? Si le paiement est déjà parti, merci de nous envoyer la preuve et ne tenez pas compte de ce message. "&amp;Paramètres!$B$11&amp;", "&amp;Paramètres!$B$12,IF(K294="En retard","Bonjour "&amp;D294&amp;", votre commande "&amp;A294&amp;" ("&amp;E294&amp;", "&amp;F294&amp;" pièces) prévue le "&amp;TEXT(I294,"dd/mm/yyyy")&amp;" a pris du retard. Nous vous confirmons la nouvelle date de livraison dans la journée. Toutes nos excuses pour ce contretemps. "&amp;Paramètres!$B$11&amp;", "&amp;Paramètres!$B$12,""))))</f>
        <v/>
      </c>
      <c r="T294" s="21" t="n"/>
      <c r="U294" s="26" t="n"/>
      <c r="V294" s="21" t="n"/>
    </row>
    <row r="295">
      <c r="A295" s="21" t="n"/>
      <c r="B295" s="26" t="n"/>
      <c r="C295" s="21" t="n"/>
      <c r="D295" s="25">
        <f>IF(C295="","",IFERROR(VLOOKUP(C295,Revendeurs!$A:$B,2,FALSE),"Code inconnu"))</f>
        <v/>
      </c>
      <c r="E295" s="21" t="n"/>
      <c r="F295" s="21" t="n"/>
      <c r="G295" s="22" t="n"/>
      <c r="H295" s="23">
        <f>IF(OR(F295="",G295=""),"",F295*G295)</f>
        <v/>
      </c>
      <c r="I295" s="26" t="n"/>
      <c r="J295" s="26" t="n"/>
      <c r="K295" s="25">
        <f>IF(B295="","",IF(J295&lt;&gt;"","Livrée",IF(I295="","À planifier",IF(Paramètres!$B$4&gt;I295+Paramètres!$B$8,"En retard","En cours"))))</f>
        <v/>
      </c>
      <c r="L295" s="25">
        <f>IF(K295="En retard",Paramètres!$B$4-I295,"")</f>
        <v/>
      </c>
      <c r="M295" s="27">
        <f>IF(OR(B295="",J295=""),"",J295+IFERROR(IF(VLOOKUP(C295,Revendeurs!$A:$G,7,FALSE)="",Paramètres!$B$9,VLOOKUP(C295,Revendeurs!$A:$G,7,FALSE)),Paramètres!$B$9))</f>
        <v/>
      </c>
      <c r="N295" s="22" t="n"/>
      <c r="O295" s="23">
        <f>IF(H295="","",H295-N295)</f>
        <v/>
      </c>
      <c r="P295" s="25">
        <f>IF(OR(M295="",O295=""),"",IF(O295&lt;=0,0,MAX(0,Paramètres!$B$4-M295)))</f>
        <v/>
      </c>
      <c r="Q295" s="25">
        <f>IF(H295="","",IF(O295&lt;=0,"Payée",IF(M295="","Pas encore livrée",IF(P295=0,"Non échue",IF(P295&gt;=Paramètres!$B$7,"Relance 3 : appel direction",IF(P295&gt;=Paramètres!$B$6,"Relance 2",IF(P295&gt;=Paramètres!$B$5,"Relance 1","Échue, relance à venir")))))))</f>
        <v/>
      </c>
      <c r="R295" s="25">
        <f>IF(B295="","",IF(U295=Paramètres!$B$4,"Relancé aujourd'hui",TRIM(IF(LEFT(Q295,7)="Relance",Q295&amp;" ","")&amp;IF(K295="En retard","· Prévenir du retard de livraison",""))))</f>
        <v/>
      </c>
      <c r="S295" s="28">
        <f>IF(B295="","",IF(LEFT(Q295,9)="Relance 3","Bonjour "&amp;D295&amp;", nous revenons vers vous au sujet de la commande "&amp;A295&amp;" du "&amp;TEXT(B295,"dd/mm/yyyy")&amp;" : "&amp;SUBSTITUTE(TEXT(O295,"#,##0"),","," ")&amp;" FCFA restent à régler depuis le "&amp;TEXT(M295,"dd/mm/yyyy")&amp;". Notre responsable souhaite vous appeler pour convenir ensemble d'une solution. Quel moment vous arrange cette semaine ? "&amp;Paramètres!$B$11&amp;", "&amp;Paramètres!$B$12,IF(LEFT(Q295,7)="Relance","Bonjour "&amp;D295&amp;", sauf erreur de notre part, la commande "&amp;A295&amp;" du "&amp;TEXT(B295,"dd/mm/yyyy")&amp;" ("&amp;E295&amp;") présente un reste à payer de "&amp;SUBSTITUTE(TEXT(O295,"#,##0"),","," ")&amp;" FCFA, échu depuis le "&amp;TEXT(M295,"dd/mm/yyyy")&amp;". Pouvez-vous nous indiquer la date de règlement prévue ? Si le paiement est déjà parti, merci de nous envoyer la preuve et ne tenez pas compte de ce message. "&amp;Paramètres!$B$11&amp;", "&amp;Paramètres!$B$12,IF(K295="En retard","Bonjour "&amp;D295&amp;", votre commande "&amp;A295&amp;" ("&amp;E295&amp;", "&amp;F295&amp;" pièces) prévue le "&amp;TEXT(I295,"dd/mm/yyyy")&amp;" a pris du retard. Nous vous confirmons la nouvelle date de livraison dans la journée. Toutes nos excuses pour ce contretemps. "&amp;Paramètres!$B$11&amp;", "&amp;Paramètres!$B$12,""))))</f>
        <v/>
      </c>
      <c r="T295" s="21" t="n"/>
      <c r="U295" s="26" t="n"/>
      <c r="V295" s="21" t="n"/>
    </row>
    <row r="296">
      <c r="A296" s="21" t="n"/>
      <c r="B296" s="26" t="n"/>
      <c r="C296" s="21" t="n"/>
      <c r="D296" s="25">
        <f>IF(C296="","",IFERROR(VLOOKUP(C296,Revendeurs!$A:$B,2,FALSE),"Code inconnu"))</f>
        <v/>
      </c>
      <c r="E296" s="21" t="n"/>
      <c r="F296" s="21" t="n"/>
      <c r="G296" s="22" t="n"/>
      <c r="H296" s="23">
        <f>IF(OR(F296="",G296=""),"",F296*G296)</f>
        <v/>
      </c>
      <c r="I296" s="26" t="n"/>
      <c r="J296" s="26" t="n"/>
      <c r="K296" s="25">
        <f>IF(B296="","",IF(J296&lt;&gt;"","Livrée",IF(I296="","À planifier",IF(Paramètres!$B$4&gt;I296+Paramètres!$B$8,"En retard","En cours"))))</f>
        <v/>
      </c>
      <c r="L296" s="25">
        <f>IF(K296="En retard",Paramètres!$B$4-I296,"")</f>
        <v/>
      </c>
      <c r="M296" s="27">
        <f>IF(OR(B296="",J296=""),"",J296+IFERROR(IF(VLOOKUP(C296,Revendeurs!$A:$G,7,FALSE)="",Paramètres!$B$9,VLOOKUP(C296,Revendeurs!$A:$G,7,FALSE)),Paramètres!$B$9))</f>
        <v/>
      </c>
      <c r="N296" s="22" t="n"/>
      <c r="O296" s="23">
        <f>IF(H296="","",H296-N296)</f>
        <v/>
      </c>
      <c r="P296" s="25">
        <f>IF(OR(M296="",O296=""),"",IF(O296&lt;=0,0,MAX(0,Paramètres!$B$4-M296)))</f>
        <v/>
      </c>
      <c r="Q296" s="25">
        <f>IF(H296="","",IF(O296&lt;=0,"Payée",IF(M296="","Pas encore livrée",IF(P296=0,"Non échue",IF(P296&gt;=Paramètres!$B$7,"Relance 3 : appel direction",IF(P296&gt;=Paramètres!$B$6,"Relance 2",IF(P296&gt;=Paramètres!$B$5,"Relance 1","Échue, relance à venir")))))))</f>
        <v/>
      </c>
      <c r="R296" s="25">
        <f>IF(B296="","",IF(U296=Paramètres!$B$4,"Relancé aujourd'hui",TRIM(IF(LEFT(Q296,7)="Relance",Q296&amp;" ","")&amp;IF(K296="En retard","· Prévenir du retard de livraison",""))))</f>
        <v/>
      </c>
      <c r="S296" s="28">
        <f>IF(B296="","",IF(LEFT(Q296,9)="Relance 3","Bonjour "&amp;D296&amp;", nous revenons vers vous au sujet de la commande "&amp;A296&amp;" du "&amp;TEXT(B296,"dd/mm/yyyy")&amp;" : "&amp;SUBSTITUTE(TEXT(O296,"#,##0"),","," ")&amp;" FCFA restent à régler depuis le "&amp;TEXT(M296,"dd/mm/yyyy")&amp;". Notre responsable souhaite vous appeler pour convenir ensemble d'une solution. Quel moment vous arrange cette semaine ? "&amp;Paramètres!$B$11&amp;", "&amp;Paramètres!$B$12,IF(LEFT(Q296,7)="Relance","Bonjour "&amp;D296&amp;", sauf erreur de notre part, la commande "&amp;A296&amp;" du "&amp;TEXT(B296,"dd/mm/yyyy")&amp;" ("&amp;E296&amp;") présente un reste à payer de "&amp;SUBSTITUTE(TEXT(O296,"#,##0"),","," ")&amp;" FCFA, échu depuis le "&amp;TEXT(M296,"dd/mm/yyyy")&amp;". Pouvez-vous nous indiquer la date de règlement prévue ? Si le paiement est déjà parti, merci de nous envoyer la preuve et ne tenez pas compte de ce message. "&amp;Paramètres!$B$11&amp;", "&amp;Paramètres!$B$12,IF(K296="En retard","Bonjour "&amp;D296&amp;", votre commande "&amp;A296&amp;" ("&amp;E296&amp;", "&amp;F296&amp;" pièces) prévue le "&amp;TEXT(I296,"dd/mm/yyyy")&amp;" a pris du retard. Nous vous confirmons la nouvelle date de livraison dans la journée. Toutes nos excuses pour ce contretemps. "&amp;Paramètres!$B$11&amp;", "&amp;Paramètres!$B$12,""))))</f>
        <v/>
      </c>
      <c r="T296" s="21" t="n"/>
      <c r="U296" s="26" t="n"/>
      <c r="V296" s="21" t="n"/>
    </row>
    <row r="297">
      <c r="A297" s="21" t="n"/>
      <c r="B297" s="26" t="n"/>
      <c r="C297" s="21" t="n"/>
      <c r="D297" s="25">
        <f>IF(C297="","",IFERROR(VLOOKUP(C297,Revendeurs!$A:$B,2,FALSE),"Code inconnu"))</f>
        <v/>
      </c>
      <c r="E297" s="21" t="n"/>
      <c r="F297" s="21" t="n"/>
      <c r="G297" s="22" t="n"/>
      <c r="H297" s="23">
        <f>IF(OR(F297="",G297=""),"",F297*G297)</f>
        <v/>
      </c>
      <c r="I297" s="26" t="n"/>
      <c r="J297" s="26" t="n"/>
      <c r="K297" s="25">
        <f>IF(B297="","",IF(J297&lt;&gt;"","Livrée",IF(I297="","À planifier",IF(Paramètres!$B$4&gt;I297+Paramètres!$B$8,"En retard","En cours"))))</f>
        <v/>
      </c>
      <c r="L297" s="25">
        <f>IF(K297="En retard",Paramètres!$B$4-I297,"")</f>
        <v/>
      </c>
      <c r="M297" s="27">
        <f>IF(OR(B297="",J297=""),"",J297+IFERROR(IF(VLOOKUP(C297,Revendeurs!$A:$G,7,FALSE)="",Paramètres!$B$9,VLOOKUP(C297,Revendeurs!$A:$G,7,FALSE)),Paramètres!$B$9))</f>
        <v/>
      </c>
      <c r="N297" s="22" t="n"/>
      <c r="O297" s="23">
        <f>IF(H297="","",H297-N297)</f>
        <v/>
      </c>
      <c r="P297" s="25">
        <f>IF(OR(M297="",O297=""),"",IF(O297&lt;=0,0,MAX(0,Paramètres!$B$4-M297)))</f>
        <v/>
      </c>
      <c r="Q297" s="25">
        <f>IF(H297="","",IF(O297&lt;=0,"Payée",IF(M297="","Pas encore livrée",IF(P297=0,"Non échue",IF(P297&gt;=Paramètres!$B$7,"Relance 3 : appel direction",IF(P297&gt;=Paramètres!$B$6,"Relance 2",IF(P297&gt;=Paramètres!$B$5,"Relance 1","Échue, relance à venir")))))))</f>
        <v/>
      </c>
      <c r="R297" s="25">
        <f>IF(B297="","",IF(U297=Paramètres!$B$4,"Relancé aujourd'hui",TRIM(IF(LEFT(Q297,7)="Relance",Q297&amp;" ","")&amp;IF(K297="En retard","· Prévenir du retard de livraison",""))))</f>
        <v/>
      </c>
      <c r="S297" s="28">
        <f>IF(B297="","",IF(LEFT(Q297,9)="Relance 3","Bonjour "&amp;D297&amp;", nous revenons vers vous au sujet de la commande "&amp;A297&amp;" du "&amp;TEXT(B297,"dd/mm/yyyy")&amp;" : "&amp;SUBSTITUTE(TEXT(O297,"#,##0"),","," ")&amp;" FCFA restent à régler depuis le "&amp;TEXT(M297,"dd/mm/yyyy")&amp;". Notre responsable souhaite vous appeler pour convenir ensemble d'une solution. Quel moment vous arrange cette semaine ? "&amp;Paramètres!$B$11&amp;", "&amp;Paramètres!$B$12,IF(LEFT(Q297,7)="Relance","Bonjour "&amp;D297&amp;", sauf erreur de notre part, la commande "&amp;A297&amp;" du "&amp;TEXT(B297,"dd/mm/yyyy")&amp;" ("&amp;E297&amp;") présente un reste à payer de "&amp;SUBSTITUTE(TEXT(O297,"#,##0"),","," ")&amp;" FCFA, échu depuis le "&amp;TEXT(M297,"dd/mm/yyyy")&amp;". Pouvez-vous nous indiquer la date de règlement prévue ? Si le paiement est déjà parti, merci de nous envoyer la preuve et ne tenez pas compte de ce message. "&amp;Paramètres!$B$11&amp;", "&amp;Paramètres!$B$12,IF(K297="En retard","Bonjour "&amp;D297&amp;", votre commande "&amp;A297&amp;" ("&amp;E297&amp;", "&amp;F297&amp;" pièces) prévue le "&amp;TEXT(I297,"dd/mm/yyyy")&amp;" a pris du retard. Nous vous confirmons la nouvelle date de livraison dans la journée. Toutes nos excuses pour ce contretemps. "&amp;Paramètres!$B$11&amp;", "&amp;Paramètres!$B$12,""))))</f>
        <v/>
      </c>
      <c r="T297" s="21" t="n"/>
      <c r="U297" s="26" t="n"/>
      <c r="V297" s="21" t="n"/>
    </row>
    <row r="298">
      <c r="A298" s="21" t="n"/>
      <c r="B298" s="26" t="n"/>
      <c r="C298" s="21" t="n"/>
      <c r="D298" s="25">
        <f>IF(C298="","",IFERROR(VLOOKUP(C298,Revendeurs!$A:$B,2,FALSE),"Code inconnu"))</f>
        <v/>
      </c>
      <c r="E298" s="21" t="n"/>
      <c r="F298" s="21" t="n"/>
      <c r="G298" s="22" t="n"/>
      <c r="H298" s="23">
        <f>IF(OR(F298="",G298=""),"",F298*G298)</f>
        <v/>
      </c>
      <c r="I298" s="26" t="n"/>
      <c r="J298" s="26" t="n"/>
      <c r="K298" s="25">
        <f>IF(B298="","",IF(J298&lt;&gt;"","Livrée",IF(I298="","À planifier",IF(Paramètres!$B$4&gt;I298+Paramètres!$B$8,"En retard","En cours"))))</f>
        <v/>
      </c>
      <c r="L298" s="25">
        <f>IF(K298="En retard",Paramètres!$B$4-I298,"")</f>
        <v/>
      </c>
      <c r="M298" s="27">
        <f>IF(OR(B298="",J298=""),"",J298+IFERROR(IF(VLOOKUP(C298,Revendeurs!$A:$G,7,FALSE)="",Paramètres!$B$9,VLOOKUP(C298,Revendeurs!$A:$G,7,FALSE)),Paramètres!$B$9))</f>
        <v/>
      </c>
      <c r="N298" s="22" t="n"/>
      <c r="O298" s="23">
        <f>IF(H298="","",H298-N298)</f>
        <v/>
      </c>
      <c r="P298" s="25">
        <f>IF(OR(M298="",O298=""),"",IF(O298&lt;=0,0,MAX(0,Paramètres!$B$4-M298)))</f>
        <v/>
      </c>
      <c r="Q298" s="25">
        <f>IF(H298="","",IF(O298&lt;=0,"Payée",IF(M298="","Pas encore livrée",IF(P298=0,"Non échue",IF(P298&gt;=Paramètres!$B$7,"Relance 3 : appel direction",IF(P298&gt;=Paramètres!$B$6,"Relance 2",IF(P298&gt;=Paramètres!$B$5,"Relance 1","Échue, relance à venir")))))))</f>
        <v/>
      </c>
      <c r="R298" s="25">
        <f>IF(B298="","",IF(U298=Paramètres!$B$4,"Relancé aujourd'hui",TRIM(IF(LEFT(Q298,7)="Relance",Q298&amp;" ","")&amp;IF(K298="En retard","· Prévenir du retard de livraison",""))))</f>
        <v/>
      </c>
      <c r="S298" s="28">
        <f>IF(B298="","",IF(LEFT(Q298,9)="Relance 3","Bonjour "&amp;D298&amp;", nous revenons vers vous au sujet de la commande "&amp;A298&amp;" du "&amp;TEXT(B298,"dd/mm/yyyy")&amp;" : "&amp;SUBSTITUTE(TEXT(O298,"#,##0"),","," ")&amp;" FCFA restent à régler depuis le "&amp;TEXT(M298,"dd/mm/yyyy")&amp;". Notre responsable souhaite vous appeler pour convenir ensemble d'une solution. Quel moment vous arrange cette semaine ? "&amp;Paramètres!$B$11&amp;", "&amp;Paramètres!$B$12,IF(LEFT(Q298,7)="Relance","Bonjour "&amp;D298&amp;", sauf erreur de notre part, la commande "&amp;A298&amp;" du "&amp;TEXT(B298,"dd/mm/yyyy")&amp;" ("&amp;E298&amp;") présente un reste à payer de "&amp;SUBSTITUTE(TEXT(O298,"#,##0"),","," ")&amp;" FCFA, échu depuis le "&amp;TEXT(M298,"dd/mm/yyyy")&amp;". Pouvez-vous nous indiquer la date de règlement prévue ? Si le paiement est déjà parti, merci de nous envoyer la preuve et ne tenez pas compte de ce message. "&amp;Paramètres!$B$11&amp;", "&amp;Paramètres!$B$12,IF(K298="En retard","Bonjour "&amp;D298&amp;", votre commande "&amp;A298&amp;" ("&amp;E298&amp;", "&amp;F298&amp;" pièces) prévue le "&amp;TEXT(I298,"dd/mm/yyyy")&amp;" a pris du retard. Nous vous confirmons la nouvelle date de livraison dans la journée. Toutes nos excuses pour ce contretemps. "&amp;Paramètres!$B$11&amp;", "&amp;Paramètres!$B$12,""))))</f>
        <v/>
      </c>
      <c r="T298" s="21" t="n"/>
      <c r="U298" s="26" t="n"/>
      <c r="V298" s="21" t="n"/>
    </row>
    <row r="299">
      <c r="A299" s="21" t="n"/>
      <c r="B299" s="26" t="n"/>
      <c r="C299" s="21" t="n"/>
      <c r="D299" s="25">
        <f>IF(C299="","",IFERROR(VLOOKUP(C299,Revendeurs!$A:$B,2,FALSE),"Code inconnu"))</f>
        <v/>
      </c>
      <c r="E299" s="21" t="n"/>
      <c r="F299" s="21" t="n"/>
      <c r="G299" s="22" t="n"/>
      <c r="H299" s="23">
        <f>IF(OR(F299="",G299=""),"",F299*G299)</f>
        <v/>
      </c>
      <c r="I299" s="26" t="n"/>
      <c r="J299" s="26" t="n"/>
      <c r="K299" s="25">
        <f>IF(B299="","",IF(J299&lt;&gt;"","Livrée",IF(I299="","À planifier",IF(Paramètres!$B$4&gt;I299+Paramètres!$B$8,"En retard","En cours"))))</f>
        <v/>
      </c>
      <c r="L299" s="25">
        <f>IF(K299="En retard",Paramètres!$B$4-I299,"")</f>
        <v/>
      </c>
      <c r="M299" s="27">
        <f>IF(OR(B299="",J299=""),"",J299+IFERROR(IF(VLOOKUP(C299,Revendeurs!$A:$G,7,FALSE)="",Paramètres!$B$9,VLOOKUP(C299,Revendeurs!$A:$G,7,FALSE)),Paramètres!$B$9))</f>
        <v/>
      </c>
      <c r="N299" s="22" t="n"/>
      <c r="O299" s="23">
        <f>IF(H299="","",H299-N299)</f>
        <v/>
      </c>
      <c r="P299" s="25">
        <f>IF(OR(M299="",O299=""),"",IF(O299&lt;=0,0,MAX(0,Paramètres!$B$4-M299)))</f>
        <v/>
      </c>
      <c r="Q299" s="25">
        <f>IF(H299="","",IF(O299&lt;=0,"Payée",IF(M299="","Pas encore livrée",IF(P299=0,"Non échue",IF(P299&gt;=Paramètres!$B$7,"Relance 3 : appel direction",IF(P299&gt;=Paramètres!$B$6,"Relance 2",IF(P299&gt;=Paramètres!$B$5,"Relance 1","Échue, relance à venir")))))))</f>
        <v/>
      </c>
      <c r="R299" s="25">
        <f>IF(B299="","",IF(U299=Paramètres!$B$4,"Relancé aujourd'hui",TRIM(IF(LEFT(Q299,7)="Relance",Q299&amp;" ","")&amp;IF(K299="En retard","· Prévenir du retard de livraison",""))))</f>
        <v/>
      </c>
      <c r="S299" s="28">
        <f>IF(B299="","",IF(LEFT(Q299,9)="Relance 3","Bonjour "&amp;D299&amp;", nous revenons vers vous au sujet de la commande "&amp;A299&amp;" du "&amp;TEXT(B299,"dd/mm/yyyy")&amp;" : "&amp;SUBSTITUTE(TEXT(O299,"#,##0"),","," ")&amp;" FCFA restent à régler depuis le "&amp;TEXT(M299,"dd/mm/yyyy")&amp;". Notre responsable souhaite vous appeler pour convenir ensemble d'une solution. Quel moment vous arrange cette semaine ? "&amp;Paramètres!$B$11&amp;", "&amp;Paramètres!$B$12,IF(LEFT(Q299,7)="Relance","Bonjour "&amp;D299&amp;", sauf erreur de notre part, la commande "&amp;A299&amp;" du "&amp;TEXT(B299,"dd/mm/yyyy")&amp;" ("&amp;E299&amp;") présente un reste à payer de "&amp;SUBSTITUTE(TEXT(O299,"#,##0"),","," ")&amp;" FCFA, échu depuis le "&amp;TEXT(M299,"dd/mm/yyyy")&amp;". Pouvez-vous nous indiquer la date de règlement prévue ? Si le paiement est déjà parti, merci de nous envoyer la preuve et ne tenez pas compte de ce message. "&amp;Paramètres!$B$11&amp;", "&amp;Paramètres!$B$12,IF(K299="En retard","Bonjour "&amp;D299&amp;", votre commande "&amp;A299&amp;" ("&amp;E299&amp;", "&amp;F299&amp;" pièces) prévue le "&amp;TEXT(I299,"dd/mm/yyyy")&amp;" a pris du retard. Nous vous confirmons la nouvelle date de livraison dans la journée. Toutes nos excuses pour ce contretemps. "&amp;Paramètres!$B$11&amp;", "&amp;Paramètres!$B$12,""))))</f>
        <v/>
      </c>
      <c r="T299" s="21" t="n"/>
      <c r="U299" s="26" t="n"/>
      <c r="V299" s="21" t="n"/>
    </row>
    <row r="300">
      <c r="A300" s="21" t="n"/>
      <c r="B300" s="26" t="n"/>
      <c r="C300" s="21" t="n"/>
      <c r="D300" s="25">
        <f>IF(C300="","",IFERROR(VLOOKUP(C300,Revendeurs!$A:$B,2,FALSE),"Code inconnu"))</f>
        <v/>
      </c>
      <c r="E300" s="21" t="n"/>
      <c r="F300" s="21" t="n"/>
      <c r="G300" s="22" t="n"/>
      <c r="H300" s="23">
        <f>IF(OR(F300="",G300=""),"",F300*G300)</f>
        <v/>
      </c>
      <c r="I300" s="26" t="n"/>
      <c r="J300" s="26" t="n"/>
      <c r="K300" s="25">
        <f>IF(B300="","",IF(J300&lt;&gt;"","Livrée",IF(I300="","À planifier",IF(Paramètres!$B$4&gt;I300+Paramètres!$B$8,"En retard","En cours"))))</f>
        <v/>
      </c>
      <c r="L300" s="25">
        <f>IF(K300="En retard",Paramètres!$B$4-I300,"")</f>
        <v/>
      </c>
      <c r="M300" s="27">
        <f>IF(OR(B300="",J300=""),"",J300+IFERROR(IF(VLOOKUP(C300,Revendeurs!$A:$G,7,FALSE)="",Paramètres!$B$9,VLOOKUP(C300,Revendeurs!$A:$G,7,FALSE)),Paramètres!$B$9))</f>
        <v/>
      </c>
      <c r="N300" s="22" t="n"/>
      <c r="O300" s="23">
        <f>IF(H300="","",H300-N300)</f>
        <v/>
      </c>
      <c r="P300" s="25">
        <f>IF(OR(M300="",O300=""),"",IF(O300&lt;=0,0,MAX(0,Paramètres!$B$4-M300)))</f>
        <v/>
      </c>
      <c r="Q300" s="25">
        <f>IF(H300="","",IF(O300&lt;=0,"Payée",IF(M300="","Pas encore livrée",IF(P300=0,"Non échue",IF(P300&gt;=Paramètres!$B$7,"Relance 3 : appel direction",IF(P300&gt;=Paramètres!$B$6,"Relance 2",IF(P300&gt;=Paramètres!$B$5,"Relance 1","Échue, relance à venir")))))))</f>
        <v/>
      </c>
      <c r="R300" s="25">
        <f>IF(B300="","",IF(U300=Paramètres!$B$4,"Relancé aujourd'hui",TRIM(IF(LEFT(Q300,7)="Relance",Q300&amp;" ","")&amp;IF(K300="En retard","· Prévenir du retard de livraison",""))))</f>
        <v/>
      </c>
      <c r="S300" s="28">
        <f>IF(B300="","",IF(LEFT(Q300,9)="Relance 3","Bonjour "&amp;D300&amp;", nous revenons vers vous au sujet de la commande "&amp;A300&amp;" du "&amp;TEXT(B300,"dd/mm/yyyy")&amp;" : "&amp;SUBSTITUTE(TEXT(O300,"#,##0"),","," ")&amp;" FCFA restent à régler depuis le "&amp;TEXT(M300,"dd/mm/yyyy")&amp;". Notre responsable souhaite vous appeler pour convenir ensemble d'une solution. Quel moment vous arrange cette semaine ? "&amp;Paramètres!$B$11&amp;", "&amp;Paramètres!$B$12,IF(LEFT(Q300,7)="Relance","Bonjour "&amp;D300&amp;", sauf erreur de notre part, la commande "&amp;A300&amp;" du "&amp;TEXT(B300,"dd/mm/yyyy")&amp;" ("&amp;E300&amp;") présente un reste à payer de "&amp;SUBSTITUTE(TEXT(O300,"#,##0"),","," ")&amp;" FCFA, échu depuis le "&amp;TEXT(M300,"dd/mm/yyyy")&amp;". Pouvez-vous nous indiquer la date de règlement prévue ? Si le paiement est déjà parti, merci de nous envoyer la preuve et ne tenez pas compte de ce message. "&amp;Paramètres!$B$11&amp;", "&amp;Paramètres!$B$12,IF(K300="En retard","Bonjour "&amp;D300&amp;", votre commande "&amp;A300&amp;" ("&amp;E300&amp;", "&amp;F300&amp;" pièces) prévue le "&amp;TEXT(I300,"dd/mm/yyyy")&amp;" a pris du retard. Nous vous confirmons la nouvelle date de livraison dans la journée. Toutes nos excuses pour ce contretemps. "&amp;Paramètres!$B$11&amp;", "&amp;Paramètres!$B$12,""))))</f>
        <v/>
      </c>
      <c r="T300" s="21" t="n"/>
      <c r="U300" s="26" t="n"/>
      <c r="V300" s="21" t="n"/>
    </row>
    <row r="301">
      <c r="A301" s="21" t="n"/>
      <c r="B301" s="26" t="n"/>
      <c r="C301" s="21" t="n"/>
      <c r="D301" s="25">
        <f>IF(C301="","",IFERROR(VLOOKUP(C301,Revendeurs!$A:$B,2,FALSE),"Code inconnu"))</f>
        <v/>
      </c>
      <c r="E301" s="21" t="n"/>
      <c r="F301" s="21" t="n"/>
      <c r="G301" s="22" t="n"/>
      <c r="H301" s="23">
        <f>IF(OR(F301="",G301=""),"",F301*G301)</f>
        <v/>
      </c>
      <c r="I301" s="26" t="n"/>
      <c r="J301" s="26" t="n"/>
      <c r="K301" s="25">
        <f>IF(B301="","",IF(J301&lt;&gt;"","Livrée",IF(I301="","À planifier",IF(Paramètres!$B$4&gt;I301+Paramètres!$B$8,"En retard","En cours"))))</f>
        <v/>
      </c>
      <c r="L301" s="25">
        <f>IF(K301="En retard",Paramètres!$B$4-I301,"")</f>
        <v/>
      </c>
      <c r="M301" s="27">
        <f>IF(OR(B301="",J301=""),"",J301+IFERROR(IF(VLOOKUP(C301,Revendeurs!$A:$G,7,FALSE)="",Paramètres!$B$9,VLOOKUP(C301,Revendeurs!$A:$G,7,FALSE)),Paramètres!$B$9))</f>
        <v/>
      </c>
      <c r="N301" s="22" t="n"/>
      <c r="O301" s="23">
        <f>IF(H301="","",H301-N301)</f>
        <v/>
      </c>
      <c r="P301" s="25">
        <f>IF(OR(M301="",O301=""),"",IF(O301&lt;=0,0,MAX(0,Paramètres!$B$4-M301)))</f>
        <v/>
      </c>
      <c r="Q301" s="25">
        <f>IF(H301="","",IF(O301&lt;=0,"Payée",IF(M301="","Pas encore livrée",IF(P301=0,"Non échue",IF(P301&gt;=Paramètres!$B$7,"Relance 3 : appel direction",IF(P301&gt;=Paramètres!$B$6,"Relance 2",IF(P301&gt;=Paramètres!$B$5,"Relance 1","Échue, relance à venir")))))))</f>
        <v/>
      </c>
      <c r="R301" s="25">
        <f>IF(B301="","",IF(U301=Paramètres!$B$4,"Relancé aujourd'hui",TRIM(IF(LEFT(Q301,7)="Relance",Q301&amp;" ","")&amp;IF(K301="En retard","· Prévenir du retard de livraison",""))))</f>
        <v/>
      </c>
      <c r="S301" s="28">
        <f>IF(B301="","",IF(LEFT(Q301,9)="Relance 3","Bonjour "&amp;D301&amp;", nous revenons vers vous au sujet de la commande "&amp;A301&amp;" du "&amp;TEXT(B301,"dd/mm/yyyy")&amp;" : "&amp;SUBSTITUTE(TEXT(O301,"#,##0"),","," ")&amp;" FCFA restent à régler depuis le "&amp;TEXT(M301,"dd/mm/yyyy")&amp;". Notre responsable souhaite vous appeler pour convenir ensemble d'une solution. Quel moment vous arrange cette semaine ? "&amp;Paramètres!$B$11&amp;", "&amp;Paramètres!$B$12,IF(LEFT(Q301,7)="Relance","Bonjour "&amp;D301&amp;", sauf erreur de notre part, la commande "&amp;A301&amp;" du "&amp;TEXT(B301,"dd/mm/yyyy")&amp;" ("&amp;E301&amp;") présente un reste à payer de "&amp;SUBSTITUTE(TEXT(O301,"#,##0"),","," ")&amp;" FCFA, échu depuis le "&amp;TEXT(M301,"dd/mm/yyyy")&amp;". Pouvez-vous nous indiquer la date de règlement prévue ? Si le paiement est déjà parti, merci de nous envoyer la preuve et ne tenez pas compte de ce message. "&amp;Paramètres!$B$11&amp;", "&amp;Paramètres!$B$12,IF(K301="En retard","Bonjour "&amp;D301&amp;", votre commande "&amp;A301&amp;" ("&amp;E301&amp;", "&amp;F301&amp;" pièces) prévue le "&amp;TEXT(I301,"dd/mm/yyyy")&amp;" a pris du retard. Nous vous confirmons la nouvelle date de livraison dans la journée. Toutes nos excuses pour ce contretemps. "&amp;Paramètres!$B$11&amp;", "&amp;Paramètres!$B$12,""))))</f>
        <v/>
      </c>
      <c r="T301" s="21" t="n"/>
      <c r="U301" s="26" t="n"/>
      <c r="V301" s="21" t="n"/>
    </row>
    <row r="302">
      <c r="A302" s="21" t="n"/>
      <c r="B302" s="26" t="n"/>
      <c r="C302" s="21" t="n"/>
      <c r="D302" s="25">
        <f>IF(C302="","",IFERROR(VLOOKUP(C302,Revendeurs!$A:$B,2,FALSE),"Code inconnu"))</f>
        <v/>
      </c>
      <c r="E302" s="21" t="n"/>
      <c r="F302" s="21" t="n"/>
      <c r="G302" s="22" t="n"/>
      <c r="H302" s="23">
        <f>IF(OR(F302="",G302=""),"",F302*G302)</f>
        <v/>
      </c>
      <c r="I302" s="26" t="n"/>
      <c r="J302" s="26" t="n"/>
      <c r="K302" s="25">
        <f>IF(B302="","",IF(J302&lt;&gt;"","Livrée",IF(I302="","À planifier",IF(Paramètres!$B$4&gt;I302+Paramètres!$B$8,"En retard","En cours"))))</f>
        <v/>
      </c>
      <c r="L302" s="25">
        <f>IF(K302="En retard",Paramètres!$B$4-I302,"")</f>
        <v/>
      </c>
      <c r="M302" s="27">
        <f>IF(OR(B302="",J302=""),"",J302+IFERROR(IF(VLOOKUP(C302,Revendeurs!$A:$G,7,FALSE)="",Paramètres!$B$9,VLOOKUP(C302,Revendeurs!$A:$G,7,FALSE)),Paramètres!$B$9))</f>
        <v/>
      </c>
      <c r="N302" s="22" t="n"/>
      <c r="O302" s="23">
        <f>IF(H302="","",H302-N302)</f>
        <v/>
      </c>
      <c r="P302" s="25">
        <f>IF(OR(M302="",O302=""),"",IF(O302&lt;=0,0,MAX(0,Paramètres!$B$4-M302)))</f>
        <v/>
      </c>
      <c r="Q302" s="25">
        <f>IF(H302="","",IF(O302&lt;=0,"Payée",IF(M302="","Pas encore livrée",IF(P302=0,"Non échue",IF(P302&gt;=Paramètres!$B$7,"Relance 3 : appel direction",IF(P302&gt;=Paramètres!$B$6,"Relance 2",IF(P302&gt;=Paramètres!$B$5,"Relance 1","Échue, relance à venir")))))))</f>
        <v/>
      </c>
      <c r="R302" s="25">
        <f>IF(B302="","",IF(U302=Paramètres!$B$4,"Relancé aujourd'hui",TRIM(IF(LEFT(Q302,7)="Relance",Q302&amp;" ","")&amp;IF(K302="En retard","· Prévenir du retard de livraison",""))))</f>
        <v/>
      </c>
      <c r="S302" s="28">
        <f>IF(B302="","",IF(LEFT(Q302,9)="Relance 3","Bonjour "&amp;D302&amp;", nous revenons vers vous au sujet de la commande "&amp;A302&amp;" du "&amp;TEXT(B302,"dd/mm/yyyy")&amp;" : "&amp;SUBSTITUTE(TEXT(O302,"#,##0"),","," ")&amp;" FCFA restent à régler depuis le "&amp;TEXT(M302,"dd/mm/yyyy")&amp;". Notre responsable souhaite vous appeler pour convenir ensemble d'une solution. Quel moment vous arrange cette semaine ? "&amp;Paramètres!$B$11&amp;", "&amp;Paramètres!$B$12,IF(LEFT(Q302,7)="Relance","Bonjour "&amp;D302&amp;", sauf erreur de notre part, la commande "&amp;A302&amp;" du "&amp;TEXT(B302,"dd/mm/yyyy")&amp;" ("&amp;E302&amp;") présente un reste à payer de "&amp;SUBSTITUTE(TEXT(O302,"#,##0"),","," ")&amp;" FCFA, échu depuis le "&amp;TEXT(M302,"dd/mm/yyyy")&amp;". Pouvez-vous nous indiquer la date de règlement prévue ? Si le paiement est déjà parti, merci de nous envoyer la preuve et ne tenez pas compte de ce message. "&amp;Paramètres!$B$11&amp;", "&amp;Paramètres!$B$12,IF(K302="En retard","Bonjour "&amp;D302&amp;", votre commande "&amp;A302&amp;" ("&amp;E302&amp;", "&amp;F302&amp;" pièces) prévue le "&amp;TEXT(I302,"dd/mm/yyyy")&amp;" a pris du retard. Nous vous confirmons la nouvelle date de livraison dans la journée. Toutes nos excuses pour ce contretemps. "&amp;Paramètres!$B$11&amp;", "&amp;Paramètres!$B$12,""))))</f>
        <v/>
      </c>
      <c r="T302" s="21" t="n"/>
      <c r="U302" s="26" t="n"/>
      <c r="V302" s="21" t="n"/>
    </row>
    <row r="303">
      <c r="A303" s="21" t="n"/>
      <c r="B303" s="26" t="n"/>
      <c r="C303" s="21" t="n"/>
      <c r="D303" s="25">
        <f>IF(C303="","",IFERROR(VLOOKUP(C303,Revendeurs!$A:$B,2,FALSE),"Code inconnu"))</f>
        <v/>
      </c>
      <c r="E303" s="21" t="n"/>
      <c r="F303" s="21" t="n"/>
      <c r="G303" s="22" t="n"/>
      <c r="H303" s="23">
        <f>IF(OR(F303="",G303=""),"",F303*G303)</f>
        <v/>
      </c>
      <c r="I303" s="26" t="n"/>
      <c r="J303" s="26" t="n"/>
      <c r="K303" s="25">
        <f>IF(B303="","",IF(J303&lt;&gt;"","Livrée",IF(I303="","À planifier",IF(Paramètres!$B$4&gt;I303+Paramètres!$B$8,"En retard","En cours"))))</f>
        <v/>
      </c>
      <c r="L303" s="25">
        <f>IF(K303="En retard",Paramètres!$B$4-I303,"")</f>
        <v/>
      </c>
      <c r="M303" s="27">
        <f>IF(OR(B303="",J303=""),"",J303+IFERROR(IF(VLOOKUP(C303,Revendeurs!$A:$G,7,FALSE)="",Paramètres!$B$9,VLOOKUP(C303,Revendeurs!$A:$G,7,FALSE)),Paramètres!$B$9))</f>
        <v/>
      </c>
      <c r="N303" s="22" t="n"/>
      <c r="O303" s="23">
        <f>IF(H303="","",H303-N303)</f>
        <v/>
      </c>
      <c r="P303" s="25">
        <f>IF(OR(M303="",O303=""),"",IF(O303&lt;=0,0,MAX(0,Paramètres!$B$4-M303)))</f>
        <v/>
      </c>
      <c r="Q303" s="25">
        <f>IF(H303="","",IF(O303&lt;=0,"Payée",IF(M303="","Pas encore livrée",IF(P303=0,"Non échue",IF(P303&gt;=Paramètres!$B$7,"Relance 3 : appel direction",IF(P303&gt;=Paramètres!$B$6,"Relance 2",IF(P303&gt;=Paramètres!$B$5,"Relance 1","Échue, relance à venir")))))))</f>
        <v/>
      </c>
      <c r="R303" s="25">
        <f>IF(B303="","",IF(U303=Paramètres!$B$4,"Relancé aujourd'hui",TRIM(IF(LEFT(Q303,7)="Relance",Q303&amp;" ","")&amp;IF(K303="En retard","· Prévenir du retard de livraison",""))))</f>
        <v/>
      </c>
      <c r="S303" s="28">
        <f>IF(B303="","",IF(LEFT(Q303,9)="Relance 3","Bonjour "&amp;D303&amp;", nous revenons vers vous au sujet de la commande "&amp;A303&amp;" du "&amp;TEXT(B303,"dd/mm/yyyy")&amp;" : "&amp;SUBSTITUTE(TEXT(O303,"#,##0"),","," ")&amp;" FCFA restent à régler depuis le "&amp;TEXT(M303,"dd/mm/yyyy")&amp;". Notre responsable souhaite vous appeler pour convenir ensemble d'une solution. Quel moment vous arrange cette semaine ? "&amp;Paramètres!$B$11&amp;", "&amp;Paramètres!$B$12,IF(LEFT(Q303,7)="Relance","Bonjour "&amp;D303&amp;", sauf erreur de notre part, la commande "&amp;A303&amp;" du "&amp;TEXT(B303,"dd/mm/yyyy")&amp;" ("&amp;E303&amp;") présente un reste à payer de "&amp;SUBSTITUTE(TEXT(O303,"#,##0"),","," ")&amp;" FCFA, échu depuis le "&amp;TEXT(M303,"dd/mm/yyyy")&amp;". Pouvez-vous nous indiquer la date de règlement prévue ? Si le paiement est déjà parti, merci de nous envoyer la preuve et ne tenez pas compte de ce message. "&amp;Paramètres!$B$11&amp;", "&amp;Paramètres!$B$12,IF(K303="En retard","Bonjour "&amp;D303&amp;", votre commande "&amp;A303&amp;" ("&amp;E303&amp;", "&amp;F303&amp;" pièces) prévue le "&amp;TEXT(I303,"dd/mm/yyyy")&amp;" a pris du retard. Nous vous confirmons la nouvelle date de livraison dans la journée. Toutes nos excuses pour ce contretemps. "&amp;Paramètres!$B$11&amp;", "&amp;Paramètres!$B$12,""))))</f>
        <v/>
      </c>
      <c r="T303" s="21" t="n"/>
      <c r="U303" s="26" t="n"/>
      <c r="V303" s="21" t="n"/>
    </row>
    <row r="304">
      <c r="A304" s="21" t="n"/>
      <c r="B304" s="26" t="n"/>
      <c r="C304" s="21" t="n"/>
      <c r="D304" s="25">
        <f>IF(C304="","",IFERROR(VLOOKUP(C304,Revendeurs!$A:$B,2,FALSE),"Code inconnu"))</f>
        <v/>
      </c>
      <c r="E304" s="21" t="n"/>
      <c r="F304" s="21" t="n"/>
      <c r="G304" s="22" t="n"/>
      <c r="H304" s="23">
        <f>IF(OR(F304="",G304=""),"",F304*G304)</f>
        <v/>
      </c>
      <c r="I304" s="26" t="n"/>
      <c r="J304" s="26" t="n"/>
      <c r="K304" s="25">
        <f>IF(B304="","",IF(J304&lt;&gt;"","Livrée",IF(I304="","À planifier",IF(Paramètres!$B$4&gt;I304+Paramètres!$B$8,"En retard","En cours"))))</f>
        <v/>
      </c>
      <c r="L304" s="25">
        <f>IF(K304="En retard",Paramètres!$B$4-I304,"")</f>
        <v/>
      </c>
      <c r="M304" s="27">
        <f>IF(OR(B304="",J304=""),"",J304+IFERROR(IF(VLOOKUP(C304,Revendeurs!$A:$G,7,FALSE)="",Paramètres!$B$9,VLOOKUP(C304,Revendeurs!$A:$G,7,FALSE)),Paramètres!$B$9))</f>
        <v/>
      </c>
      <c r="N304" s="22" t="n"/>
      <c r="O304" s="23">
        <f>IF(H304="","",H304-N304)</f>
        <v/>
      </c>
      <c r="P304" s="25">
        <f>IF(OR(M304="",O304=""),"",IF(O304&lt;=0,0,MAX(0,Paramètres!$B$4-M304)))</f>
        <v/>
      </c>
      <c r="Q304" s="25">
        <f>IF(H304="","",IF(O304&lt;=0,"Payée",IF(M304="","Pas encore livrée",IF(P304=0,"Non échue",IF(P304&gt;=Paramètres!$B$7,"Relance 3 : appel direction",IF(P304&gt;=Paramètres!$B$6,"Relance 2",IF(P304&gt;=Paramètres!$B$5,"Relance 1","Échue, relance à venir")))))))</f>
        <v/>
      </c>
      <c r="R304" s="25">
        <f>IF(B304="","",IF(U304=Paramètres!$B$4,"Relancé aujourd'hui",TRIM(IF(LEFT(Q304,7)="Relance",Q304&amp;" ","")&amp;IF(K304="En retard","· Prévenir du retard de livraison",""))))</f>
        <v/>
      </c>
      <c r="S304" s="28">
        <f>IF(B304="","",IF(LEFT(Q304,9)="Relance 3","Bonjour "&amp;D304&amp;", nous revenons vers vous au sujet de la commande "&amp;A304&amp;" du "&amp;TEXT(B304,"dd/mm/yyyy")&amp;" : "&amp;SUBSTITUTE(TEXT(O304,"#,##0"),","," ")&amp;" FCFA restent à régler depuis le "&amp;TEXT(M304,"dd/mm/yyyy")&amp;". Notre responsable souhaite vous appeler pour convenir ensemble d'une solution. Quel moment vous arrange cette semaine ? "&amp;Paramètres!$B$11&amp;", "&amp;Paramètres!$B$12,IF(LEFT(Q304,7)="Relance","Bonjour "&amp;D304&amp;", sauf erreur de notre part, la commande "&amp;A304&amp;" du "&amp;TEXT(B304,"dd/mm/yyyy")&amp;" ("&amp;E304&amp;") présente un reste à payer de "&amp;SUBSTITUTE(TEXT(O304,"#,##0"),","," ")&amp;" FCFA, échu depuis le "&amp;TEXT(M304,"dd/mm/yyyy")&amp;". Pouvez-vous nous indiquer la date de règlement prévue ? Si le paiement est déjà parti, merci de nous envoyer la preuve et ne tenez pas compte de ce message. "&amp;Paramètres!$B$11&amp;", "&amp;Paramètres!$B$12,IF(K304="En retard","Bonjour "&amp;D304&amp;", votre commande "&amp;A304&amp;" ("&amp;E304&amp;", "&amp;F304&amp;" pièces) prévue le "&amp;TEXT(I304,"dd/mm/yyyy")&amp;" a pris du retard. Nous vous confirmons la nouvelle date de livraison dans la journée. Toutes nos excuses pour ce contretemps. "&amp;Paramètres!$B$11&amp;", "&amp;Paramètres!$B$12,""))))</f>
        <v/>
      </c>
      <c r="T304" s="21" t="n"/>
      <c r="U304" s="26" t="n"/>
      <c r="V304" s="21" t="n"/>
    </row>
    <row r="305">
      <c r="A305" s="21" t="n"/>
      <c r="B305" s="26" t="n"/>
      <c r="C305" s="21" t="n"/>
      <c r="D305" s="25">
        <f>IF(C305="","",IFERROR(VLOOKUP(C305,Revendeurs!$A:$B,2,FALSE),"Code inconnu"))</f>
        <v/>
      </c>
      <c r="E305" s="21" t="n"/>
      <c r="F305" s="21" t="n"/>
      <c r="G305" s="22" t="n"/>
      <c r="H305" s="23">
        <f>IF(OR(F305="",G305=""),"",F305*G305)</f>
        <v/>
      </c>
      <c r="I305" s="26" t="n"/>
      <c r="J305" s="26" t="n"/>
      <c r="K305" s="25">
        <f>IF(B305="","",IF(J305&lt;&gt;"","Livrée",IF(I305="","À planifier",IF(Paramètres!$B$4&gt;I305+Paramètres!$B$8,"En retard","En cours"))))</f>
        <v/>
      </c>
      <c r="L305" s="25">
        <f>IF(K305="En retard",Paramètres!$B$4-I305,"")</f>
        <v/>
      </c>
      <c r="M305" s="27">
        <f>IF(OR(B305="",J305=""),"",J305+IFERROR(IF(VLOOKUP(C305,Revendeurs!$A:$G,7,FALSE)="",Paramètres!$B$9,VLOOKUP(C305,Revendeurs!$A:$G,7,FALSE)),Paramètres!$B$9))</f>
        <v/>
      </c>
      <c r="N305" s="22" t="n"/>
      <c r="O305" s="23">
        <f>IF(H305="","",H305-N305)</f>
        <v/>
      </c>
      <c r="P305" s="25">
        <f>IF(OR(M305="",O305=""),"",IF(O305&lt;=0,0,MAX(0,Paramètres!$B$4-M305)))</f>
        <v/>
      </c>
      <c r="Q305" s="25">
        <f>IF(H305="","",IF(O305&lt;=0,"Payée",IF(M305="","Pas encore livrée",IF(P305=0,"Non échue",IF(P305&gt;=Paramètres!$B$7,"Relance 3 : appel direction",IF(P305&gt;=Paramètres!$B$6,"Relance 2",IF(P305&gt;=Paramètres!$B$5,"Relance 1","Échue, relance à venir")))))))</f>
        <v/>
      </c>
      <c r="R305" s="25">
        <f>IF(B305="","",IF(U305=Paramètres!$B$4,"Relancé aujourd'hui",TRIM(IF(LEFT(Q305,7)="Relance",Q305&amp;" ","")&amp;IF(K305="En retard","· Prévenir du retard de livraison",""))))</f>
        <v/>
      </c>
      <c r="S305" s="28">
        <f>IF(B305="","",IF(LEFT(Q305,9)="Relance 3","Bonjour "&amp;D305&amp;", nous revenons vers vous au sujet de la commande "&amp;A305&amp;" du "&amp;TEXT(B305,"dd/mm/yyyy")&amp;" : "&amp;SUBSTITUTE(TEXT(O305,"#,##0"),","," ")&amp;" FCFA restent à régler depuis le "&amp;TEXT(M305,"dd/mm/yyyy")&amp;". Notre responsable souhaite vous appeler pour convenir ensemble d'une solution. Quel moment vous arrange cette semaine ? "&amp;Paramètres!$B$11&amp;", "&amp;Paramètres!$B$12,IF(LEFT(Q305,7)="Relance","Bonjour "&amp;D305&amp;", sauf erreur de notre part, la commande "&amp;A305&amp;" du "&amp;TEXT(B305,"dd/mm/yyyy")&amp;" ("&amp;E305&amp;") présente un reste à payer de "&amp;SUBSTITUTE(TEXT(O305,"#,##0"),","," ")&amp;" FCFA, échu depuis le "&amp;TEXT(M305,"dd/mm/yyyy")&amp;". Pouvez-vous nous indiquer la date de règlement prévue ? Si le paiement est déjà parti, merci de nous envoyer la preuve et ne tenez pas compte de ce message. "&amp;Paramètres!$B$11&amp;", "&amp;Paramètres!$B$12,IF(K305="En retard","Bonjour "&amp;D305&amp;", votre commande "&amp;A305&amp;" ("&amp;E305&amp;", "&amp;F305&amp;" pièces) prévue le "&amp;TEXT(I305,"dd/mm/yyyy")&amp;" a pris du retard. Nous vous confirmons la nouvelle date de livraison dans la journée. Toutes nos excuses pour ce contretemps. "&amp;Paramètres!$B$11&amp;", "&amp;Paramètres!$B$12,""))))</f>
        <v/>
      </c>
      <c r="T305" s="21" t="n"/>
      <c r="U305" s="26" t="n"/>
      <c r="V305" s="21" t="n"/>
    </row>
    <row r="306">
      <c r="A306" s="21" t="n"/>
      <c r="B306" s="26" t="n"/>
      <c r="C306" s="21" t="n"/>
      <c r="D306" s="25">
        <f>IF(C306="","",IFERROR(VLOOKUP(C306,Revendeurs!$A:$B,2,FALSE),"Code inconnu"))</f>
        <v/>
      </c>
      <c r="E306" s="21" t="n"/>
      <c r="F306" s="21" t="n"/>
      <c r="G306" s="22" t="n"/>
      <c r="H306" s="23">
        <f>IF(OR(F306="",G306=""),"",F306*G306)</f>
        <v/>
      </c>
      <c r="I306" s="26" t="n"/>
      <c r="J306" s="26" t="n"/>
      <c r="K306" s="25">
        <f>IF(B306="","",IF(J306&lt;&gt;"","Livrée",IF(I306="","À planifier",IF(Paramètres!$B$4&gt;I306+Paramètres!$B$8,"En retard","En cours"))))</f>
        <v/>
      </c>
      <c r="L306" s="25">
        <f>IF(K306="En retard",Paramètres!$B$4-I306,"")</f>
        <v/>
      </c>
      <c r="M306" s="27">
        <f>IF(OR(B306="",J306=""),"",J306+IFERROR(IF(VLOOKUP(C306,Revendeurs!$A:$G,7,FALSE)="",Paramètres!$B$9,VLOOKUP(C306,Revendeurs!$A:$G,7,FALSE)),Paramètres!$B$9))</f>
        <v/>
      </c>
      <c r="N306" s="22" t="n"/>
      <c r="O306" s="23">
        <f>IF(H306="","",H306-N306)</f>
        <v/>
      </c>
      <c r="P306" s="25">
        <f>IF(OR(M306="",O306=""),"",IF(O306&lt;=0,0,MAX(0,Paramètres!$B$4-M306)))</f>
        <v/>
      </c>
      <c r="Q306" s="25">
        <f>IF(H306="","",IF(O306&lt;=0,"Payée",IF(M306="","Pas encore livrée",IF(P306=0,"Non échue",IF(P306&gt;=Paramètres!$B$7,"Relance 3 : appel direction",IF(P306&gt;=Paramètres!$B$6,"Relance 2",IF(P306&gt;=Paramètres!$B$5,"Relance 1","Échue, relance à venir")))))))</f>
        <v/>
      </c>
      <c r="R306" s="25">
        <f>IF(B306="","",IF(U306=Paramètres!$B$4,"Relancé aujourd'hui",TRIM(IF(LEFT(Q306,7)="Relance",Q306&amp;" ","")&amp;IF(K306="En retard","· Prévenir du retard de livraison",""))))</f>
        <v/>
      </c>
      <c r="S306" s="28">
        <f>IF(B306="","",IF(LEFT(Q306,9)="Relance 3","Bonjour "&amp;D306&amp;", nous revenons vers vous au sujet de la commande "&amp;A306&amp;" du "&amp;TEXT(B306,"dd/mm/yyyy")&amp;" : "&amp;SUBSTITUTE(TEXT(O306,"#,##0"),","," ")&amp;" FCFA restent à régler depuis le "&amp;TEXT(M306,"dd/mm/yyyy")&amp;". Notre responsable souhaite vous appeler pour convenir ensemble d'une solution. Quel moment vous arrange cette semaine ? "&amp;Paramètres!$B$11&amp;", "&amp;Paramètres!$B$12,IF(LEFT(Q306,7)="Relance","Bonjour "&amp;D306&amp;", sauf erreur de notre part, la commande "&amp;A306&amp;" du "&amp;TEXT(B306,"dd/mm/yyyy")&amp;" ("&amp;E306&amp;") présente un reste à payer de "&amp;SUBSTITUTE(TEXT(O306,"#,##0"),","," ")&amp;" FCFA, échu depuis le "&amp;TEXT(M306,"dd/mm/yyyy")&amp;". Pouvez-vous nous indiquer la date de règlement prévue ? Si le paiement est déjà parti, merci de nous envoyer la preuve et ne tenez pas compte de ce message. "&amp;Paramètres!$B$11&amp;", "&amp;Paramètres!$B$12,IF(K306="En retard","Bonjour "&amp;D306&amp;", votre commande "&amp;A306&amp;" ("&amp;E306&amp;", "&amp;F306&amp;" pièces) prévue le "&amp;TEXT(I306,"dd/mm/yyyy")&amp;" a pris du retard. Nous vous confirmons la nouvelle date de livraison dans la journée. Toutes nos excuses pour ce contretemps. "&amp;Paramètres!$B$11&amp;", "&amp;Paramètres!$B$12,""))))</f>
        <v/>
      </c>
      <c r="T306" s="21" t="n"/>
      <c r="U306" s="26" t="n"/>
      <c r="V306" s="21" t="n"/>
    </row>
    <row r="307">
      <c r="A307" s="21" t="n"/>
      <c r="B307" s="26" t="n"/>
      <c r="C307" s="21" t="n"/>
      <c r="D307" s="25">
        <f>IF(C307="","",IFERROR(VLOOKUP(C307,Revendeurs!$A:$B,2,FALSE),"Code inconnu"))</f>
        <v/>
      </c>
      <c r="E307" s="21" t="n"/>
      <c r="F307" s="21" t="n"/>
      <c r="G307" s="22" t="n"/>
      <c r="H307" s="23">
        <f>IF(OR(F307="",G307=""),"",F307*G307)</f>
        <v/>
      </c>
      <c r="I307" s="26" t="n"/>
      <c r="J307" s="26" t="n"/>
      <c r="K307" s="25">
        <f>IF(B307="","",IF(J307&lt;&gt;"","Livrée",IF(I307="","À planifier",IF(Paramètres!$B$4&gt;I307+Paramètres!$B$8,"En retard","En cours"))))</f>
        <v/>
      </c>
      <c r="L307" s="25">
        <f>IF(K307="En retard",Paramètres!$B$4-I307,"")</f>
        <v/>
      </c>
      <c r="M307" s="27">
        <f>IF(OR(B307="",J307=""),"",J307+IFERROR(IF(VLOOKUP(C307,Revendeurs!$A:$G,7,FALSE)="",Paramètres!$B$9,VLOOKUP(C307,Revendeurs!$A:$G,7,FALSE)),Paramètres!$B$9))</f>
        <v/>
      </c>
      <c r="N307" s="22" t="n"/>
      <c r="O307" s="23">
        <f>IF(H307="","",H307-N307)</f>
        <v/>
      </c>
      <c r="P307" s="25">
        <f>IF(OR(M307="",O307=""),"",IF(O307&lt;=0,0,MAX(0,Paramètres!$B$4-M307)))</f>
        <v/>
      </c>
      <c r="Q307" s="25">
        <f>IF(H307="","",IF(O307&lt;=0,"Payée",IF(M307="","Pas encore livrée",IF(P307=0,"Non échue",IF(P307&gt;=Paramètres!$B$7,"Relance 3 : appel direction",IF(P307&gt;=Paramètres!$B$6,"Relance 2",IF(P307&gt;=Paramètres!$B$5,"Relance 1","Échue, relance à venir")))))))</f>
        <v/>
      </c>
      <c r="R307" s="25">
        <f>IF(B307="","",IF(U307=Paramètres!$B$4,"Relancé aujourd'hui",TRIM(IF(LEFT(Q307,7)="Relance",Q307&amp;" ","")&amp;IF(K307="En retard","· Prévenir du retard de livraison",""))))</f>
        <v/>
      </c>
      <c r="S307" s="28">
        <f>IF(B307="","",IF(LEFT(Q307,9)="Relance 3","Bonjour "&amp;D307&amp;", nous revenons vers vous au sujet de la commande "&amp;A307&amp;" du "&amp;TEXT(B307,"dd/mm/yyyy")&amp;" : "&amp;SUBSTITUTE(TEXT(O307,"#,##0"),","," ")&amp;" FCFA restent à régler depuis le "&amp;TEXT(M307,"dd/mm/yyyy")&amp;". Notre responsable souhaite vous appeler pour convenir ensemble d'une solution. Quel moment vous arrange cette semaine ? "&amp;Paramètres!$B$11&amp;", "&amp;Paramètres!$B$12,IF(LEFT(Q307,7)="Relance","Bonjour "&amp;D307&amp;", sauf erreur de notre part, la commande "&amp;A307&amp;" du "&amp;TEXT(B307,"dd/mm/yyyy")&amp;" ("&amp;E307&amp;") présente un reste à payer de "&amp;SUBSTITUTE(TEXT(O307,"#,##0"),","," ")&amp;" FCFA, échu depuis le "&amp;TEXT(M307,"dd/mm/yyyy")&amp;". Pouvez-vous nous indiquer la date de règlement prévue ? Si le paiement est déjà parti, merci de nous envoyer la preuve et ne tenez pas compte de ce message. "&amp;Paramètres!$B$11&amp;", "&amp;Paramètres!$B$12,IF(K307="En retard","Bonjour "&amp;D307&amp;", votre commande "&amp;A307&amp;" ("&amp;E307&amp;", "&amp;F307&amp;" pièces) prévue le "&amp;TEXT(I307,"dd/mm/yyyy")&amp;" a pris du retard. Nous vous confirmons la nouvelle date de livraison dans la journée. Toutes nos excuses pour ce contretemps. "&amp;Paramètres!$B$11&amp;", "&amp;Paramètres!$B$12,""))))</f>
        <v/>
      </c>
      <c r="T307" s="21" t="n"/>
      <c r="U307" s="26" t="n"/>
      <c r="V307" s="21" t="n"/>
    </row>
    <row r="308">
      <c r="A308" s="21" t="n"/>
      <c r="B308" s="26" t="n"/>
      <c r="C308" s="21" t="n"/>
      <c r="D308" s="25">
        <f>IF(C308="","",IFERROR(VLOOKUP(C308,Revendeurs!$A:$B,2,FALSE),"Code inconnu"))</f>
        <v/>
      </c>
      <c r="E308" s="21" t="n"/>
      <c r="F308" s="21" t="n"/>
      <c r="G308" s="22" t="n"/>
      <c r="H308" s="23">
        <f>IF(OR(F308="",G308=""),"",F308*G308)</f>
        <v/>
      </c>
      <c r="I308" s="26" t="n"/>
      <c r="J308" s="26" t="n"/>
      <c r="K308" s="25">
        <f>IF(B308="","",IF(J308&lt;&gt;"","Livrée",IF(I308="","À planifier",IF(Paramètres!$B$4&gt;I308+Paramètres!$B$8,"En retard","En cours"))))</f>
        <v/>
      </c>
      <c r="L308" s="25">
        <f>IF(K308="En retard",Paramètres!$B$4-I308,"")</f>
        <v/>
      </c>
      <c r="M308" s="27">
        <f>IF(OR(B308="",J308=""),"",J308+IFERROR(IF(VLOOKUP(C308,Revendeurs!$A:$G,7,FALSE)="",Paramètres!$B$9,VLOOKUP(C308,Revendeurs!$A:$G,7,FALSE)),Paramètres!$B$9))</f>
        <v/>
      </c>
      <c r="N308" s="22" t="n"/>
      <c r="O308" s="23">
        <f>IF(H308="","",H308-N308)</f>
        <v/>
      </c>
      <c r="P308" s="25">
        <f>IF(OR(M308="",O308=""),"",IF(O308&lt;=0,0,MAX(0,Paramètres!$B$4-M308)))</f>
        <v/>
      </c>
      <c r="Q308" s="25">
        <f>IF(H308="","",IF(O308&lt;=0,"Payée",IF(M308="","Pas encore livrée",IF(P308=0,"Non échue",IF(P308&gt;=Paramètres!$B$7,"Relance 3 : appel direction",IF(P308&gt;=Paramètres!$B$6,"Relance 2",IF(P308&gt;=Paramètres!$B$5,"Relance 1","Échue, relance à venir")))))))</f>
        <v/>
      </c>
      <c r="R308" s="25">
        <f>IF(B308="","",IF(U308=Paramètres!$B$4,"Relancé aujourd'hui",TRIM(IF(LEFT(Q308,7)="Relance",Q308&amp;" ","")&amp;IF(K308="En retard","· Prévenir du retard de livraison",""))))</f>
        <v/>
      </c>
      <c r="S308" s="28">
        <f>IF(B308="","",IF(LEFT(Q308,9)="Relance 3","Bonjour "&amp;D308&amp;", nous revenons vers vous au sujet de la commande "&amp;A308&amp;" du "&amp;TEXT(B308,"dd/mm/yyyy")&amp;" : "&amp;SUBSTITUTE(TEXT(O308,"#,##0"),","," ")&amp;" FCFA restent à régler depuis le "&amp;TEXT(M308,"dd/mm/yyyy")&amp;". Notre responsable souhaite vous appeler pour convenir ensemble d'une solution. Quel moment vous arrange cette semaine ? "&amp;Paramètres!$B$11&amp;", "&amp;Paramètres!$B$12,IF(LEFT(Q308,7)="Relance","Bonjour "&amp;D308&amp;", sauf erreur de notre part, la commande "&amp;A308&amp;" du "&amp;TEXT(B308,"dd/mm/yyyy")&amp;" ("&amp;E308&amp;") présente un reste à payer de "&amp;SUBSTITUTE(TEXT(O308,"#,##0"),","," ")&amp;" FCFA, échu depuis le "&amp;TEXT(M308,"dd/mm/yyyy")&amp;". Pouvez-vous nous indiquer la date de règlement prévue ? Si le paiement est déjà parti, merci de nous envoyer la preuve et ne tenez pas compte de ce message. "&amp;Paramètres!$B$11&amp;", "&amp;Paramètres!$B$12,IF(K308="En retard","Bonjour "&amp;D308&amp;", votre commande "&amp;A308&amp;" ("&amp;E308&amp;", "&amp;F308&amp;" pièces) prévue le "&amp;TEXT(I308,"dd/mm/yyyy")&amp;" a pris du retard. Nous vous confirmons la nouvelle date de livraison dans la journée. Toutes nos excuses pour ce contretemps. "&amp;Paramètres!$B$11&amp;", "&amp;Paramètres!$B$12,""))))</f>
        <v/>
      </c>
      <c r="T308" s="21" t="n"/>
      <c r="U308" s="26" t="n"/>
      <c r="V308" s="21" t="n"/>
    </row>
    <row r="309">
      <c r="A309" s="21" t="n"/>
      <c r="B309" s="26" t="n"/>
      <c r="C309" s="21" t="n"/>
      <c r="D309" s="25">
        <f>IF(C309="","",IFERROR(VLOOKUP(C309,Revendeurs!$A:$B,2,FALSE),"Code inconnu"))</f>
        <v/>
      </c>
      <c r="E309" s="21" t="n"/>
      <c r="F309" s="21" t="n"/>
      <c r="G309" s="22" t="n"/>
      <c r="H309" s="23">
        <f>IF(OR(F309="",G309=""),"",F309*G309)</f>
        <v/>
      </c>
      <c r="I309" s="26" t="n"/>
      <c r="J309" s="26" t="n"/>
      <c r="K309" s="25">
        <f>IF(B309="","",IF(J309&lt;&gt;"","Livrée",IF(I309="","À planifier",IF(Paramètres!$B$4&gt;I309+Paramètres!$B$8,"En retard","En cours"))))</f>
        <v/>
      </c>
      <c r="L309" s="25">
        <f>IF(K309="En retard",Paramètres!$B$4-I309,"")</f>
        <v/>
      </c>
      <c r="M309" s="27">
        <f>IF(OR(B309="",J309=""),"",J309+IFERROR(IF(VLOOKUP(C309,Revendeurs!$A:$G,7,FALSE)="",Paramètres!$B$9,VLOOKUP(C309,Revendeurs!$A:$G,7,FALSE)),Paramètres!$B$9))</f>
        <v/>
      </c>
      <c r="N309" s="22" t="n"/>
      <c r="O309" s="23">
        <f>IF(H309="","",H309-N309)</f>
        <v/>
      </c>
      <c r="P309" s="25">
        <f>IF(OR(M309="",O309=""),"",IF(O309&lt;=0,0,MAX(0,Paramètres!$B$4-M309)))</f>
        <v/>
      </c>
      <c r="Q309" s="25">
        <f>IF(H309="","",IF(O309&lt;=0,"Payée",IF(M309="","Pas encore livrée",IF(P309=0,"Non échue",IF(P309&gt;=Paramètres!$B$7,"Relance 3 : appel direction",IF(P309&gt;=Paramètres!$B$6,"Relance 2",IF(P309&gt;=Paramètres!$B$5,"Relance 1","Échue, relance à venir")))))))</f>
        <v/>
      </c>
      <c r="R309" s="25">
        <f>IF(B309="","",IF(U309=Paramètres!$B$4,"Relancé aujourd'hui",TRIM(IF(LEFT(Q309,7)="Relance",Q309&amp;" ","")&amp;IF(K309="En retard","· Prévenir du retard de livraison",""))))</f>
        <v/>
      </c>
      <c r="S309" s="28">
        <f>IF(B309="","",IF(LEFT(Q309,9)="Relance 3","Bonjour "&amp;D309&amp;", nous revenons vers vous au sujet de la commande "&amp;A309&amp;" du "&amp;TEXT(B309,"dd/mm/yyyy")&amp;" : "&amp;SUBSTITUTE(TEXT(O309,"#,##0"),","," ")&amp;" FCFA restent à régler depuis le "&amp;TEXT(M309,"dd/mm/yyyy")&amp;". Notre responsable souhaite vous appeler pour convenir ensemble d'une solution. Quel moment vous arrange cette semaine ? "&amp;Paramètres!$B$11&amp;", "&amp;Paramètres!$B$12,IF(LEFT(Q309,7)="Relance","Bonjour "&amp;D309&amp;", sauf erreur de notre part, la commande "&amp;A309&amp;" du "&amp;TEXT(B309,"dd/mm/yyyy")&amp;" ("&amp;E309&amp;") présente un reste à payer de "&amp;SUBSTITUTE(TEXT(O309,"#,##0"),","," ")&amp;" FCFA, échu depuis le "&amp;TEXT(M309,"dd/mm/yyyy")&amp;". Pouvez-vous nous indiquer la date de règlement prévue ? Si le paiement est déjà parti, merci de nous envoyer la preuve et ne tenez pas compte de ce message. "&amp;Paramètres!$B$11&amp;", "&amp;Paramètres!$B$12,IF(K309="En retard","Bonjour "&amp;D309&amp;", votre commande "&amp;A309&amp;" ("&amp;E309&amp;", "&amp;F309&amp;" pièces) prévue le "&amp;TEXT(I309,"dd/mm/yyyy")&amp;" a pris du retard. Nous vous confirmons la nouvelle date de livraison dans la journée. Toutes nos excuses pour ce contretemps. "&amp;Paramètres!$B$11&amp;", "&amp;Paramètres!$B$12,""))))</f>
        <v/>
      </c>
      <c r="T309" s="21" t="n"/>
      <c r="U309" s="26" t="n"/>
      <c r="V309" s="21" t="n"/>
    </row>
    <row r="310">
      <c r="A310" s="21" t="n"/>
      <c r="B310" s="26" t="n"/>
      <c r="C310" s="21" t="n"/>
      <c r="D310" s="25">
        <f>IF(C310="","",IFERROR(VLOOKUP(C310,Revendeurs!$A:$B,2,FALSE),"Code inconnu"))</f>
        <v/>
      </c>
      <c r="E310" s="21" t="n"/>
      <c r="F310" s="21" t="n"/>
      <c r="G310" s="22" t="n"/>
      <c r="H310" s="23">
        <f>IF(OR(F310="",G310=""),"",F310*G310)</f>
        <v/>
      </c>
      <c r="I310" s="26" t="n"/>
      <c r="J310" s="26" t="n"/>
      <c r="K310" s="25">
        <f>IF(B310="","",IF(J310&lt;&gt;"","Livrée",IF(I310="","À planifier",IF(Paramètres!$B$4&gt;I310+Paramètres!$B$8,"En retard","En cours"))))</f>
        <v/>
      </c>
      <c r="L310" s="25">
        <f>IF(K310="En retard",Paramètres!$B$4-I310,"")</f>
        <v/>
      </c>
      <c r="M310" s="27">
        <f>IF(OR(B310="",J310=""),"",J310+IFERROR(IF(VLOOKUP(C310,Revendeurs!$A:$G,7,FALSE)="",Paramètres!$B$9,VLOOKUP(C310,Revendeurs!$A:$G,7,FALSE)),Paramètres!$B$9))</f>
        <v/>
      </c>
      <c r="N310" s="22" t="n"/>
      <c r="O310" s="23">
        <f>IF(H310="","",H310-N310)</f>
        <v/>
      </c>
      <c r="P310" s="25">
        <f>IF(OR(M310="",O310=""),"",IF(O310&lt;=0,0,MAX(0,Paramètres!$B$4-M310)))</f>
        <v/>
      </c>
      <c r="Q310" s="25">
        <f>IF(H310="","",IF(O310&lt;=0,"Payée",IF(M310="","Pas encore livrée",IF(P310=0,"Non échue",IF(P310&gt;=Paramètres!$B$7,"Relance 3 : appel direction",IF(P310&gt;=Paramètres!$B$6,"Relance 2",IF(P310&gt;=Paramètres!$B$5,"Relance 1","Échue, relance à venir")))))))</f>
        <v/>
      </c>
      <c r="R310" s="25">
        <f>IF(B310="","",IF(U310=Paramètres!$B$4,"Relancé aujourd'hui",TRIM(IF(LEFT(Q310,7)="Relance",Q310&amp;" ","")&amp;IF(K310="En retard","· Prévenir du retard de livraison",""))))</f>
        <v/>
      </c>
      <c r="S310" s="28">
        <f>IF(B310="","",IF(LEFT(Q310,9)="Relance 3","Bonjour "&amp;D310&amp;", nous revenons vers vous au sujet de la commande "&amp;A310&amp;" du "&amp;TEXT(B310,"dd/mm/yyyy")&amp;" : "&amp;SUBSTITUTE(TEXT(O310,"#,##0"),","," ")&amp;" FCFA restent à régler depuis le "&amp;TEXT(M310,"dd/mm/yyyy")&amp;". Notre responsable souhaite vous appeler pour convenir ensemble d'une solution. Quel moment vous arrange cette semaine ? "&amp;Paramètres!$B$11&amp;", "&amp;Paramètres!$B$12,IF(LEFT(Q310,7)="Relance","Bonjour "&amp;D310&amp;", sauf erreur de notre part, la commande "&amp;A310&amp;" du "&amp;TEXT(B310,"dd/mm/yyyy")&amp;" ("&amp;E310&amp;") présente un reste à payer de "&amp;SUBSTITUTE(TEXT(O310,"#,##0"),","," ")&amp;" FCFA, échu depuis le "&amp;TEXT(M310,"dd/mm/yyyy")&amp;". Pouvez-vous nous indiquer la date de règlement prévue ? Si le paiement est déjà parti, merci de nous envoyer la preuve et ne tenez pas compte de ce message. "&amp;Paramètres!$B$11&amp;", "&amp;Paramètres!$B$12,IF(K310="En retard","Bonjour "&amp;D310&amp;", votre commande "&amp;A310&amp;" ("&amp;E310&amp;", "&amp;F310&amp;" pièces) prévue le "&amp;TEXT(I310,"dd/mm/yyyy")&amp;" a pris du retard. Nous vous confirmons la nouvelle date de livraison dans la journée. Toutes nos excuses pour ce contretemps. "&amp;Paramètres!$B$11&amp;", "&amp;Paramètres!$B$12,""))))</f>
        <v/>
      </c>
      <c r="T310" s="21" t="n"/>
      <c r="U310" s="26" t="n"/>
      <c r="V310" s="21" t="n"/>
    </row>
    <row r="311">
      <c r="A311" s="21" t="n"/>
      <c r="B311" s="26" t="n"/>
      <c r="C311" s="21" t="n"/>
      <c r="D311" s="25">
        <f>IF(C311="","",IFERROR(VLOOKUP(C311,Revendeurs!$A:$B,2,FALSE),"Code inconnu"))</f>
        <v/>
      </c>
      <c r="E311" s="21" t="n"/>
      <c r="F311" s="21" t="n"/>
      <c r="G311" s="22" t="n"/>
      <c r="H311" s="23">
        <f>IF(OR(F311="",G311=""),"",F311*G311)</f>
        <v/>
      </c>
      <c r="I311" s="26" t="n"/>
      <c r="J311" s="26" t="n"/>
      <c r="K311" s="25">
        <f>IF(B311="","",IF(J311&lt;&gt;"","Livrée",IF(I311="","À planifier",IF(Paramètres!$B$4&gt;I311+Paramètres!$B$8,"En retard","En cours"))))</f>
        <v/>
      </c>
      <c r="L311" s="25">
        <f>IF(K311="En retard",Paramètres!$B$4-I311,"")</f>
        <v/>
      </c>
      <c r="M311" s="27">
        <f>IF(OR(B311="",J311=""),"",J311+IFERROR(IF(VLOOKUP(C311,Revendeurs!$A:$G,7,FALSE)="",Paramètres!$B$9,VLOOKUP(C311,Revendeurs!$A:$G,7,FALSE)),Paramètres!$B$9))</f>
        <v/>
      </c>
      <c r="N311" s="22" t="n"/>
      <c r="O311" s="23">
        <f>IF(H311="","",H311-N311)</f>
        <v/>
      </c>
      <c r="P311" s="25">
        <f>IF(OR(M311="",O311=""),"",IF(O311&lt;=0,0,MAX(0,Paramètres!$B$4-M311)))</f>
        <v/>
      </c>
      <c r="Q311" s="25">
        <f>IF(H311="","",IF(O311&lt;=0,"Payée",IF(M311="","Pas encore livrée",IF(P311=0,"Non échue",IF(P311&gt;=Paramètres!$B$7,"Relance 3 : appel direction",IF(P311&gt;=Paramètres!$B$6,"Relance 2",IF(P311&gt;=Paramètres!$B$5,"Relance 1","Échue, relance à venir")))))))</f>
        <v/>
      </c>
      <c r="R311" s="25">
        <f>IF(B311="","",IF(U311=Paramètres!$B$4,"Relancé aujourd'hui",TRIM(IF(LEFT(Q311,7)="Relance",Q311&amp;" ","")&amp;IF(K311="En retard","· Prévenir du retard de livraison",""))))</f>
        <v/>
      </c>
      <c r="S311" s="28">
        <f>IF(B311="","",IF(LEFT(Q311,9)="Relance 3","Bonjour "&amp;D311&amp;", nous revenons vers vous au sujet de la commande "&amp;A311&amp;" du "&amp;TEXT(B311,"dd/mm/yyyy")&amp;" : "&amp;SUBSTITUTE(TEXT(O311,"#,##0"),","," ")&amp;" FCFA restent à régler depuis le "&amp;TEXT(M311,"dd/mm/yyyy")&amp;". Notre responsable souhaite vous appeler pour convenir ensemble d'une solution. Quel moment vous arrange cette semaine ? "&amp;Paramètres!$B$11&amp;", "&amp;Paramètres!$B$12,IF(LEFT(Q311,7)="Relance","Bonjour "&amp;D311&amp;", sauf erreur de notre part, la commande "&amp;A311&amp;" du "&amp;TEXT(B311,"dd/mm/yyyy")&amp;" ("&amp;E311&amp;") présente un reste à payer de "&amp;SUBSTITUTE(TEXT(O311,"#,##0"),","," ")&amp;" FCFA, échu depuis le "&amp;TEXT(M311,"dd/mm/yyyy")&amp;". Pouvez-vous nous indiquer la date de règlement prévue ? Si le paiement est déjà parti, merci de nous envoyer la preuve et ne tenez pas compte de ce message. "&amp;Paramètres!$B$11&amp;", "&amp;Paramètres!$B$12,IF(K311="En retard","Bonjour "&amp;D311&amp;", votre commande "&amp;A311&amp;" ("&amp;E311&amp;", "&amp;F311&amp;" pièces) prévue le "&amp;TEXT(I311,"dd/mm/yyyy")&amp;" a pris du retard. Nous vous confirmons la nouvelle date de livraison dans la journée. Toutes nos excuses pour ce contretemps. "&amp;Paramètres!$B$11&amp;", "&amp;Paramètres!$B$12,""))))</f>
        <v/>
      </c>
      <c r="T311" s="21" t="n"/>
      <c r="U311" s="26" t="n"/>
      <c r="V311" s="21" t="n"/>
    </row>
    <row r="312">
      <c r="A312" s="21" t="n"/>
      <c r="B312" s="26" t="n"/>
      <c r="C312" s="21" t="n"/>
      <c r="D312" s="25">
        <f>IF(C312="","",IFERROR(VLOOKUP(C312,Revendeurs!$A:$B,2,FALSE),"Code inconnu"))</f>
        <v/>
      </c>
      <c r="E312" s="21" t="n"/>
      <c r="F312" s="21" t="n"/>
      <c r="G312" s="22" t="n"/>
      <c r="H312" s="23">
        <f>IF(OR(F312="",G312=""),"",F312*G312)</f>
        <v/>
      </c>
      <c r="I312" s="26" t="n"/>
      <c r="J312" s="26" t="n"/>
      <c r="K312" s="25">
        <f>IF(B312="","",IF(J312&lt;&gt;"","Livrée",IF(I312="","À planifier",IF(Paramètres!$B$4&gt;I312+Paramètres!$B$8,"En retard","En cours"))))</f>
        <v/>
      </c>
      <c r="L312" s="25">
        <f>IF(K312="En retard",Paramètres!$B$4-I312,"")</f>
        <v/>
      </c>
      <c r="M312" s="27">
        <f>IF(OR(B312="",J312=""),"",J312+IFERROR(IF(VLOOKUP(C312,Revendeurs!$A:$G,7,FALSE)="",Paramètres!$B$9,VLOOKUP(C312,Revendeurs!$A:$G,7,FALSE)),Paramètres!$B$9))</f>
        <v/>
      </c>
      <c r="N312" s="22" t="n"/>
      <c r="O312" s="23">
        <f>IF(H312="","",H312-N312)</f>
        <v/>
      </c>
      <c r="P312" s="25">
        <f>IF(OR(M312="",O312=""),"",IF(O312&lt;=0,0,MAX(0,Paramètres!$B$4-M312)))</f>
        <v/>
      </c>
      <c r="Q312" s="25">
        <f>IF(H312="","",IF(O312&lt;=0,"Payée",IF(M312="","Pas encore livrée",IF(P312=0,"Non échue",IF(P312&gt;=Paramètres!$B$7,"Relance 3 : appel direction",IF(P312&gt;=Paramètres!$B$6,"Relance 2",IF(P312&gt;=Paramètres!$B$5,"Relance 1","Échue, relance à venir")))))))</f>
        <v/>
      </c>
      <c r="R312" s="25">
        <f>IF(B312="","",IF(U312=Paramètres!$B$4,"Relancé aujourd'hui",TRIM(IF(LEFT(Q312,7)="Relance",Q312&amp;" ","")&amp;IF(K312="En retard","· Prévenir du retard de livraison",""))))</f>
        <v/>
      </c>
      <c r="S312" s="28">
        <f>IF(B312="","",IF(LEFT(Q312,9)="Relance 3","Bonjour "&amp;D312&amp;", nous revenons vers vous au sujet de la commande "&amp;A312&amp;" du "&amp;TEXT(B312,"dd/mm/yyyy")&amp;" : "&amp;SUBSTITUTE(TEXT(O312,"#,##0"),","," ")&amp;" FCFA restent à régler depuis le "&amp;TEXT(M312,"dd/mm/yyyy")&amp;". Notre responsable souhaite vous appeler pour convenir ensemble d'une solution. Quel moment vous arrange cette semaine ? "&amp;Paramètres!$B$11&amp;", "&amp;Paramètres!$B$12,IF(LEFT(Q312,7)="Relance","Bonjour "&amp;D312&amp;", sauf erreur de notre part, la commande "&amp;A312&amp;" du "&amp;TEXT(B312,"dd/mm/yyyy")&amp;" ("&amp;E312&amp;") présente un reste à payer de "&amp;SUBSTITUTE(TEXT(O312,"#,##0"),","," ")&amp;" FCFA, échu depuis le "&amp;TEXT(M312,"dd/mm/yyyy")&amp;". Pouvez-vous nous indiquer la date de règlement prévue ? Si le paiement est déjà parti, merci de nous envoyer la preuve et ne tenez pas compte de ce message. "&amp;Paramètres!$B$11&amp;", "&amp;Paramètres!$B$12,IF(K312="En retard","Bonjour "&amp;D312&amp;", votre commande "&amp;A312&amp;" ("&amp;E312&amp;", "&amp;F312&amp;" pièces) prévue le "&amp;TEXT(I312,"dd/mm/yyyy")&amp;" a pris du retard. Nous vous confirmons la nouvelle date de livraison dans la journée. Toutes nos excuses pour ce contretemps. "&amp;Paramètres!$B$11&amp;", "&amp;Paramètres!$B$12,""))))</f>
        <v/>
      </c>
      <c r="T312" s="21" t="n"/>
      <c r="U312" s="26" t="n"/>
      <c r="V312" s="21" t="n"/>
    </row>
    <row r="313">
      <c r="A313" s="21" t="n"/>
      <c r="B313" s="26" t="n"/>
      <c r="C313" s="21" t="n"/>
      <c r="D313" s="25">
        <f>IF(C313="","",IFERROR(VLOOKUP(C313,Revendeurs!$A:$B,2,FALSE),"Code inconnu"))</f>
        <v/>
      </c>
      <c r="E313" s="21" t="n"/>
      <c r="F313" s="21" t="n"/>
      <c r="G313" s="22" t="n"/>
      <c r="H313" s="23">
        <f>IF(OR(F313="",G313=""),"",F313*G313)</f>
        <v/>
      </c>
      <c r="I313" s="26" t="n"/>
      <c r="J313" s="26" t="n"/>
      <c r="K313" s="25">
        <f>IF(B313="","",IF(J313&lt;&gt;"","Livrée",IF(I313="","À planifier",IF(Paramètres!$B$4&gt;I313+Paramètres!$B$8,"En retard","En cours"))))</f>
        <v/>
      </c>
      <c r="L313" s="25">
        <f>IF(K313="En retard",Paramètres!$B$4-I313,"")</f>
        <v/>
      </c>
      <c r="M313" s="27">
        <f>IF(OR(B313="",J313=""),"",J313+IFERROR(IF(VLOOKUP(C313,Revendeurs!$A:$G,7,FALSE)="",Paramètres!$B$9,VLOOKUP(C313,Revendeurs!$A:$G,7,FALSE)),Paramètres!$B$9))</f>
        <v/>
      </c>
      <c r="N313" s="22" t="n"/>
      <c r="O313" s="23">
        <f>IF(H313="","",H313-N313)</f>
        <v/>
      </c>
      <c r="P313" s="25">
        <f>IF(OR(M313="",O313=""),"",IF(O313&lt;=0,0,MAX(0,Paramètres!$B$4-M313)))</f>
        <v/>
      </c>
      <c r="Q313" s="25">
        <f>IF(H313="","",IF(O313&lt;=0,"Payée",IF(M313="","Pas encore livrée",IF(P313=0,"Non échue",IF(P313&gt;=Paramètres!$B$7,"Relance 3 : appel direction",IF(P313&gt;=Paramètres!$B$6,"Relance 2",IF(P313&gt;=Paramètres!$B$5,"Relance 1","Échue, relance à venir")))))))</f>
        <v/>
      </c>
      <c r="R313" s="25">
        <f>IF(B313="","",IF(U313=Paramètres!$B$4,"Relancé aujourd'hui",TRIM(IF(LEFT(Q313,7)="Relance",Q313&amp;" ","")&amp;IF(K313="En retard","· Prévenir du retard de livraison",""))))</f>
        <v/>
      </c>
      <c r="S313" s="28">
        <f>IF(B313="","",IF(LEFT(Q313,9)="Relance 3","Bonjour "&amp;D313&amp;", nous revenons vers vous au sujet de la commande "&amp;A313&amp;" du "&amp;TEXT(B313,"dd/mm/yyyy")&amp;" : "&amp;SUBSTITUTE(TEXT(O313,"#,##0"),","," ")&amp;" FCFA restent à régler depuis le "&amp;TEXT(M313,"dd/mm/yyyy")&amp;". Notre responsable souhaite vous appeler pour convenir ensemble d'une solution. Quel moment vous arrange cette semaine ? "&amp;Paramètres!$B$11&amp;", "&amp;Paramètres!$B$12,IF(LEFT(Q313,7)="Relance","Bonjour "&amp;D313&amp;", sauf erreur de notre part, la commande "&amp;A313&amp;" du "&amp;TEXT(B313,"dd/mm/yyyy")&amp;" ("&amp;E313&amp;") présente un reste à payer de "&amp;SUBSTITUTE(TEXT(O313,"#,##0"),","," ")&amp;" FCFA, échu depuis le "&amp;TEXT(M313,"dd/mm/yyyy")&amp;". Pouvez-vous nous indiquer la date de règlement prévue ? Si le paiement est déjà parti, merci de nous envoyer la preuve et ne tenez pas compte de ce message. "&amp;Paramètres!$B$11&amp;", "&amp;Paramètres!$B$12,IF(K313="En retard","Bonjour "&amp;D313&amp;", votre commande "&amp;A313&amp;" ("&amp;E313&amp;", "&amp;F313&amp;" pièces) prévue le "&amp;TEXT(I313,"dd/mm/yyyy")&amp;" a pris du retard. Nous vous confirmons la nouvelle date de livraison dans la journée. Toutes nos excuses pour ce contretemps. "&amp;Paramètres!$B$11&amp;", "&amp;Paramètres!$B$12,""))))</f>
        <v/>
      </c>
      <c r="T313" s="21" t="n"/>
      <c r="U313" s="26" t="n"/>
      <c r="V313" s="21" t="n"/>
    </row>
    <row r="314">
      <c r="A314" s="21" t="n"/>
      <c r="B314" s="26" t="n"/>
      <c r="C314" s="21" t="n"/>
      <c r="D314" s="25">
        <f>IF(C314="","",IFERROR(VLOOKUP(C314,Revendeurs!$A:$B,2,FALSE),"Code inconnu"))</f>
        <v/>
      </c>
      <c r="E314" s="21" t="n"/>
      <c r="F314" s="21" t="n"/>
      <c r="G314" s="22" t="n"/>
      <c r="H314" s="23">
        <f>IF(OR(F314="",G314=""),"",F314*G314)</f>
        <v/>
      </c>
      <c r="I314" s="26" t="n"/>
      <c r="J314" s="26" t="n"/>
      <c r="K314" s="25">
        <f>IF(B314="","",IF(J314&lt;&gt;"","Livrée",IF(I314="","À planifier",IF(Paramètres!$B$4&gt;I314+Paramètres!$B$8,"En retard","En cours"))))</f>
        <v/>
      </c>
      <c r="L314" s="25">
        <f>IF(K314="En retard",Paramètres!$B$4-I314,"")</f>
        <v/>
      </c>
      <c r="M314" s="27">
        <f>IF(OR(B314="",J314=""),"",J314+IFERROR(IF(VLOOKUP(C314,Revendeurs!$A:$G,7,FALSE)="",Paramètres!$B$9,VLOOKUP(C314,Revendeurs!$A:$G,7,FALSE)),Paramètres!$B$9))</f>
        <v/>
      </c>
      <c r="N314" s="22" t="n"/>
      <c r="O314" s="23">
        <f>IF(H314="","",H314-N314)</f>
        <v/>
      </c>
      <c r="P314" s="25">
        <f>IF(OR(M314="",O314=""),"",IF(O314&lt;=0,0,MAX(0,Paramètres!$B$4-M314)))</f>
        <v/>
      </c>
      <c r="Q314" s="25">
        <f>IF(H314="","",IF(O314&lt;=0,"Payée",IF(M314="","Pas encore livrée",IF(P314=0,"Non échue",IF(P314&gt;=Paramètres!$B$7,"Relance 3 : appel direction",IF(P314&gt;=Paramètres!$B$6,"Relance 2",IF(P314&gt;=Paramètres!$B$5,"Relance 1","Échue, relance à venir")))))))</f>
        <v/>
      </c>
      <c r="R314" s="25">
        <f>IF(B314="","",IF(U314=Paramètres!$B$4,"Relancé aujourd'hui",TRIM(IF(LEFT(Q314,7)="Relance",Q314&amp;" ","")&amp;IF(K314="En retard","· Prévenir du retard de livraison",""))))</f>
        <v/>
      </c>
      <c r="S314" s="28">
        <f>IF(B314="","",IF(LEFT(Q314,9)="Relance 3","Bonjour "&amp;D314&amp;", nous revenons vers vous au sujet de la commande "&amp;A314&amp;" du "&amp;TEXT(B314,"dd/mm/yyyy")&amp;" : "&amp;SUBSTITUTE(TEXT(O314,"#,##0"),","," ")&amp;" FCFA restent à régler depuis le "&amp;TEXT(M314,"dd/mm/yyyy")&amp;". Notre responsable souhaite vous appeler pour convenir ensemble d'une solution. Quel moment vous arrange cette semaine ? "&amp;Paramètres!$B$11&amp;", "&amp;Paramètres!$B$12,IF(LEFT(Q314,7)="Relance","Bonjour "&amp;D314&amp;", sauf erreur de notre part, la commande "&amp;A314&amp;" du "&amp;TEXT(B314,"dd/mm/yyyy")&amp;" ("&amp;E314&amp;") présente un reste à payer de "&amp;SUBSTITUTE(TEXT(O314,"#,##0"),","," ")&amp;" FCFA, échu depuis le "&amp;TEXT(M314,"dd/mm/yyyy")&amp;". Pouvez-vous nous indiquer la date de règlement prévue ? Si le paiement est déjà parti, merci de nous envoyer la preuve et ne tenez pas compte de ce message. "&amp;Paramètres!$B$11&amp;", "&amp;Paramètres!$B$12,IF(K314="En retard","Bonjour "&amp;D314&amp;", votre commande "&amp;A314&amp;" ("&amp;E314&amp;", "&amp;F314&amp;" pièces) prévue le "&amp;TEXT(I314,"dd/mm/yyyy")&amp;" a pris du retard. Nous vous confirmons la nouvelle date de livraison dans la journée. Toutes nos excuses pour ce contretemps. "&amp;Paramètres!$B$11&amp;", "&amp;Paramètres!$B$12,""))))</f>
        <v/>
      </c>
      <c r="T314" s="21" t="n"/>
      <c r="U314" s="26" t="n"/>
      <c r="V314" s="21" t="n"/>
    </row>
    <row r="315">
      <c r="A315" s="21" t="n"/>
      <c r="B315" s="26" t="n"/>
      <c r="C315" s="21" t="n"/>
      <c r="D315" s="25">
        <f>IF(C315="","",IFERROR(VLOOKUP(C315,Revendeurs!$A:$B,2,FALSE),"Code inconnu"))</f>
        <v/>
      </c>
      <c r="E315" s="21" t="n"/>
      <c r="F315" s="21" t="n"/>
      <c r="G315" s="22" t="n"/>
      <c r="H315" s="23">
        <f>IF(OR(F315="",G315=""),"",F315*G315)</f>
        <v/>
      </c>
      <c r="I315" s="26" t="n"/>
      <c r="J315" s="26" t="n"/>
      <c r="K315" s="25">
        <f>IF(B315="","",IF(J315&lt;&gt;"","Livrée",IF(I315="","À planifier",IF(Paramètres!$B$4&gt;I315+Paramètres!$B$8,"En retard","En cours"))))</f>
        <v/>
      </c>
      <c r="L315" s="25">
        <f>IF(K315="En retard",Paramètres!$B$4-I315,"")</f>
        <v/>
      </c>
      <c r="M315" s="27">
        <f>IF(OR(B315="",J315=""),"",J315+IFERROR(IF(VLOOKUP(C315,Revendeurs!$A:$G,7,FALSE)="",Paramètres!$B$9,VLOOKUP(C315,Revendeurs!$A:$G,7,FALSE)),Paramètres!$B$9))</f>
        <v/>
      </c>
      <c r="N315" s="22" t="n"/>
      <c r="O315" s="23">
        <f>IF(H315="","",H315-N315)</f>
        <v/>
      </c>
      <c r="P315" s="25">
        <f>IF(OR(M315="",O315=""),"",IF(O315&lt;=0,0,MAX(0,Paramètres!$B$4-M315)))</f>
        <v/>
      </c>
      <c r="Q315" s="25">
        <f>IF(H315="","",IF(O315&lt;=0,"Payée",IF(M315="","Pas encore livrée",IF(P315=0,"Non échue",IF(P315&gt;=Paramètres!$B$7,"Relance 3 : appel direction",IF(P315&gt;=Paramètres!$B$6,"Relance 2",IF(P315&gt;=Paramètres!$B$5,"Relance 1","Échue, relance à venir")))))))</f>
        <v/>
      </c>
      <c r="R315" s="25">
        <f>IF(B315="","",IF(U315=Paramètres!$B$4,"Relancé aujourd'hui",TRIM(IF(LEFT(Q315,7)="Relance",Q315&amp;" ","")&amp;IF(K315="En retard","· Prévenir du retard de livraison",""))))</f>
        <v/>
      </c>
      <c r="S315" s="28">
        <f>IF(B315="","",IF(LEFT(Q315,9)="Relance 3","Bonjour "&amp;D315&amp;", nous revenons vers vous au sujet de la commande "&amp;A315&amp;" du "&amp;TEXT(B315,"dd/mm/yyyy")&amp;" : "&amp;SUBSTITUTE(TEXT(O315,"#,##0"),","," ")&amp;" FCFA restent à régler depuis le "&amp;TEXT(M315,"dd/mm/yyyy")&amp;". Notre responsable souhaite vous appeler pour convenir ensemble d'une solution. Quel moment vous arrange cette semaine ? "&amp;Paramètres!$B$11&amp;", "&amp;Paramètres!$B$12,IF(LEFT(Q315,7)="Relance","Bonjour "&amp;D315&amp;", sauf erreur de notre part, la commande "&amp;A315&amp;" du "&amp;TEXT(B315,"dd/mm/yyyy")&amp;" ("&amp;E315&amp;") présente un reste à payer de "&amp;SUBSTITUTE(TEXT(O315,"#,##0"),","," ")&amp;" FCFA, échu depuis le "&amp;TEXT(M315,"dd/mm/yyyy")&amp;". Pouvez-vous nous indiquer la date de règlement prévue ? Si le paiement est déjà parti, merci de nous envoyer la preuve et ne tenez pas compte de ce message. "&amp;Paramètres!$B$11&amp;", "&amp;Paramètres!$B$12,IF(K315="En retard","Bonjour "&amp;D315&amp;", votre commande "&amp;A315&amp;" ("&amp;E315&amp;", "&amp;F315&amp;" pièces) prévue le "&amp;TEXT(I315,"dd/mm/yyyy")&amp;" a pris du retard. Nous vous confirmons la nouvelle date de livraison dans la journée. Toutes nos excuses pour ce contretemps. "&amp;Paramètres!$B$11&amp;", "&amp;Paramètres!$B$12,""))))</f>
        <v/>
      </c>
      <c r="T315" s="21" t="n"/>
      <c r="U315" s="26" t="n"/>
      <c r="V315" s="21" t="n"/>
    </row>
    <row r="316">
      <c r="A316" s="21" t="n"/>
      <c r="B316" s="26" t="n"/>
      <c r="C316" s="21" t="n"/>
      <c r="D316" s="25">
        <f>IF(C316="","",IFERROR(VLOOKUP(C316,Revendeurs!$A:$B,2,FALSE),"Code inconnu"))</f>
        <v/>
      </c>
      <c r="E316" s="21" t="n"/>
      <c r="F316" s="21" t="n"/>
      <c r="G316" s="22" t="n"/>
      <c r="H316" s="23">
        <f>IF(OR(F316="",G316=""),"",F316*G316)</f>
        <v/>
      </c>
      <c r="I316" s="26" t="n"/>
      <c r="J316" s="26" t="n"/>
      <c r="K316" s="25">
        <f>IF(B316="","",IF(J316&lt;&gt;"","Livrée",IF(I316="","À planifier",IF(Paramètres!$B$4&gt;I316+Paramètres!$B$8,"En retard","En cours"))))</f>
        <v/>
      </c>
      <c r="L316" s="25">
        <f>IF(K316="En retard",Paramètres!$B$4-I316,"")</f>
        <v/>
      </c>
      <c r="M316" s="27">
        <f>IF(OR(B316="",J316=""),"",J316+IFERROR(IF(VLOOKUP(C316,Revendeurs!$A:$G,7,FALSE)="",Paramètres!$B$9,VLOOKUP(C316,Revendeurs!$A:$G,7,FALSE)),Paramètres!$B$9))</f>
        <v/>
      </c>
      <c r="N316" s="22" t="n"/>
      <c r="O316" s="23">
        <f>IF(H316="","",H316-N316)</f>
        <v/>
      </c>
      <c r="P316" s="25">
        <f>IF(OR(M316="",O316=""),"",IF(O316&lt;=0,0,MAX(0,Paramètres!$B$4-M316)))</f>
        <v/>
      </c>
      <c r="Q316" s="25">
        <f>IF(H316="","",IF(O316&lt;=0,"Payée",IF(M316="","Pas encore livrée",IF(P316=0,"Non échue",IF(P316&gt;=Paramètres!$B$7,"Relance 3 : appel direction",IF(P316&gt;=Paramètres!$B$6,"Relance 2",IF(P316&gt;=Paramètres!$B$5,"Relance 1","Échue, relance à venir")))))))</f>
        <v/>
      </c>
      <c r="R316" s="25">
        <f>IF(B316="","",IF(U316=Paramètres!$B$4,"Relancé aujourd'hui",TRIM(IF(LEFT(Q316,7)="Relance",Q316&amp;" ","")&amp;IF(K316="En retard","· Prévenir du retard de livraison",""))))</f>
        <v/>
      </c>
      <c r="S316" s="28">
        <f>IF(B316="","",IF(LEFT(Q316,9)="Relance 3","Bonjour "&amp;D316&amp;", nous revenons vers vous au sujet de la commande "&amp;A316&amp;" du "&amp;TEXT(B316,"dd/mm/yyyy")&amp;" : "&amp;SUBSTITUTE(TEXT(O316,"#,##0"),","," ")&amp;" FCFA restent à régler depuis le "&amp;TEXT(M316,"dd/mm/yyyy")&amp;". Notre responsable souhaite vous appeler pour convenir ensemble d'une solution. Quel moment vous arrange cette semaine ? "&amp;Paramètres!$B$11&amp;", "&amp;Paramètres!$B$12,IF(LEFT(Q316,7)="Relance","Bonjour "&amp;D316&amp;", sauf erreur de notre part, la commande "&amp;A316&amp;" du "&amp;TEXT(B316,"dd/mm/yyyy")&amp;" ("&amp;E316&amp;") présente un reste à payer de "&amp;SUBSTITUTE(TEXT(O316,"#,##0"),","," ")&amp;" FCFA, échu depuis le "&amp;TEXT(M316,"dd/mm/yyyy")&amp;". Pouvez-vous nous indiquer la date de règlement prévue ? Si le paiement est déjà parti, merci de nous envoyer la preuve et ne tenez pas compte de ce message. "&amp;Paramètres!$B$11&amp;", "&amp;Paramètres!$B$12,IF(K316="En retard","Bonjour "&amp;D316&amp;", votre commande "&amp;A316&amp;" ("&amp;E316&amp;", "&amp;F316&amp;" pièces) prévue le "&amp;TEXT(I316,"dd/mm/yyyy")&amp;" a pris du retard. Nous vous confirmons la nouvelle date de livraison dans la journée. Toutes nos excuses pour ce contretemps. "&amp;Paramètres!$B$11&amp;", "&amp;Paramètres!$B$12,""))))</f>
        <v/>
      </c>
      <c r="T316" s="21" t="n"/>
      <c r="U316" s="26" t="n"/>
      <c r="V316" s="21" t="n"/>
    </row>
    <row r="317">
      <c r="A317" s="21" t="n"/>
      <c r="B317" s="26" t="n"/>
      <c r="C317" s="21" t="n"/>
      <c r="D317" s="25">
        <f>IF(C317="","",IFERROR(VLOOKUP(C317,Revendeurs!$A:$B,2,FALSE),"Code inconnu"))</f>
        <v/>
      </c>
      <c r="E317" s="21" t="n"/>
      <c r="F317" s="21" t="n"/>
      <c r="G317" s="22" t="n"/>
      <c r="H317" s="23">
        <f>IF(OR(F317="",G317=""),"",F317*G317)</f>
        <v/>
      </c>
      <c r="I317" s="26" t="n"/>
      <c r="J317" s="26" t="n"/>
      <c r="K317" s="25">
        <f>IF(B317="","",IF(J317&lt;&gt;"","Livrée",IF(I317="","À planifier",IF(Paramètres!$B$4&gt;I317+Paramètres!$B$8,"En retard","En cours"))))</f>
        <v/>
      </c>
      <c r="L317" s="25">
        <f>IF(K317="En retard",Paramètres!$B$4-I317,"")</f>
        <v/>
      </c>
      <c r="M317" s="27">
        <f>IF(OR(B317="",J317=""),"",J317+IFERROR(IF(VLOOKUP(C317,Revendeurs!$A:$G,7,FALSE)="",Paramètres!$B$9,VLOOKUP(C317,Revendeurs!$A:$G,7,FALSE)),Paramètres!$B$9))</f>
        <v/>
      </c>
      <c r="N317" s="22" t="n"/>
      <c r="O317" s="23">
        <f>IF(H317="","",H317-N317)</f>
        <v/>
      </c>
      <c r="P317" s="25">
        <f>IF(OR(M317="",O317=""),"",IF(O317&lt;=0,0,MAX(0,Paramètres!$B$4-M317)))</f>
        <v/>
      </c>
      <c r="Q317" s="25">
        <f>IF(H317="","",IF(O317&lt;=0,"Payée",IF(M317="","Pas encore livrée",IF(P317=0,"Non échue",IF(P317&gt;=Paramètres!$B$7,"Relance 3 : appel direction",IF(P317&gt;=Paramètres!$B$6,"Relance 2",IF(P317&gt;=Paramètres!$B$5,"Relance 1","Échue, relance à venir")))))))</f>
        <v/>
      </c>
      <c r="R317" s="25">
        <f>IF(B317="","",IF(U317=Paramètres!$B$4,"Relancé aujourd'hui",TRIM(IF(LEFT(Q317,7)="Relance",Q317&amp;" ","")&amp;IF(K317="En retard","· Prévenir du retard de livraison",""))))</f>
        <v/>
      </c>
      <c r="S317" s="28">
        <f>IF(B317="","",IF(LEFT(Q317,9)="Relance 3","Bonjour "&amp;D317&amp;", nous revenons vers vous au sujet de la commande "&amp;A317&amp;" du "&amp;TEXT(B317,"dd/mm/yyyy")&amp;" : "&amp;SUBSTITUTE(TEXT(O317,"#,##0"),","," ")&amp;" FCFA restent à régler depuis le "&amp;TEXT(M317,"dd/mm/yyyy")&amp;". Notre responsable souhaite vous appeler pour convenir ensemble d'une solution. Quel moment vous arrange cette semaine ? "&amp;Paramètres!$B$11&amp;", "&amp;Paramètres!$B$12,IF(LEFT(Q317,7)="Relance","Bonjour "&amp;D317&amp;", sauf erreur de notre part, la commande "&amp;A317&amp;" du "&amp;TEXT(B317,"dd/mm/yyyy")&amp;" ("&amp;E317&amp;") présente un reste à payer de "&amp;SUBSTITUTE(TEXT(O317,"#,##0"),","," ")&amp;" FCFA, échu depuis le "&amp;TEXT(M317,"dd/mm/yyyy")&amp;". Pouvez-vous nous indiquer la date de règlement prévue ? Si le paiement est déjà parti, merci de nous envoyer la preuve et ne tenez pas compte de ce message. "&amp;Paramètres!$B$11&amp;", "&amp;Paramètres!$B$12,IF(K317="En retard","Bonjour "&amp;D317&amp;", votre commande "&amp;A317&amp;" ("&amp;E317&amp;", "&amp;F317&amp;" pièces) prévue le "&amp;TEXT(I317,"dd/mm/yyyy")&amp;" a pris du retard. Nous vous confirmons la nouvelle date de livraison dans la journée. Toutes nos excuses pour ce contretemps. "&amp;Paramètres!$B$11&amp;", "&amp;Paramètres!$B$12,""))))</f>
        <v/>
      </c>
      <c r="T317" s="21" t="n"/>
      <c r="U317" s="26" t="n"/>
      <c r="V317" s="21" t="n"/>
    </row>
    <row r="318">
      <c r="A318" s="21" t="n"/>
      <c r="B318" s="26" t="n"/>
      <c r="C318" s="21" t="n"/>
      <c r="D318" s="25">
        <f>IF(C318="","",IFERROR(VLOOKUP(C318,Revendeurs!$A:$B,2,FALSE),"Code inconnu"))</f>
        <v/>
      </c>
      <c r="E318" s="21" t="n"/>
      <c r="F318" s="21" t="n"/>
      <c r="G318" s="22" t="n"/>
      <c r="H318" s="23">
        <f>IF(OR(F318="",G318=""),"",F318*G318)</f>
        <v/>
      </c>
      <c r="I318" s="26" t="n"/>
      <c r="J318" s="26" t="n"/>
      <c r="K318" s="25">
        <f>IF(B318="","",IF(J318&lt;&gt;"","Livrée",IF(I318="","À planifier",IF(Paramètres!$B$4&gt;I318+Paramètres!$B$8,"En retard","En cours"))))</f>
        <v/>
      </c>
      <c r="L318" s="25">
        <f>IF(K318="En retard",Paramètres!$B$4-I318,"")</f>
        <v/>
      </c>
      <c r="M318" s="27">
        <f>IF(OR(B318="",J318=""),"",J318+IFERROR(IF(VLOOKUP(C318,Revendeurs!$A:$G,7,FALSE)="",Paramètres!$B$9,VLOOKUP(C318,Revendeurs!$A:$G,7,FALSE)),Paramètres!$B$9))</f>
        <v/>
      </c>
      <c r="N318" s="22" t="n"/>
      <c r="O318" s="23">
        <f>IF(H318="","",H318-N318)</f>
        <v/>
      </c>
      <c r="P318" s="25">
        <f>IF(OR(M318="",O318=""),"",IF(O318&lt;=0,0,MAX(0,Paramètres!$B$4-M318)))</f>
        <v/>
      </c>
      <c r="Q318" s="25">
        <f>IF(H318="","",IF(O318&lt;=0,"Payée",IF(M318="","Pas encore livrée",IF(P318=0,"Non échue",IF(P318&gt;=Paramètres!$B$7,"Relance 3 : appel direction",IF(P318&gt;=Paramètres!$B$6,"Relance 2",IF(P318&gt;=Paramètres!$B$5,"Relance 1","Échue, relance à venir")))))))</f>
        <v/>
      </c>
      <c r="R318" s="25">
        <f>IF(B318="","",IF(U318=Paramètres!$B$4,"Relancé aujourd'hui",TRIM(IF(LEFT(Q318,7)="Relance",Q318&amp;" ","")&amp;IF(K318="En retard","· Prévenir du retard de livraison",""))))</f>
        <v/>
      </c>
      <c r="S318" s="28">
        <f>IF(B318="","",IF(LEFT(Q318,9)="Relance 3","Bonjour "&amp;D318&amp;", nous revenons vers vous au sujet de la commande "&amp;A318&amp;" du "&amp;TEXT(B318,"dd/mm/yyyy")&amp;" : "&amp;SUBSTITUTE(TEXT(O318,"#,##0"),","," ")&amp;" FCFA restent à régler depuis le "&amp;TEXT(M318,"dd/mm/yyyy")&amp;". Notre responsable souhaite vous appeler pour convenir ensemble d'une solution. Quel moment vous arrange cette semaine ? "&amp;Paramètres!$B$11&amp;", "&amp;Paramètres!$B$12,IF(LEFT(Q318,7)="Relance","Bonjour "&amp;D318&amp;", sauf erreur de notre part, la commande "&amp;A318&amp;" du "&amp;TEXT(B318,"dd/mm/yyyy")&amp;" ("&amp;E318&amp;") présente un reste à payer de "&amp;SUBSTITUTE(TEXT(O318,"#,##0"),","," ")&amp;" FCFA, échu depuis le "&amp;TEXT(M318,"dd/mm/yyyy")&amp;". Pouvez-vous nous indiquer la date de règlement prévue ? Si le paiement est déjà parti, merci de nous envoyer la preuve et ne tenez pas compte de ce message. "&amp;Paramètres!$B$11&amp;", "&amp;Paramètres!$B$12,IF(K318="En retard","Bonjour "&amp;D318&amp;", votre commande "&amp;A318&amp;" ("&amp;E318&amp;", "&amp;F318&amp;" pièces) prévue le "&amp;TEXT(I318,"dd/mm/yyyy")&amp;" a pris du retard. Nous vous confirmons la nouvelle date de livraison dans la journée. Toutes nos excuses pour ce contretemps. "&amp;Paramètres!$B$11&amp;", "&amp;Paramètres!$B$12,""))))</f>
        <v/>
      </c>
      <c r="T318" s="21" t="n"/>
      <c r="U318" s="26" t="n"/>
      <c r="V318" s="21" t="n"/>
    </row>
    <row r="319">
      <c r="A319" s="21" t="n"/>
      <c r="B319" s="26" t="n"/>
      <c r="C319" s="21" t="n"/>
      <c r="D319" s="25">
        <f>IF(C319="","",IFERROR(VLOOKUP(C319,Revendeurs!$A:$B,2,FALSE),"Code inconnu"))</f>
        <v/>
      </c>
      <c r="E319" s="21" t="n"/>
      <c r="F319" s="21" t="n"/>
      <c r="G319" s="22" t="n"/>
      <c r="H319" s="23">
        <f>IF(OR(F319="",G319=""),"",F319*G319)</f>
        <v/>
      </c>
      <c r="I319" s="26" t="n"/>
      <c r="J319" s="26" t="n"/>
      <c r="K319" s="25">
        <f>IF(B319="","",IF(J319&lt;&gt;"","Livrée",IF(I319="","À planifier",IF(Paramètres!$B$4&gt;I319+Paramètres!$B$8,"En retard","En cours"))))</f>
        <v/>
      </c>
      <c r="L319" s="25">
        <f>IF(K319="En retard",Paramètres!$B$4-I319,"")</f>
        <v/>
      </c>
      <c r="M319" s="27">
        <f>IF(OR(B319="",J319=""),"",J319+IFERROR(IF(VLOOKUP(C319,Revendeurs!$A:$G,7,FALSE)="",Paramètres!$B$9,VLOOKUP(C319,Revendeurs!$A:$G,7,FALSE)),Paramètres!$B$9))</f>
        <v/>
      </c>
      <c r="N319" s="22" t="n"/>
      <c r="O319" s="23">
        <f>IF(H319="","",H319-N319)</f>
        <v/>
      </c>
      <c r="P319" s="25">
        <f>IF(OR(M319="",O319=""),"",IF(O319&lt;=0,0,MAX(0,Paramètres!$B$4-M319)))</f>
        <v/>
      </c>
      <c r="Q319" s="25">
        <f>IF(H319="","",IF(O319&lt;=0,"Payée",IF(M319="","Pas encore livrée",IF(P319=0,"Non échue",IF(P319&gt;=Paramètres!$B$7,"Relance 3 : appel direction",IF(P319&gt;=Paramètres!$B$6,"Relance 2",IF(P319&gt;=Paramètres!$B$5,"Relance 1","Échue, relance à venir")))))))</f>
        <v/>
      </c>
      <c r="R319" s="25">
        <f>IF(B319="","",IF(U319=Paramètres!$B$4,"Relancé aujourd'hui",TRIM(IF(LEFT(Q319,7)="Relance",Q319&amp;" ","")&amp;IF(K319="En retard","· Prévenir du retard de livraison",""))))</f>
        <v/>
      </c>
      <c r="S319" s="28">
        <f>IF(B319="","",IF(LEFT(Q319,9)="Relance 3","Bonjour "&amp;D319&amp;", nous revenons vers vous au sujet de la commande "&amp;A319&amp;" du "&amp;TEXT(B319,"dd/mm/yyyy")&amp;" : "&amp;SUBSTITUTE(TEXT(O319,"#,##0"),","," ")&amp;" FCFA restent à régler depuis le "&amp;TEXT(M319,"dd/mm/yyyy")&amp;". Notre responsable souhaite vous appeler pour convenir ensemble d'une solution. Quel moment vous arrange cette semaine ? "&amp;Paramètres!$B$11&amp;", "&amp;Paramètres!$B$12,IF(LEFT(Q319,7)="Relance","Bonjour "&amp;D319&amp;", sauf erreur de notre part, la commande "&amp;A319&amp;" du "&amp;TEXT(B319,"dd/mm/yyyy")&amp;" ("&amp;E319&amp;") présente un reste à payer de "&amp;SUBSTITUTE(TEXT(O319,"#,##0"),","," ")&amp;" FCFA, échu depuis le "&amp;TEXT(M319,"dd/mm/yyyy")&amp;". Pouvez-vous nous indiquer la date de règlement prévue ? Si le paiement est déjà parti, merci de nous envoyer la preuve et ne tenez pas compte de ce message. "&amp;Paramètres!$B$11&amp;", "&amp;Paramètres!$B$12,IF(K319="En retard","Bonjour "&amp;D319&amp;", votre commande "&amp;A319&amp;" ("&amp;E319&amp;", "&amp;F319&amp;" pièces) prévue le "&amp;TEXT(I319,"dd/mm/yyyy")&amp;" a pris du retard. Nous vous confirmons la nouvelle date de livraison dans la journée. Toutes nos excuses pour ce contretemps. "&amp;Paramètres!$B$11&amp;", "&amp;Paramètres!$B$12,""))))</f>
        <v/>
      </c>
      <c r="T319" s="21" t="n"/>
      <c r="U319" s="26" t="n"/>
      <c r="V319" s="21" t="n"/>
    </row>
    <row r="320">
      <c r="A320" s="21" t="n"/>
      <c r="B320" s="26" t="n"/>
      <c r="C320" s="21" t="n"/>
      <c r="D320" s="25">
        <f>IF(C320="","",IFERROR(VLOOKUP(C320,Revendeurs!$A:$B,2,FALSE),"Code inconnu"))</f>
        <v/>
      </c>
      <c r="E320" s="21" t="n"/>
      <c r="F320" s="21" t="n"/>
      <c r="G320" s="22" t="n"/>
      <c r="H320" s="23">
        <f>IF(OR(F320="",G320=""),"",F320*G320)</f>
        <v/>
      </c>
      <c r="I320" s="26" t="n"/>
      <c r="J320" s="26" t="n"/>
      <c r="K320" s="25">
        <f>IF(B320="","",IF(J320&lt;&gt;"","Livrée",IF(I320="","À planifier",IF(Paramètres!$B$4&gt;I320+Paramètres!$B$8,"En retard","En cours"))))</f>
        <v/>
      </c>
      <c r="L320" s="25">
        <f>IF(K320="En retard",Paramètres!$B$4-I320,"")</f>
        <v/>
      </c>
      <c r="M320" s="27">
        <f>IF(OR(B320="",J320=""),"",J320+IFERROR(IF(VLOOKUP(C320,Revendeurs!$A:$G,7,FALSE)="",Paramètres!$B$9,VLOOKUP(C320,Revendeurs!$A:$G,7,FALSE)),Paramètres!$B$9))</f>
        <v/>
      </c>
      <c r="N320" s="22" t="n"/>
      <c r="O320" s="23">
        <f>IF(H320="","",H320-N320)</f>
        <v/>
      </c>
      <c r="P320" s="25">
        <f>IF(OR(M320="",O320=""),"",IF(O320&lt;=0,0,MAX(0,Paramètres!$B$4-M320)))</f>
        <v/>
      </c>
      <c r="Q320" s="25">
        <f>IF(H320="","",IF(O320&lt;=0,"Payée",IF(M320="","Pas encore livrée",IF(P320=0,"Non échue",IF(P320&gt;=Paramètres!$B$7,"Relance 3 : appel direction",IF(P320&gt;=Paramètres!$B$6,"Relance 2",IF(P320&gt;=Paramètres!$B$5,"Relance 1","Échue, relance à venir")))))))</f>
        <v/>
      </c>
      <c r="R320" s="25">
        <f>IF(B320="","",IF(U320=Paramètres!$B$4,"Relancé aujourd'hui",TRIM(IF(LEFT(Q320,7)="Relance",Q320&amp;" ","")&amp;IF(K320="En retard","· Prévenir du retard de livraison",""))))</f>
        <v/>
      </c>
      <c r="S320" s="28">
        <f>IF(B320="","",IF(LEFT(Q320,9)="Relance 3","Bonjour "&amp;D320&amp;", nous revenons vers vous au sujet de la commande "&amp;A320&amp;" du "&amp;TEXT(B320,"dd/mm/yyyy")&amp;" : "&amp;SUBSTITUTE(TEXT(O320,"#,##0"),","," ")&amp;" FCFA restent à régler depuis le "&amp;TEXT(M320,"dd/mm/yyyy")&amp;". Notre responsable souhaite vous appeler pour convenir ensemble d'une solution. Quel moment vous arrange cette semaine ? "&amp;Paramètres!$B$11&amp;", "&amp;Paramètres!$B$12,IF(LEFT(Q320,7)="Relance","Bonjour "&amp;D320&amp;", sauf erreur de notre part, la commande "&amp;A320&amp;" du "&amp;TEXT(B320,"dd/mm/yyyy")&amp;" ("&amp;E320&amp;") présente un reste à payer de "&amp;SUBSTITUTE(TEXT(O320,"#,##0"),","," ")&amp;" FCFA, échu depuis le "&amp;TEXT(M320,"dd/mm/yyyy")&amp;". Pouvez-vous nous indiquer la date de règlement prévue ? Si le paiement est déjà parti, merci de nous envoyer la preuve et ne tenez pas compte de ce message. "&amp;Paramètres!$B$11&amp;", "&amp;Paramètres!$B$12,IF(K320="En retard","Bonjour "&amp;D320&amp;", votre commande "&amp;A320&amp;" ("&amp;E320&amp;", "&amp;F320&amp;" pièces) prévue le "&amp;TEXT(I320,"dd/mm/yyyy")&amp;" a pris du retard. Nous vous confirmons la nouvelle date de livraison dans la journée. Toutes nos excuses pour ce contretemps. "&amp;Paramètres!$B$11&amp;", "&amp;Paramètres!$B$12,""))))</f>
        <v/>
      </c>
      <c r="T320" s="21" t="n"/>
      <c r="U320" s="26" t="n"/>
      <c r="V320" s="21" t="n"/>
    </row>
    <row r="321">
      <c r="A321" s="21" t="n"/>
      <c r="B321" s="26" t="n"/>
      <c r="C321" s="21" t="n"/>
      <c r="D321" s="25">
        <f>IF(C321="","",IFERROR(VLOOKUP(C321,Revendeurs!$A:$B,2,FALSE),"Code inconnu"))</f>
        <v/>
      </c>
      <c r="E321" s="21" t="n"/>
      <c r="F321" s="21" t="n"/>
      <c r="G321" s="22" t="n"/>
      <c r="H321" s="23">
        <f>IF(OR(F321="",G321=""),"",F321*G321)</f>
        <v/>
      </c>
      <c r="I321" s="26" t="n"/>
      <c r="J321" s="26" t="n"/>
      <c r="K321" s="25">
        <f>IF(B321="","",IF(J321&lt;&gt;"","Livrée",IF(I321="","À planifier",IF(Paramètres!$B$4&gt;I321+Paramètres!$B$8,"En retard","En cours"))))</f>
        <v/>
      </c>
      <c r="L321" s="25">
        <f>IF(K321="En retard",Paramètres!$B$4-I321,"")</f>
        <v/>
      </c>
      <c r="M321" s="27">
        <f>IF(OR(B321="",J321=""),"",J321+IFERROR(IF(VLOOKUP(C321,Revendeurs!$A:$G,7,FALSE)="",Paramètres!$B$9,VLOOKUP(C321,Revendeurs!$A:$G,7,FALSE)),Paramètres!$B$9))</f>
        <v/>
      </c>
      <c r="N321" s="22" t="n"/>
      <c r="O321" s="23">
        <f>IF(H321="","",H321-N321)</f>
        <v/>
      </c>
      <c r="P321" s="25">
        <f>IF(OR(M321="",O321=""),"",IF(O321&lt;=0,0,MAX(0,Paramètres!$B$4-M321)))</f>
        <v/>
      </c>
      <c r="Q321" s="25">
        <f>IF(H321="","",IF(O321&lt;=0,"Payée",IF(M321="","Pas encore livrée",IF(P321=0,"Non échue",IF(P321&gt;=Paramètres!$B$7,"Relance 3 : appel direction",IF(P321&gt;=Paramètres!$B$6,"Relance 2",IF(P321&gt;=Paramètres!$B$5,"Relance 1","Échue, relance à venir")))))))</f>
        <v/>
      </c>
      <c r="R321" s="25">
        <f>IF(B321="","",IF(U321=Paramètres!$B$4,"Relancé aujourd'hui",TRIM(IF(LEFT(Q321,7)="Relance",Q321&amp;" ","")&amp;IF(K321="En retard","· Prévenir du retard de livraison",""))))</f>
        <v/>
      </c>
      <c r="S321" s="28">
        <f>IF(B321="","",IF(LEFT(Q321,9)="Relance 3","Bonjour "&amp;D321&amp;", nous revenons vers vous au sujet de la commande "&amp;A321&amp;" du "&amp;TEXT(B321,"dd/mm/yyyy")&amp;" : "&amp;SUBSTITUTE(TEXT(O321,"#,##0"),","," ")&amp;" FCFA restent à régler depuis le "&amp;TEXT(M321,"dd/mm/yyyy")&amp;". Notre responsable souhaite vous appeler pour convenir ensemble d'une solution. Quel moment vous arrange cette semaine ? "&amp;Paramètres!$B$11&amp;", "&amp;Paramètres!$B$12,IF(LEFT(Q321,7)="Relance","Bonjour "&amp;D321&amp;", sauf erreur de notre part, la commande "&amp;A321&amp;" du "&amp;TEXT(B321,"dd/mm/yyyy")&amp;" ("&amp;E321&amp;") présente un reste à payer de "&amp;SUBSTITUTE(TEXT(O321,"#,##0"),","," ")&amp;" FCFA, échu depuis le "&amp;TEXT(M321,"dd/mm/yyyy")&amp;". Pouvez-vous nous indiquer la date de règlement prévue ? Si le paiement est déjà parti, merci de nous envoyer la preuve et ne tenez pas compte de ce message. "&amp;Paramètres!$B$11&amp;", "&amp;Paramètres!$B$12,IF(K321="En retard","Bonjour "&amp;D321&amp;", votre commande "&amp;A321&amp;" ("&amp;E321&amp;", "&amp;F321&amp;" pièces) prévue le "&amp;TEXT(I321,"dd/mm/yyyy")&amp;" a pris du retard. Nous vous confirmons la nouvelle date de livraison dans la journée. Toutes nos excuses pour ce contretemps. "&amp;Paramètres!$B$11&amp;", "&amp;Paramètres!$B$12,""))))</f>
        <v/>
      </c>
      <c r="T321" s="21" t="n"/>
      <c r="U321" s="26" t="n"/>
      <c r="V321" s="21" t="n"/>
    </row>
    <row r="322">
      <c r="A322" s="21" t="n"/>
      <c r="B322" s="26" t="n"/>
      <c r="C322" s="21" t="n"/>
      <c r="D322" s="25">
        <f>IF(C322="","",IFERROR(VLOOKUP(C322,Revendeurs!$A:$B,2,FALSE),"Code inconnu"))</f>
        <v/>
      </c>
      <c r="E322" s="21" t="n"/>
      <c r="F322" s="21" t="n"/>
      <c r="G322" s="22" t="n"/>
      <c r="H322" s="23">
        <f>IF(OR(F322="",G322=""),"",F322*G322)</f>
        <v/>
      </c>
      <c r="I322" s="26" t="n"/>
      <c r="J322" s="26" t="n"/>
      <c r="K322" s="25">
        <f>IF(B322="","",IF(J322&lt;&gt;"","Livrée",IF(I322="","À planifier",IF(Paramètres!$B$4&gt;I322+Paramètres!$B$8,"En retard","En cours"))))</f>
        <v/>
      </c>
      <c r="L322" s="25">
        <f>IF(K322="En retard",Paramètres!$B$4-I322,"")</f>
        <v/>
      </c>
      <c r="M322" s="27">
        <f>IF(OR(B322="",J322=""),"",J322+IFERROR(IF(VLOOKUP(C322,Revendeurs!$A:$G,7,FALSE)="",Paramètres!$B$9,VLOOKUP(C322,Revendeurs!$A:$G,7,FALSE)),Paramètres!$B$9))</f>
        <v/>
      </c>
      <c r="N322" s="22" t="n"/>
      <c r="O322" s="23">
        <f>IF(H322="","",H322-N322)</f>
        <v/>
      </c>
      <c r="P322" s="25">
        <f>IF(OR(M322="",O322=""),"",IF(O322&lt;=0,0,MAX(0,Paramètres!$B$4-M322)))</f>
        <v/>
      </c>
      <c r="Q322" s="25">
        <f>IF(H322="","",IF(O322&lt;=0,"Payée",IF(M322="","Pas encore livrée",IF(P322=0,"Non échue",IF(P322&gt;=Paramètres!$B$7,"Relance 3 : appel direction",IF(P322&gt;=Paramètres!$B$6,"Relance 2",IF(P322&gt;=Paramètres!$B$5,"Relance 1","Échue, relance à venir")))))))</f>
        <v/>
      </c>
      <c r="R322" s="25">
        <f>IF(B322="","",IF(U322=Paramètres!$B$4,"Relancé aujourd'hui",TRIM(IF(LEFT(Q322,7)="Relance",Q322&amp;" ","")&amp;IF(K322="En retard","· Prévenir du retard de livraison",""))))</f>
        <v/>
      </c>
      <c r="S322" s="28">
        <f>IF(B322="","",IF(LEFT(Q322,9)="Relance 3","Bonjour "&amp;D322&amp;", nous revenons vers vous au sujet de la commande "&amp;A322&amp;" du "&amp;TEXT(B322,"dd/mm/yyyy")&amp;" : "&amp;SUBSTITUTE(TEXT(O322,"#,##0"),","," ")&amp;" FCFA restent à régler depuis le "&amp;TEXT(M322,"dd/mm/yyyy")&amp;". Notre responsable souhaite vous appeler pour convenir ensemble d'une solution. Quel moment vous arrange cette semaine ? "&amp;Paramètres!$B$11&amp;", "&amp;Paramètres!$B$12,IF(LEFT(Q322,7)="Relance","Bonjour "&amp;D322&amp;", sauf erreur de notre part, la commande "&amp;A322&amp;" du "&amp;TEXT(B322,"dd/mm/yyyy")&amp;" ("&amp;E322&amp;") présente un reste à payer de "&amp;SUBSTITUTE(TEXT(O322,"#,##0"),","," ")&amp;" FCFA, échu depuis le "&amp;TEXT(M322,"dd/mm/yyyy")&amp;". Pouvez-vous nous indiquer la date de règlement prévue ? Si le paiement est déjà parti, merci de nous envoyer la preuve et ne tenez pas compte de ce message. "&amp;Paramètres!$B$11&amp;", "&amp;Paramètres!$B$12,IF(K322="En retard","Bonjour "&amp;D322&amp;", votre commande "&amp;A322&amp;" ("&amp;E322&amp;", "&amp;F322&amp;" pièces) prévue le "&amp;TEXT(I322,"dd/mm/yyyy")&amp;" a pris du retard. Nous vous confirmons la nouvelle date de livraison dans la journée. Toutes nos excuses pour ce contretemps. "&amp;Paramètres!$B$11&amp;", "&amp;Paramètres!$B$12,""))))</f>
        <v/>
      </c>
      <c r="T322" s="21" t="n"/>
      <c r="U322" s="26" t="n"/>
      <c r="V322" s="21" t="n"/>
    </row>
    <row r="323">
      <c r="A323" s="21" t="n"/>
      <c r="B323" s="26" t="n"/>
      <c r="C323" s="21" t="n"/>
      <c r="D323" s="25">
        <f>IF(C323="","",IFERROR(VLOOKUP(C323,Revendeurs!$A:$B,2,FALSE),"Code inconnu"))</f>
        <v/>
      </c>
      <c r="E323" s="21" t="n"/>
      <c r="F323" s="21" t="n"/>
      <c r="G323" s="22" t="n"/>
      <c r="H323" s="23">
        <f>IF(OR(F323="",G323=""),"",F323*G323)</f>
        <v/>
      </c>
      <c r="I323" s="26" t="n"/>
      <c r="J323" s="26" t="n"/>
      <c r="K323" s="25">
        <f>IF(B323="","",IF(J323&lt;&gt;"","Livrée",IF(I323="","À planifier",IF(Paramètres!$B$4&gt;I323+Paramètres!$B$8,"En retard","En cours"))))</f>
        <v/>
      </c>
      <c r="L323" s="25">
        <f>IF(K323="En retard",Paramètres!$B$4-I323,"")</f>
        <v/>
      </c>
      <c r="M323" s="27">
        <f>IF(OR(B323="",J323=""),"",J323+IFERROR(IF(VLOOKUP(C323,Revendeurs!$A:$G,7,FALSE)="",Paramètres!$B$9,VLOOKUP(C323,Revendeurs!$A:$G,7,FALSE)),Paramètres!$B$9))</f>
        <v/>
      </c>
      <c r="N323" s="22" t="n"/>
      <c r="O323" s="23">
        <f>IF(H323="","",H323-N323)</f>
        <v/>
      </c>
      <c r="P323" s="25">
        <f>IF(OR(M323="",O323=""),"",IF(O323&lt;=0,0,MAX(0,Paramètres!$B$4-M323)))</f>
        <v/>
      </c>
      <c r="Q323" s="25">
        <f>IF(H323="","",IF(O323&lt;=0,"Payée",IF(M323="","Pas encore livrée",IF(P323=0,"Non échue",IF(P323&gt;=Paramètres!$B$7,"Relance 3 : appel direction",IF(P323&gt;=Paramètres!$B$6,"Relance 2",IF(P323&gt;=Paramètres!$B$5,"Relance 1","Échue, relance à venir")))))))</f>
        <v/>
      </c>
      <c r="R323" s="25">
        <f>IF(B323="","",IF(U323=Paramètres!$B$4,"Relancé aujourd'hui",TRIM(IF(LEFT(Q323,7)="Relance",Q323&amp;" ","")&amp;IF(K323="En retard","· Prévenir du retard de livraison",""))))</f>
        <v/>
      </c>
      <c r="S323" s="28">
        <f>IF(B323="","",IF(LEFT(Q323,9)="Relance 3","Bonjour "&amp;D323&amp;", nous revenons vers vous au sujet de la commande "&amp;A323&amp;" du "&amp;TEXT(B323,"dd/mm/yyyy")&amp;" : "&amp;SUBSTITUTE(TEXT(O323,"#,##0"),","," ")&amp;" FCFA restent à régler depuis le "&amp;TEXT(M323,"dd/mm/yyyy")&amp;". Notre responsable souhaite vous appeler pour convenir ensemble d'une solution. Quel moment vous arrange cette semaine ? "&amp;Paramètres!$B$11&amp;", "&amp;Paramètres!$B$12,IF(LEFT(Q323,7)="Relance","Bonjour "&amp;D323&amp;", sauf erreur de notre part, la commande "&amp;A323&amp;" du "&amp;TEXT(B323,"dd/mm/yyyy")&amp;" ("&amp;E323&amp;") présente un reste à payer de "&amp;SUBSTITUTE(TEXT(O323,"#,##0"),","," ")&amp;" FCFA, échu depuis le "&amp;TEXT(M323,"dd/mm/yyyy")&amp;". Pouvez-vous nous indiquer la date de règlement prévue ? Si le paiement est déjà parti, merci de nous envoyer la preuve et ne tenez pas compte de ce message. "&amp;Paramètres!$B$11&amp;", "&amp;Paramètres!$B$12,IF(K323="En retard","Bonjour "&amp;D323&amp;", votre commande "&amp;A323&amp;" ("&amp;E323&amp;", "&amp;F323&amp;" pièces) prévue le "&amp;TEXT(I323,"dd/mm/yyyy")&amp;" a pris du retard. Nous vous confirmons la nouvelle date de livraison dans la journée. Toutes nos excuses pour ce contretemps. "&amp;Paramètres!$B$11&amp;", "&amp;Paramètres!$B$12,""))))</f>
        <v/>
      </c>
      <c r="T323" s="21" t="n"/>
      <c r="U323" s="26" t="n"/>
      <c r="V323" s="21" t="n"/>
    </row>
    <row r="324">
      <c r="A324" s="21" t="n"/>
      <c r="B324" s="26" t="n"/>
      <c r="C324" s="21" t="n"/>
      <c r="D324" s="25">
        <f>IF(C324="","",IFERROR(VLOOKUP(C324,Revendeurs!$A:$B,2,FALSE),"Code inconnu"))</f>
        <v/>
      </c>
      <c r="E324" s="21" t="n"/>
      <c r="F324" s="21" t="n"/>
      <c r="G324" s="22" t="n"/>
      <c r="H324" s="23">
        <f>IF(OR(F324="",G324=""),"",F324*G324)</f>
        <v/>
      </c>
      <c r="I324" s="26" t="n"/>
      <c r="J324" s="26" t="n"/>
      <c r="K324" s="25">
        <f>IF(B324="","",IF(J324&lt;&gt;"","Livrée",IF(I324="","À planifier",IF(Paramètres!$B$4&gt;I324+Paramètres!$B$8,"En retard","En cours"))))</f>
        <v/>
      </c>
      <c r="L324" s="25">
        <f>IF(K324="En retard",Paramètres!$B$4-I324,"")</f>
        <v/>
      </c>
      <c r="M324" s="27">
        <f>IF(OR(B324="",J324=""),"",J324+IFERROR(IF(VLOOKUP(C324,Revendeurs!$A:$G,7,FALSE)="",Paramètres!$B$9,VLOOKUP(C324,Revendeurs!$A:$G,7,FALSE)),Paramètres!$B$9))</f>
        <v/>
      </c>
      <c r="N324" s="22" t="n"/>
      <c r="O324" s="23">
        <f>IF(H324="","",H324-N324)</f>
        <v/>
      </c>
      <c r="P324" s="25">
        <f>IF(OR(M324="",O324=""),"",IF(O324&lt;=0,0,MAX(0,Paramètres!$B$4-M324)))</f>
        <v/>
      </c>
      <c r="Q324" s="25">
        <f>IF(H324="","",IF(O324&lt;=0,"Payée",IF(M324="","Pas encore livrée",IF(P324=0,"Non échue",IF(P324&gt;=Paramètres!$B$7,"Relance 3 : appel direction",IF(P324&gt;=Paramètres!$B$6,"Relance 2",IF(P324&gt;=Paramètres!$B$5,"Relance 1","Échue, relance à venir")))))))</f>
        <v/>
      </c>
      <c r="R324" s="25">
        <f>IF(B324="","",IF(U324=Paramètres!$B$4,"Relancé aujourd'hui",TRIM(IF(LEFT(Q324,7)="Relance",Q324&amp;" ","")&amp;IF(K324="En retard","· Prévenir du retard de livraison",""))))</f>
        <v/>
      </c>
      <c r="S324" s="28">
        <f>IF(B324="","",IF(LEFT(Q324,9)="Relance 3","Bonjour "&amp;D324&amp;", nous revenons vers vous au sujet de la commande "&amp;A324&amp;" du "&amp;TEXT(B324,"dd/mm/yyyy")&amp;" : "&amp;SUBSTITUTE(TEXT(O324,"#,##0"),","," ")&amp;" FCFA restent à régler depuis le "&amp;TEXT(M324,"dd/mm/yyyy")&amp;". Notre responsable souhaite vous appeler pour convenir ensemble d'une solution. Quel moment vous arrange cette semaine ? "&amp;Paramètres!$B$11&amp;", "&amp;Paramètres!$B$12,IF(LEFT(Q324,7)="Relance","Bonjour "&amp;D324&amp;", sauf erreur de notre part, la commande "&amp;A324&amp;" du "&amp;TEXT(B324,"dd/mm/yyyy")&amp;" ("&amp;E324&amp;") présente un reste à payer de "&amp;SUBSTITUTE(TEXT(O324,"#,##0"),","," ")&amp;" FCFA, échu depuis le "&amp;TEXT(M324,"dd/mm/yyyy")&amp;". Pouvez-vous nous indiquer la date de règlement prévue ? Si le paiement est déjà parti, merci de nous envoyer la preuve et ne tenez pas compte de ce message. "&amp;Paramètres!$B$11&amp;", "&amp;Paramètres!$B$12,IF(K324="En retard","Bonjour "&amp;D324&amp;", votre commande "&amp;A324&amp;" ("&amp;E324&amp;", "&amp;F324&amp;" pièces) prévue le "&amp;TEXT(I324,"dd/mm/yyyy")&amp;" a pris du retard. Nous vous confirmons la nouvelle date de livraison dans la journée. Toutes nos excuses pour ce contretemps. "&amp;Paramètres!$B$11&amp;", "&amp;Paramètres!$B$12,""))))</f>
        <v/>
      </c>
      <c r="T324" s="21" t="n"/>
      <c r="U324" s="26" t="n"/>
      <c r="V324" s="21" t="n"/>
    </row>
    <row r="325">
      <c r="A325" s="21" t="n"/>
      <c r="B325" s="26" t="n"/>
      <c r="C325" s="21" t="n"/>
      <c r="D325" s="25">
        <f>IF(C325="","",IFERROR(VLOOKUP(C325,Revendeurs!$A:$B,2,FALSE),"Code inconnu"))</f>
        <v/>
      </c>
      <c r="E325" s="21" t="n"/>
      <c r="F325" s="21" t="n"/>
      <c r="G325" s="22" t="n"/>
      <c r="H325" s="23">
        <f>IF(OR(F325="",G325=""),"",F325*G325)</f>
        <v/>
      </c>
      <c r="I325" s="26" t="n"/>
      <c r="J325" s="26" t="n"/>
      <c r="K325" s="25">
        <f>IF(B325="","",IF(J325&lt;&gt;"","Livrée",IF(I325="","À planifier",IF(Paramètres!$B$4&gt;I325+Paramètres!$B$8,"En retard","En cours"))))</f>
        <v/>
      </c>
      <c r="L325" s="25">
        <f>IF(K325="En retard",Paramètres!$B$4-I325,"")</f>
        <v/>
      </c>
      <c r="M325" s="27">
        <f>IF(OR(B325="",J325=""),"",J325+IFERROR(IF(VLOOKUP(C325,Revendeurs!$A:$G,7,FALSE)="",Paramètres!$B$9,VLOOKUP(C325,Revendeurs!$A:$G,7,FALSE)),Paramètres!$B$9))</f>
        <v/>
      </c>
      <c r="N325" s="22" t="n"/>
      <c r="O325" s="23">
        <f>IF(H325="","",H325-N325)</f>
        <v/>
      </c>
      <c r="P325" s="25">
        <f>IF(OR(M325="",O325=""),"",IF(O325&lt;=0,0,MAX(0,Paramètres!$B$4-M325)))</f>
        <v/>
      </c>
      <c r="Q325" s="25">
        <f>IF(H325="","",IF(O325&lt;=0,"Payée",IF(M325="","Pas encore livrée",IF(P325=0,"Non échue",IF(P325&gt;=Paramètres!$B$7,"Relance 3 : appel direction",IF(P325&gt;=Paramètres!$B$6,"Relance 2",IF(P325&gt;=Paramètres!$B$5,"Relance 1","Échue, relance à venir")))))))</f>
        <v/>
      </c>
      <c r="R325" s="25">
        <f>IF(B325="","",IF(U325=Paramètres!$B$4,"Relancé aujourd'hui",TRIM(IF(LEFT(Q325,7)="Relance",Q325&amp;" ","")&amp;IF(K325="En retard","· Prévenir du retard de livraison",""))))</f>
        <v/>
      </c>
      <c r="S325" s="28">
        <f>IF(B325="","",IF(LEFT(Q325,9)="Relance 3","Bonjour "&amp;D325&amp;", nous revenons vers vous au sujet de la commande "&amp;A325&amp;" du "&amp;TEXT(B325,"dd/mm/yyyy")&amp;" : "&amp;SUBSTITUTE(TEXT(O325,"#,##0"),","," ")&amp;" FCFA restent à régler depuis le "&amp;TEXT(M325,"dd/mm/yyyy")&amp;". Notre responsable souhaite vous appeler pour convenir ensemble d'une solution. Quel moment vous arrange cette semaine ? "&amp;Paramètres!$B$11&amp;", "&amp;Paramètres!$B$12,IF(LEFT(Q325,7)="Relance","Bonjour "&amp;D325&amp;", sauf erreur de notre part, la commande "&amp;A325&amp;" du "&amp;TEXT(B325,"dd/mm/yyyy")&amp;" ("&amp;E325&amp;") présente un reste à payer de "&amp;SUBSTITUTE(TEXT(O325,"#,##0"),","," ")&amp;" FCFA, échu depuis le "&amp;TEXT(M325,"dd/mm/yyyy")&amp;". Pouvez-vous nous indiquer la date de règlement prévue ? Si le paiement est déjà parti, merci de nous envoyer la preuve et ne tenez pas compte de ce message. "&amp;Paramètres!$B$11&amp;", "&amp;Paramètres!$B$12,IF(K325="En retard","Bonjour "&amp;D325&amp;", votre commande "&amp;A325&amp;" ("&amp;E325&amp;", "&amp;F325&amp;" pièces) prévue le "&amp;TEXT(I325,"dd/mm/yyyy")&amp;" a pris du retard. Nous vous confirmons la nouvelle date de livraison dans la journée. Toutes nos excuses pour ce contretemps. "&amp;Paramètres!$B$11&amp;", "&amp;Paramètres!$B$12,""))))</f>
        <v/>
      </c>
      <c r="T325" s="21" t="n"/>
      <c r="U325" s="26" t="n"/>
      <c r="V325" s="21" t="n"/>
    </row>
    <row r="326">
      <c r="A326" s="21" t="n"/>
      <c r="B326" s="26" t="n"/>
      <c r="C326" s="21" t="n"/>
      <c r="D326" s="25">
        <f>IF(C326="","",IFERROR(VLOOKUP(C326,Revendeurs!$A:$B,2,FALSE),"Code inconnu"))</f>
        <v/>
      </c>
      <c r="E326" s="21" t="n"/>
      <c r="F326" s="21" t="n"/>
      <c r="G326" s="22" t="n"/>
      <c r="H326" s="23">
        <f>IF(OR(F326="",G326=""),"",F326*G326)</f>
        <v/>
      </c>
      <c r="I326" s="26" t="n"/>
      <c r="J326" s="26" t="n"/>
      <c r="K326" s="25">
        <f>IF(B326="","",IF(J326&lt;&gt;"","Livrée",IF(I326="","À planifier",IF(Paramètres!$B$4&gt;I326+Paramètres!$B$8,"En retard","En cours"))))</f>
        <v/>
      </c>
      <c r="L326" s="25">
        <f>IF(K326="En retard",Paramètres!$B$4-I326,"")</f>
        <v/>
      </c>
      <c r="M326" s="27">
        <f>IF(OR(B326="",J326=""),"",J326+IFERROR(IF(VLOOKUP(C326,Revendeurs!$A:$G,7,FALSE)="",Paramètres!$B$9,VLOOKUP(C326,Revendeurs!$A:$G,7,FALSE)),Paramètres!$B$9))</f>
        <v/>
      </c>
      <c r="N326" s="22" t="n"/>
      <c r="O326" s="23">
        <f>IF(H326="","",H326-N326)</f>
        <v/>
      </c>
      <c r="P326" s="25">
        <f>IF(OR(M326="",O326=""),"",IF(O326&lt;=0,0,MAX(0,Paramètres!$B$4-M326)))</f>
        <v/>
      </c>
      <c r="Q326" s="25">
        <f>IF(H326="","",IF(O326&lt;=0,"Payée",IF(M326="","Pas encore livrée",IF(P326=0,"Non échue",IF(P326&gt;=Paramètres!$B$7,"Relance 3 : appel direction",IF(P326&gt;=Paramètres!$B$6,"Relance 2",IF(P326&gt;=Paramètres!$B$5,"Relance 1","Échue, relance à venir")))))))</f>
        <v/>
      </c>
      <c r="R326" s="25">
        <f>IF(B326="","",IF(U326=Paramètres!$B$4,"Relancé aujourd'hui",TRIM(IF(LEFT(Q326,7)="Relance",Q326&amp;" ","")&amp;IF(K326="En retard","· Prévenir du retard de livraison",""))))</f>
        <v/>
      </c>
      <c r="S326" s="28">
        <f>IF(B326="","",IF(LEFT(Q326,9)="Relance 3","Bonjour "&amp;D326&amp;", nous revenons vers vous au sujet de la commande "&amp;A326&amp;" du "&amp;TEXT(B326,"dd/mm/yyyy")&amp;" : "&amp;SUBSTITUTE(TEXT(O326,"#,##0"),","," ")&amp;" FCFA restent à régler depuis le "&amp;TEXT(M326,"dd/mm/yyyy")&amp;". Notre responsable souhaite vous appeler pour convenir ensemble d'une solution. Quel moment vous arrange cette semaine ? "&amp;Paramètres!$B$11&amp;", "&amp;Paramètres!$B$12,IF(LEFT(Q326,7)="Relance","Bonjour "&amp;D326&amp;", sauf erreur de notre part, la commande "&amp;A326&amp;" du "&amp;TEXT(B326,"dd/mm/yyyy")&amp;" ("&amp;E326&amp;") présente un reste à payer de "&amp;SUBSTITUTE(TEXT(O326,"#,##0"),","," ")&amp;" FCFA, échu depuis le "&amp;TEXT(M326,"dd/mm/yyyy")&amp;". Pouvez-vous nous indiquer la date de règlement prévue ? Si le paiement est déjà parti, merci de nous envoyer la preuve et ne tenez pas compte de ce message. "&amp;Paramètres!$B$11&amp;", "&amp;Paramètres!$B$12,IF(K326="En retard","Bonjour "&amp;D326&amp;", votre commande "&amp;A326&amp;" ("&amp;E326&amp;", "&amp;F326&amp;" pièces) prévue le "&amp;TEXT(I326,"dd/mm/yyyy")&amp;" a pris du retard. Nous vous confirmons la nouvelle date de livraison dans la journée. Toutes nos excuses pour ce contretemps. "&amp;Paramètres!$B$11&amp;", "&amp;Paramètres!$B$12,""))))</f>
        <v/>
      </c>
      <c r="T326" s="21" t="n"/>
      <c r="U326" s="26" t="n"/>
      <c r="V326" s="21" t="n"/>
    </row>
    <row r="327">
      <c r="A327" s="21" t="n"/>
      <c r="B327" s="26" t="n"/>
      <c r="C327" s="21" t="n"/>
      <c r="D327" s="25">
        <f>IF(C327="","",IFERROR(VLOOKUP(C327,Revendeurs!$A:$B,2,FALSE),"Code inconnu"))</f>
        <v/>
      </c>
      <c r="E327" s="21" t="n"/>
      <c r="F327" s="21" t="n"/>
      <c r="G327" s="22" t="n"/>
      <c r="H327" s="23">
        <f>IF(OR(F327="",G327=""),"",F327*G327)</f>
        <v/>
      </c>
      <c r="I327" s="26" t="n"/>
      <c r="J327" s="26" t="n"/>
      <c r="K327" s="25">
        <f>IF(B327="","",IF(J327&lt;&gt;"","Livrée",IF(I327="","À planifier",IF(Paramètres!$B$4&gt;I327+Paramètres!$B$8,"En retard","En cours"))))</f>
        <v/>
      </c>
      <c r="L327" s="25">
        <f>IF(K327="En retard",Paramètres!$B$4-I327,"")</f>
        <v/>
      </c>
      <c r="M327" s="27">
        <f>IF(OR(B327="",J327=""),"",J327+IFERROR(IF(VLOOKUP(C327,Revendeurs!$A:$G,7,FALSE)="",Paramètres!$B$9,VLOOKUP(C327,Revendeurs!$A:$G,7,FALSE)),Paramètres!$B$9))</f>
        <v/>
      </c>
      <c r="N327" s="22" t="n"/>
      <c r="O327" s="23">
        <f>IF(H327="","",H327-N327)</f>
        <v/>
      </c>
      <c r="P327" s="25">
        <f>IF(OR(M327="",O327=""),"",IF(O327&lt;=0,0,MAX(0,Paramètres!$B$4-M327)))</f>
        <v/>
      </c>
      <c r="Q327" s="25">
        <f>IF(H327="","",IF(O327&lt;=0,"Payée",IF(M327="","Pas encore livrée",IF(P327=0,"Non échue",IF(P327&gt;=Paramètres!$B$7,"Relance 3 : appel direction",IF(P327&gt;=Paramètres!$B$6,"Relance 2",IF(P327&gt;=Paramètres!$B$5,"Relance 1","Échue, relance à venir")))))))</f>
        <v/>
      </c>
      <c r="R327" s="25">
        <f>IF(B327="","",IF(U327=Paramètres!$B$4,"Relancé aujourd'hui",TRIM(IF(LEFT(Q327,7)="Relance",Q327&amp;" ","")&amp;IF(K327="En retard","· Prévenir du retard de livraison",""))))</f>
        <v/>
      </c>
      <c r="S327" s="28">
        <f>IF(B327="","",IF(LEFT(Q327,9)="Relance 3","Bonjour "&amp;D327&amp;", nous revenons vers vous au sujet de la commande "&amp;A327&amp;" du "&amp;TEXT(B327,"dd/mm/yyyy")&amp;" : "&amp;SUBSTITUTE(TEXT(O327,"#,##0"),","," ")&amp;" FCFA restent à régler depuis le "&amp;TEXT(M327,"dd/mm/yyyy")&amp;". Notre responsable souhaite vous appeler pour convenir ensemble d'une solution. Quel moment vous arrange cette semaine ? "&amp;Paramètres!$B$11&amp;", "&amp;Paramètres!$B$12,IF(LEFT(Q327,7)="Relance","Bonjour "&amp;D327&amp;", sauf erreur de notre part, la commande "&amp;A327&amp;" du "&amp;TEXT(B327,"dd/mm/yyyy")&amp;" ("&amp;E327&amp;") présente un reste à payer de "&amp;SUBSTITUTE(TEXT(O327,"#,##0"),","," ")&amp;" FCFA, échu depuis le "&amp;TEXT(M327,"dd/mm/yyyy")&amp;". Pouvez-vous nous indiquer la date de règlement prévue ? Si le paiement est déjà parti, merci de nous envoyer la preuve et ne tenez pas compte de ce message. "&amp;Paramètres!$B$11&amp;", "&amp;Paramètres!$B$12,IF(K327="En retard","Bonjour "&amp;D327&amp;", votre commande "&amp;A327&amp;" ("&amp;E327&amp;", "&amp;F327&amp;" pièces) prévue le "&amp;TEXT(I327,"dd/mm/yyyy")&amp;" a pris du retard. Nous vous confirmons la nouvelle date de livraison dans la journée. Toutes nos excuses pour ce contretemps. "&amp;Paramètres!$B$11&amp;", "&amp;Paramètres!$B$12,""))))</f>
        <v/>
      </c>
      <c r="T327" s="21" t="n"/>
      <c r="U327" s="26" t="n"/>
      <c r="V327" s="21" t="n"/>
    </row>
    <row r="328">
      <c r="A328" s="21" t="n"/>
      <c r="B328" s="26" t="n"/>
      <c r="C328" s="21" t="n"/>
      <c r="D328" s="25">
        <f>IF(C328="","",IFERROR(VLOOKUP(C328,Revendeurs!$A:$B,2,FALSE),"Code inconnu"))</f>
        <v/>
      </c>
      <c r="E328" s="21" t="n"/>
      <c r="F328" s="21" t="n"/>
      <c r="G328" s="22" t="n"/>
      <c r="H328" s="23">
        <f>IF(OR(F328="",G328=""),"",F328*G328)</f>
        <v/>
      </c>
      <c r="I328" s="26" t="n"/>
      <c r="J328" s="26" t="n"/>
      <c r="K328" s="25">
        <f>IF(B328="","",IF(J328&lt;&gt;"","Livrée",IF(I328="","À planifier",IF(Paramètres!$B$4&gt;I328+Paramètres!$B$8,"En retard","En cours"))))</f>
        <v/>
      </c>
      <c r="L328" s="25">
        <f>IF(K328="En retard",Paramètres!$B$4-I328,"")</f>
        <v/>
      </c>
      <c r="M328" s="27">
        <f>IF(OR(B328="",J328=""),"",J328+IFERROR(IF(VLOOKUP(C328,Revendeurs!$A:$G,7,FALSE)="",Paramètres!$B$9,VLOOKUP(C328,Revendeurs!$A:$G,7,FALSE)),Paramètres!$B$9))</f>
        <v/>
      </c>
      <c r="N328" s="22" t="n"/>
      <c r="O328" s="23">
        <f>IF(H328="","",H328-N328)</f>
        <v/>
      </c>
      <c r="P328" s="25">
        <f>IF(OR(M328="",O328=""),"",IF(O328&lt;=0,0,MAX(0,Paramètres!$B$4-M328)))</f>
        <v/>
      </c>
      <c r="Q328" s="25">
        <f>IF(H328="","",IF(O328&lt;=0,"Payée",IF(M328="","Pas encore livrée",IF(P328=0,"Non échue",IF(P328&gt;=Paramètres!$B$7,"Relance 3 : appel direction",IF(P328&gt;=Paramètres!$B$6,"Relance 2",IF(P328&gt;=Paramètres!$B$5,"Relance 1","Échue, relance à venir")))))))</f>
        <v/>
      </c>
      <c r="R328" s="25">
        <f>IF(B328="","",IF(U328=Paramètres!$B$4,"Relancé aujourd'hui",TRIM(IF(LEFT(Q328,7)="Relance",Q328&amp;" ","")&amp;IF(K328="En retard","· Prévenir du retard de livraison",""))))</f>
        <v/>
      </c>
      <c r="S328" s="28">
        <f>IF(B328="","",IF(LEFT(Q328,9)="Relance 3","Bonjour "&amp;D328&amp;", nous revenons vers vous au sujet de la commande "&amp;A328&amp;" du "&amp;TEXT(B328,"dd/mm/yyyy")&amp;" : "&amp;SUBSTITUTE(TEXT(O328,"#,##0"),","," ")&amp;" FCFA restent à régler depuis le "&amp;TEXT(M328,"dd/mm/yyyy")&amp;". Notre responsable souhaite vous appeler pour convenir ensemble d'une solution. Quel moment vous arrange cette semaine ? "&amp;Paramètres!$B$11&amp;", "&amp;Paramètres!$B$12,IF(LEFT(Q328,7)="Relance","Bonjour "&amp;D328&amp;", sauf erreur de notre part, la commande "&amp;A328&amp;" du "&amp;TEXT(B328,"dd/mm/yyyy")&amp;" ("&amp;E328&amp;") présente un reste à payer de "&amp;SUBSTITUTE(TEXT(O328,"#,##0"),","," ")&amp;" FCFA, échu depuis le "&amp;TEXT(M328,"dd/mm/yyyy")&amp;". Pouvez-vous nous indiquer la date de règlement prévue ? Si le paiement est déjà parti, merci de nous envoyer la preuve et ne tenez pas compte de ce message. "&amp;Paramètres!$B$11&amp;", "&amp;Paramètres!$B$12,IF(K328="En retard","Bonjour "&amp;D328&amp;", votre commande "&amp;A328&amp;" ("&amp;E328&amp;", "&amp;F328&amp;" pièces) prévue le "&amp;TEXT(I328,"dd/mm/yyyy")&amp;" a pris du retard. Nous vous confirmons la nouvelle date de livraison dans la journée. Toutes nos excuses pour ce contretemps. "&amp;Paramètres!$B$11&amp;", "&amp;Paramètres!$B$12,""))))</f>
        <v/>
      </c>
      <c r="T328" s="21" t="n"/>
      <c r="U328" s="26" t="n"/>
      <c r="V328" s="21" t="n"/>
    </row>
    <row r="329">
      <c r="A329" s="21" t="n"/>
      <c r="B329" s="26" t="n"/>
      <c r="C329" s="21" t="n"/>
      <c r="D329" s="25">
        <f>IF(C329="","",IFERROR(VLOOKUP(C329,Revendeurs!$A:$B,2,FALSE),"Code inconnu"))</f>
        <v/>
      </c>
      <c r="E329" s="21" t="n"/>
      <c r="F329" s="21" t="n"/>
      <c r="G329" s="22" t="n"/>
      <c r="H329" s="23">
        <f>IF(OR(F329="",G329=""),"",F329*G329)</f>
        <v/>
      </c>
      <c r="I329" s="26" t="n"/>
      <c r="J329" s="26" t="n"/>
      <c r="K329" s="25">
        <f>IF(B329="","",IF(J329&lt;&gt;"","Livrée",IF(I329="","À planifier",IF(Paramètres!$B$4&gt;I329+Paramètres!$B$8,"En retard","En cours"))))</f>
        <v/>
      </c>
      <c r="L329" s="25">
        <f>IF(K329="En retard",Paramètres!$B$4-I329,"")</f>
        <v/>
      </c>
      <c r="M329" s="27">
        <f>IF(OR(B329="",J329=""),"",J329+IFERROR(IF(VLOOKUP(C329,Revendeurs!$A:$G,7,FALSE)="",Paramètres!$B$9,VLOOKUP(C329,Revendeurs!$A:$G,7,FALSE)),Paramètres!$B$9))</f>
        <v/>
      </c>
      <c r="N329" s="22" t="n"/>
      <c r="O329" s="23">
        <f>IF(H329="","",H329-N329)</f>
        <v/>
      </c>
      <c r="P329" s="25">
        <f>IF(OR(M329="",O329=""),"",IF(O329&lt;=0,0,MAX(0,Paramètres!$B$4-M329)))</f>
        <v/>
      </c>
      <c r="Q329" s="25">
        <f>IF(H329="","",IF(O329&lt;=0,"Payée",IF(M329="","Pas encore livrée",IF(P329=0,"Non échue",IF(P329&gt;=Paramètres!$B$7,"Relance 3 : appel direction",IF(P329&gt;=Paramètres!$B$6,"Relance 2",IF(P329&gt;=Paramètres!$B$5,"Relance 1","Échue, relance à venir")))))))</f>
        <v/>
      </c>
      <c r="R329" s="25">
        <f>IF(B329="","",IF(U329=Paramètres!$B$4,"Relancé aujourd'hui",TRIM(IF(LEFT(Q329,7)="Relance",Q329&amp;" ","")&amp;IF(K329="En retard","· Prévenir du retard de livraison",""))))</f>
        <v/>
      </c>
      <c r="S329" s="28">
        <f>IF(B329="","",IF(LEFT(Q329,9)="Relance 3","Bonjour "&amp;D329&amp;", nous revenons vers vous au sujet de la commande "&amp;A329&amp;" du "&amp;TEXT(B329,"dd/mm/yyyy")&amp;" : "&amp;SUBSTITUTE(TEXT(O329,"#,##0"),","," ")&amp;" FCFA restent à régler depuis le "&amp;TEXT(M329,"dd/mm/yyyy")&amp;". Notre responsable souhaite vous appeler pour convenir ensemble d'une solution. Quel moment vous arrange cette semaine ? "&amp;Paramètres!$B$11&amp;", "&amp;Paramètres!$B$12,IF(LEFT(Q329,7)="Relance","Bonjour "&amp;D329&amp;", sauf erreur de notre part, la commande "&amp;A329&amp;" du "&amp;TEXT(B329,"dd/mm/yyyy")&amp;" ("&amp;E329&amp;") présente un reste à payer de "&amp;SUBSTITUTE(TEXT(O329,"#,##0"),","," ")&amp;" FCFA, échu depuis le "&amp;TEXT(M329,"dd/mm/yyyy")&amp;". Pouvez-vous nous indiquer la date de règlement prévue ? Si le paiement est déjà parti, merci de nous envoyer la preuve et ne tenez pas compte de ce message. "&amp;Paramètres!$B$11&amp;", "&amp;Paramètres!$B$12,IF(K329="En retard","Bonjour "&amp;D329&amp;", votre commande "&amp;A329&amp;" ("&amp;E329&amp;", "&amp;F329&amp;" pièces) prévue le "&amp;TEXT(I329,"dd/mm/yyyy")&amp;" a pris du retard. Nous vous confirmons la nouvelle date de livraison dans la journée. Toutes nos excuses pour ce contretemps. "&amp;Paramètres!$B$11&amp;", "&amp;Paramètres!$B$12,""))))</f>
        <v/>
      </c>
      <c r="T329" s="21" t="n"/>
      <c r="U329" s="26" t="n"/>
      <c r="V329" s="21" t="n"/>
    </row>
    <row r="330">
      <c r="A330" s="21" t="n"/>
      <c r="B330" s="26" t="n"/>
      <c r="C330" s="21" t="n"/>
      <c r="D330" s="25">
        <f>IF(C330="","",IFERROR(VLOOKUP(C330,Revendeurs!$A:$B,2,FALSE),"Code inconnu"))</f>
        <v/>
      </c>
      <c r="E330" s="21" t="n"/>
      <c r="F330" s="21" t="n"/>
      <c r="G330" s="22" t="n"/>
      <c r="H330" s="23">
        <f>IF(OR(F330="",G330=""),"",F330*G330)</f>
        <v/>
      </c>
      <c r="I330" s="26" t="n"/>
      <c r="J330" s="26" t="n"/>
      <c r="K330" s="25">
        <f>IF(B330="","",IF(J330&lt;&gt;"","Livrée",IF(I330="","À planifier",IF(Paramètres!$B$4&gt;I330+Paramètres!$B$8,"En retard","En cours"))))</f>
        <v/>
      </c>
      <c r="L330" s="25">
        <f>IF(K330="En retard",Paramètres!$B$4-I330,"")</f>
        <v/>
      </c>
      <c r="M330" s="27">
        <f>IF(OR(B330="",J330=""),"",J330+IFERROR(IF(VLOOKUP(C330,Revendeurs!$A:$G,7,FALSE)="",Paramètres!$B$9,VLOOKUP(C330,Revendeurs!$A:$G,7,FALSE)),Paramètres!$B$9))</f>
        <v/>
      </c>
      <c r="N330" s="22" t="n"/>
      <c r="O330" s="23">
        <f>IF(H330="","",H330-N330)</f>
        <v/>
      </c>
      <c r="P330" s="25">
        <f>IF(OR(M330="",O330=""),"",IF(O330&lt;=0,0,MAX(0,Paramètres!$B$4-M330)))</f>
        <v/>
      </c>
      <c r="Q330" s="25">
        <f>IF(H330="","",IF(O330&lt;=0,"Payée",IF(M330="","Pas encore livrée",IF(P330=0,"Non échue",IF(P330&gt;=Paramètres!$B$7,"Relance 3 : appel direction",IF(P330&gt;=Paramètres!$B$6,"Relance 2",IF(P330&gt;=Paramètres!$B$5,"Relance 1","Échue, relance à venir")))))))</f>
        <v/>
      </c>
      <c r="R330" s="25">
        <f>IF(B330="","",IF(U330=Paramètres!$B$4,"Relancé aujourd'hui",TRIM(IF(LEFT(Q330,7)="Relance",Q330&amp;" ","")&amp;IF(K330="En retard","· Prévenir du retard de livraison",""))))</f>
        <v/>
      </c>
      <c r="S330" s="28">
        <f>IF(B330="","",IF(LEFT(Q330,9)="Relance 3","Bonjour "&amp;D330&amp;", nous revenons vers vous au sujet de la commande "&amp;A330&amp;" du "&amp;TEXT(B330,"dd/mm/yyyy")&amp;" : "&amp;SUBSTITUTE(TEXT(O330,"#,##0"),","," ")&amp;" FCFA restent à régler depuis le "&amp;TEXT(M330,"dd/mm/yyyy")&amp;". Notre responsable souhaite vous appeler pour convenir ensemble d'une solution. Quel moment vous arrange cette semaine ? "&amp;Paramètres!$B$11&amp;", "&amp;Paramètres!$B$12,IF(LEFT(Q330,7)="Relance","Bonjour "&amp;D330&amp;", sauf erreur de notre part, la commande "&amp;A330&amp;" du "&amp;TEXT(B330,"dd/mm/yyyy")&amp;" ("&amp;E330&amp;") présente un reste à payer de "&amp;SUBSTITUTE(TEXT(O330,"#,##0"),","," ")&amp;" FCFA, échu depuis le "&amp;TEXT(M330,"dd/mm/yyyy")&amp;". Pouvez-vous nous indiquer la date de règlement prévue ? Si le paiement est déjà parti, merci de nous envoyer la preuve et ne tenez pas compte de ce message. "&amp;Paramètres!$B$11&amp;", "&amp;Paramètres!$B$12,IF(K330="En retard","Bonjour "&amp;D330&amp;", votre commande "&amp;A330&amp;" ("&amp;E330&amp;", "&amp;F330&amp;" pièces) prévue le "&amp;TEXT(I330,"dd/mm/yyyy")&amp;" a pris du retard. Nous vous confirmons la nouvelle date de livraison dans la journée. Toutes nos excuses pour ce contretemps. "&amp;Paramètres!$B$11&amp;", "&amp;Paramètres!$B$12,""))))</f>
        <v/>
      </c>
      <c r="T330" s="21" t="n"/>
      <c r="U330" s="26" t="n"/>
      <c r="V330" s="21" t="n"/>
    </row>
    <row r="331">
      <c r="A331" s="21" t="n"/>
      <c r="B331" s="26" t="n"/>
      <c r="C331" s="21" t="n"/>
      <c r="D331" s="25">
        <f>IF(C331="","",IFERROR(VLOOKUP(C331,Revendeurs!$A:$B,2,FALSE),"Code inconnu"))</f>
        <v/>
      </c>
      <c r="E331" s="21" t="n"/>
      <c r="F331" s="21" t="n"/>
      <c r="G331" s="22" t="n"/>
      <c r="H331" s="23">
        <f>IF(OR(F331="",G331=""),"",F331*G331)</f>
        <v/>
      </c>
      <c r="I331" s="26" t="n"/>
      <c r="J331" s="26" t="n"/>
      <c r="K331" s="25">
        <f>IF(B331="","",IF(J331&lt;&gt;"","Livrée",IF(I331="","À planifier",IF(Paramètres!$B$4&gt;I331+Paramètres!$B$8,"En retard","En cours"))))</f>
        <v/>
      </c>
      <c r="L331" s="25">
        <f>IF(K331="En retard",Paramètres!$B$4-I331,"")</f>
        <v/>
      </c>
      <c r="M331" s="27">
        <f>IF(OR(B331="",J331=""),"",J331+IFERROR(IF(VLOOKUP(C331,Revendeurs!$A:$G,7,FALSE)="",Paramètres!$B$9,VLOOKUP(C331,Revendeurs!$A:$G,7,FALSE)),Paramètres!$B$9))</f>
        <v/>
      </c>
      <c r="N331" s="22" t="n"/>
      <c r="O331" s="23">
        <f>IF(H331="","",H331-N331)</f>
        <v/>
      </c>
      <c r="P331" s="25">
        <f>IF(OR(M331="",O331=""),"",IF(O331&lt;=0,0,MAX(0,Paramètres!$B$4-M331)))</f>
        <v/>
      </c>
      <c r="Q331" s="25">
        <f>IF(H331="","",IF(O331&lt;=0,"Payée",IF(M331="","Pas encore livrée",IF(P331=0,"Non échue",IF(P331&gt;=Paramètres!$B$7,"Relance 3 : appel direction",IF(P331&gt;=Paramètres!$B$6,"Relance 2",IF(P331&gt;=Paramètres!$B$5,"Relance 1","Échue, relance à venir")))))))</f>
        <v/>
      </c>
      <c r="R331" s="25">
        <f>IF(B331="","",IF(U331=Paramètres!$B$4,"Relancé aujourd'hui",TRIM(IF(LEFT(Q331,7)="Relance",Q331&amp;" ","")&amp;IF(K331="En retard","· Prévenir du retard de livraison",""))))</f>
        <v/>
      </c>
      <c r="S331" s="28">
        <f>IF(B331="","",IF(LEFT(Q331,9)="Relance 3","Bonjour "&amp;D331&amp;", nous revenons vers vous au sujet de la commande "&amp;A331&amp;" du "&amp;TEXT(B331,"dd/mm/yyyy")&amp;" : "&amp;SUBSTITUTE(TEXT(O331,"#,##0"),","," ")&amp;" FCFA restent à régler depuis le "&amp;TEXT(M331,"dd/mm/yyyy")&amp;". Notre responsable souhaite vous appeler pour convenir ensemble d'une solution. Quel moment vous arrange cette semaine ? "&amp;Paramètres!$B$11&amp;", "&amp;Paramètres!$B$12,IF(LEFT(Q331,7)="Relance","Bonjour "&amp;D331&amp;", sauf erreur de notre part, la commande "&amp;A331&amp;" du "&amp;TEXT(B331,"dd/mm/yyyy")&amp;" ("&amp;E331&amp;") présente un reste à payer de "&amp;SUBSTITUTE(TEXT(O331,"#,##0"),","," ")&amp;" FCFA, échu depuis le "&amp;TEXT(M331,"dd/mm/yyyy")&amp;". Pouvez-vous nous indiquer la date de règlement prévue ? Si le paiement est déjà parti, merci de nous envoyer la preuve et ne tenez pas compte de ce message. "&amp;Paramètres!$B$11&amp;", "&amp;Paramètres!$B$12,IF(K331="En retard","Bonjour "&amp;D331&amp;", votre commande "&amp;A331&amp;" ("&amp;E331&amp;", "&amp;F331&amp;" pièces) prévue le "&amp;TEXT(I331,"dd/mm/yyyy")&amp;" a pris du retard. Nous vous confirmons la nouvelle date de livraison dans la journée. Toutes nos excuses pour ce contretemps. "&amp;Paramètres!$B$11&amp;", "&amp;Paramètres!$B$12,""))))</f>
        <v/>
      </c>
      <c r="T331" s="21" t="n"/>
      <c r="U331" s="26" t="n"/>
      <c r="V331" s="21" t="n"/>
    </row>
    <row r="332">
      <c r="A332" s="21" t="n"/>
      <c r="B332" s="26" t="n"/>
      <c r="C332" s="21" t="n"/>
      <c r="D332" s="25">
        <f>IF(C332="","",IFERROR(VLOOKUP(C332,Revendeurs!$A:$B,2,FALSE),"Code inconnu"))</f>
        <v/>
      </c>
      <c r="E332" s="21" t="n"/>
      <c r="F332" s="21" t="n"/>
      <c r="G332" s="22" t="n"/>
      <c r="H332" s="23">
        <f>IF(OR(F332="",G332=""),"",F332*G332)</f>
        <v/>
      </c>
      <c r="I332" s="26" t="n"/>
      <c r="J332" s="26" t="n"/>
      <c r="K332" s="25">
        <f>IF(B332="","",IF(J332&lt;&gt;"","Livrée",IF(I332="","À planifier",IF(Paramètres!$B$4&gt;I332+Paramètres!$B$8,"En retard","En cours"))))</f>
        <v/>
      </c>
      <c r="L332" s="25">
        <f>IF(K332="En retard",Paramètres!$B$4-I332,"")</f>
        <v/>
      </c>
      <c r="M332" s="27">
        <f>IF(OR(B332="",J332=""),"",J332+IFERROR(IF(VLOOKUP(C332,Revendeurs!$A:$G,7,FALSE)="",Paramètres!$B$9,VLOOKUP(C332,Revendeurs!$A:$G,7,FALSE)),Paramètres!$B$9))</f>
        <v/>
      </c>
      <c r="N332" s="22" t="n"/>
      <c r="O332" s="23">
        <f>IF(H332="","",H332-N332)</f>
        <v/>
      </c>
      <c r="P332" s="25">
        <f>IF(OR(M332="",O332=""),"",IF(O332&lt;=0,0,MAX(0,Paramètres!$B$4-M332)))</f>
        <v/>
      </c>
      <c r="Q332" s="25">
        <f>IF(H332="","",IF(O332&lt;=0,"Payée",IF(M332="","Pas encore livrée",IF(P332=0,"Non échue",IF(P332&gt;=Paramètres!$B$7,"Relance 3 : appel direction",IF(P332&gt;=Paramètres!$B$6,"Relance 2",IF(P332&gt;=Paramètres!$B$5,"Relance 1","Échue, relance à venir")))))))</f>
        <v/>
      </c>
      <c r="R332" s="25">
        <f>IF(B332="","",IF(U332=Paramètres!$B$4,"Relancé aujourd'hui",TRIM(IF(LEFT(Q332,7)="Relance",Q332&amp;" ","")&amp;IF(K332="En retard","· Prévenir du retard de livraison",""))))</f>
        <v/>
      </c>
      <c r="S332" s="28">
        <f>IF(B332="","",IF(LEFT(Q332,9)="Relance 3","Bonjour "&amp;D332&amp;", nous revenons vers vous au sujet de la commande "&amp;A332&amp;" du "&amp;TEXT(B332,"dd/mm/yyyy")&amp;" : "&amp;SUBSTITUTE(TEXT(O332,"#,##0"),","," ")&amp;" FCFA restent à régler depuis le "&amp;TEXT(M332,"dd/mm/yyyy")&amp;". Notre responsable souhaite vous appeler pour convenir ensemble d'une solution. Quel moment vous arrange cette semaine ? "&amp;Paramètres!$B$11&amp;", "&amp;Paramètres!$B$12,IF(LEFT(Q332,7)="Relance","Bonjour "&amp;D332&amp;", sauf erreur de notre part, la commande "&amp;A332&amp;" du "&amp;TEXT(B332,"dd/mm/yyyy")&amp;" ("&amp;E332&amp;") présente un reste à payer de "&amp;SUBSTITUTE(TEXT(O332,"#,##0"),","," ")&amp;" FCFA, échu depuis le "&amp;TEXT(M332,"dd/mm/yyyy")&amp;". Pouvez-vous nous indiquer la date de règlement prévue ? Si le paiement est déjà parti, merci de nous envoyer la preuve et ne tenez pas compte de ce message. "&amp;Paramètres!$B$11&amp;", "&amp;Paramètres!$B$12,IF(K332="En retard","Bonjour "&amp;D332&amp;", votre commande "&amp;A332&amp;" ("&amp;E332&amp;", "&amp;F332&amp;" pièces) prévue le "&amp;TEXT(I332,"dd/mm/yyyy")&amp;" a pris du retard. Nous vous confirmons la nouvelle date de livraison dans la journée. Toutes nos excuses pour ce contretemps. "&amp;Paramètres!$B$11&amp;", "&amp;Paramètres!$B$12,""))))</f>
        <v/>
      </c>
      <c r="T332" s="21" t="n"/>
      <c r="U332" s="26" t="n"/>
      <c r="V332" s="21" t="n"/>
    </row>
    <row r="333">
      <c r="A333" s="21" t="n"/>
      <c r="B333" s="26" t="n"/>
      <c r="C333" s="21" t="n"/>
      <c r="D333" s="25">
        <f>IF(C333="","",IFERROR(VLOOKUP(C333,Revendeurs!$A:$B,2,FALSE),"Code inconnu"))</f>
        <v/>
      </c>
      <c r="E333" s="21" t="n"/>
      <c r="F333" s="21" t="n"/>
      <c r="G333" s="22" t="n"/>
      <c r="H333" s="23">
        <f>IF(OR(F333="",G333=""),"",F333*G333)</f>
        <v/>
      </c>
      <c r="I333" s="26" t="n"/>
      <c r="J333" s="26" t="n"/>
      <c r="K333" s="25">
        <f>IF(B333="","",IF(J333&lt;&gt;"","Livrée",IF(I333="","À planifier",IF(Paramètres!$B$4&gt;I333+Paramètres!$B$8,"En retard","En cours"))))</f>
        <v/>
      </c>
      <c r="L333" s="25">
        <f>IF(K333="En retard",Paramètres!$B$4-I333,"")</f>
        <v/>
      </c>
      <c r="M333" s="27">
        <f>IF(OR(B333="",J333=""),"",J333+IFERROR(IF(VLOOKUP(C333,Revendeurs!$A:$G,7,FALSE)="",Paramètres!$B$9,VLOOKUP(C333,Revendeurs!$A:$G,7,FALSE)),Paramètres!$B$9))</f>
        <v/>
      </c>
      <c r="N333" s="22" t="n"/>
      <c r="O333" s="23">
        <f>IF(H333="","",H333-N333)</f>
        <v/>
      </c>
      <c r="P333" s="25">
        <f>IF(OR(M333="",O333=""),"",IF(O333&lt;=0,0,MAX(0,Paramètres!$B$4-M333)))</f>
        <v/>
      </c>
      <c r="Q333" s="25">
        <f>IF(H333="","",IF(O333&lt;=0,"Payée",IF(M333="","Pas encore livrée",IF(P333=0,"Non échue",IF(P333&gt;=Paramètres!$B$7,"Relance 3 : appel direction",IF(P333&gt;=Paramètres!$B$6,"Relance 2",IF(P333&gt;=Paramètres!$B$5,"Relance 1","Échue, relance à venir")))))))</f>
        <v/>
      </c>
      <c r="R333" s="25">
        <f>IF(B333="","",IF(U333=Paramètres!$B$4,"Relancé aujourd'hui",TRIM(IF(LEFT(Q333,7)="Relance",Q333&amp;" ","")&amp;IF(K333="En retard","· Prévenir du retard de livraison",""))))</f>
        <v/>
      </c>
      <c r="S333" s="28">
        <f>IF(B333="","",IF(LEFT(Q333,9)="Relance 3","Bonjour "&amp;D333&amp;", nous revenons vers vous au sujet de la commande "&amp;A333&amp;" du "&amp;TEXT(B333,"dd/mm/yyyy")&amp;" : "&amp;SUBSTITUTE(TEXT(O333,"#,##0"),","," ")&amp;" FCFA restent à régler depuis le "&amp;TEXT(M333,"dd/mm/yyyy")&amp;". Notre responsable souhaite vous appeler pour convenir ensemble d'une solution. Quel moment vous arrange cette semaine ? "&amp;Paramètres!$B$11&amp;", "&amp;Paramètres!$B$12,IF(LEFT(Q333,7)="Relance","Bonjour "&amp;D333&amp;", sauf erreur de notre part, la commande "&amp;A333&amp;" du "&amp;TEXT(B333,"dd/mm/yyyy")&amp;" ("&amp;E333&amp;") présente un reste à payer de "&amp;SUBSTITUTE(TEXT(O333,"#,##0"),","," ")&amp;" FCFA, échu depuis le "&amp;TEXT(M333,"dd/mm/yyyy")&amp;". Pouvez-vous nous indiquer la date de règlement prévue ? Si le paiement est déjà parti, merci de nous envoyer la preuve et ne tenez pas compte de ce message. "&amp;Paramètres!$B$11&amp;", "&amp;Paramètres!$B$12,IF(K333="En retard","Bonjour "&amp;D333&amp;", votre commande "&amp;A333&amp;" ("&amp;E333&amp;", "&amp;F333&amp;" pièces) prévue le "&amp;TEXT(I333,"dd/mm/yyyy")&amp;" a pris du retard. Nous vous confirmons la nouvelle date de livraison dans la journée. Toutes nos excuses pour ce contretemps. "&amp;Paramètres!$B$11&amp;", "&amp;Paramètres!$B$12,""))))</f>
        <v/>
      </c>
      <c r="T333" s="21" t="n"/>
      <c r="U333" s="26" t="n"/>
      <c r="V333" s="21" t="n"/>
    </row>
    <row r="334">
      <c r="A334" s="21" t="n"/>
      <c r="B334" s="26" t="n"/>
      <c r="C334" s="21" t="n"/>
      <c r="D334" s="25">
        <f>IF(C334="","",IFERROR(VLOOKUP(C334,Revendeurs!$A:$B,2,FALSE),"Code inconnu"))</f>
        <v/>
      </c>
      <c r="E334" s="21" t="n"/>
      <c r="F334" s="21" t="n"/>
      <c r="G334" s="22" t="n"/>
      <c r="H334" s="23">
        <f>IF(OR(F334="",G334=""),"",F334*G334)</f>
        <v/>
      </c>
      <c r="I334" s="26" t="n"/>
      <c r="J334" s="26" t="n"/>
      <c r="K334" s="25">
        <f>IF(B334="","",IF(J334&lt;&gt;"","Livrée",IF(I334="","À planifier",IF(Paramètres!$B$4&gt;I334+Paramètres!$B$8,"En retard","En cours"))))</f>
        <v/>
      </c>
      <c r="L334" s="25">
        <f>IF(K334="En retard",Paramètres!$B$4-I334,"")</f>
        <v/>
      </c>
      <c r="M334" s="27">
        <f>IF(OR(B334="",J334=""),"",J334+IFERROR(IF(VLOOKUP(C334,Revendeurs!$A:$G,7,FALSE)="",Paramètres!$B$9,VLOOKUP(C334,Revendeurs!$A:$G,7,FALSE)),Paramètres!$B$9))</f>
        <v/>
      </c>
      <c r="N334" s="22" t="n"/>
      <c r="O334" s="23">
        <f>IF(H334="","",H334-N334)</f>
        <v/>
      </c>
      <c r="P334" s="25">
        <f>IF(OR(M334="",O334=""),"",IF(O334&lt;=0,0,MAX(0,Paramètres!$B$4-M334)))</f>
        <v/>
      </c>
      <c r="Q334" s="25">
        <f>IF(H334="","",IF(O334&lt;=0,"Payée",IF(M334="","Pas encore livrée",IF(P334=0,"Non échue",IF(P334&gt;=Paramètres!$B$7,"Relance 3 : appel direction",IF(P334&gt;=Paramètres!$B$6,"Relance 2",IF(P334&gt;=Paramètres!$B$5,"Relance 1","Échue, relance à venir")))))))</f>
        <v/>
      </c>
      <c r="R334" s="25">
        <f>IF(B334="","",IF(U334=Paramètres!$B$4,"Relancé aujourd'hui",TRIM(IF(LEFT(Q334,7)="Relance",Q334&amp;" ","")&amp;IF(K334="En retard","· Prévenir du retard de livraison",""))))</f>
        <v/>
      </c>
      <c r="S334" s="28">
        <f>IF(B334="","",IF(LEFT(Q334,9)="Relance 3","Bonjour "&amp;D334&amp;", nous revenons vers vous au sujet de la commande "&amp;A334&amp;" du "&amp;TEXT(B334,"dd/mm/yyyy")&amp;" : "&amp;SUBSTITUTE(TEXT(O334,"#,##0"),","," ")&amp;" FCFA restent à régler depuis le "&amp;TEXT(M334,"dd/mm/yyyy")&amp;". Notre responsable souhaite vous appeler pour convenir ensemble d'une solution. Quel moment vous arrange cette semaine ? "&amp;Paramètres!$B$11&amp;", "&amp;Paramètres!$B$12,IF(LEFT(Q334,7)="Relance","Bonjour "&amp;D334&amp;", sauf erreur de notre part, la commande "&amp;A334&amp;" du "&amp;TEXT(B334,"dd/mm/yyyy")&amp;" ("&amp;E334&amp;") présente un reste à payer de "&amp;SUBSTITUTE(TEXT(O334,"#,##0"),","," ")&amp;" FCFA, échu depuis le "&amp;TEXT(M334,"dd/mm/yyyy")&amp;". Pouvez-vous nous indiquer la date de règlement prévue ? Si le paiement est déjà parti, merci de nous envoyer la preuve et ne tenez pas compte de ce message. "&amp;Paramètres!$B$11&amp;", "&amp;Paramètres!$B$12,IF(K334="En retard","Bonjour "&amp;D334&amp;", votre commande "&amp;A334&amp;" ("&amp;E334&amp;", "&amp;F334&amp;" pièces) prévue le "&amp;TEXT(I334,"dd/mm/yyyy")&amp;" a pris du retard. Nous vous confirmons la nouvelle date de livraison dans la journée. Toutes nos excuses pour ce contretemps. "&amp;Paramètres!$B$11&amp;", "&amp;Paramètres!$B$12,""))))</f>
        <v/>
      </c>
      <c r="T334" s="21" t="n"/>
      <c r="U334" s="26" t="n"/>
      <c r="V334" s="21" t="n"/>
    </row>
    <row r="335">
      <c r="A335" s="21" t="n"/>
      <c r="B335" s="26" t="n"/>
      <c r="C335" s="21" t="n"/>
      <c r="D335" s="25">
        <f>IF(C335="","",IFERROR(VLOOKUP(C335,Revendeurs!$A:$B,2,FALSE),"Code inconnu"))</f>
        <v/>
      </c>
      <c r="E335" s="21" t="n"/>
      <c r="F335" s="21" t="n"/>
      <c r="G335" s="22" t="n"/>
      <c r="H335" s="23">
        <f>IF(OR(F335="",G335=""),"",F335*G335)</f>
        <v/>
      </c>
      <c r="I335" s="26" t="n"/>
      <c r="J335" s="26" t="n"/>
      <c r="K335" s="25">
        <f>IF(B335="","",IF(J335&lt;&gt;"","Livrée",IF(I335="","À planifier",IF(Paramètres!$B$4&gt;I335+Paramètres!$B$8,"En retard","En cours"))))</f>
        <v/>
      </c>
      <c r="L335" s="25">
        <f>IF(K335="En retard",Paramètres!$B$4-I335,"")</f>
        <v/>
      </c>
      <c r="M335" s="27">
        <f>IF(OR(B335="",J335=""),"",J335+IFERROR(IF(VLOOKUP(C335,Revendeurs!$A:$G,7,FALSE)="",Paramètres!$B$9,VLOOKUP(C335,Revendeurs!$A:$G,7,FALSE)),Paramètres!$B$9))</f>
        <v/>
      </c>
      <c r="N335" s="22" t="n"/>
      <c r="O335" s="23">
        <f>IF(H335="","",H335-N335)</f>
        <v/>
      </c>
      <c r="P335" s="25">
        <f>IF(OR(M335="",O335=""),"",IF(O335&lt;=0,0,MAX(0,Paramètres!$B$4-M335)))</f>
        <v/>
      </c>
      <c r="Q335" s="25">
        <f>IF(H335="","",IF(O335&lt;=0,"Payée",IF(M335="","Pas encore livrée",IF(P335=0,"Non échue",IF(P335&gt;=Paramètres!$B$7,"Relance 3 : appel direction",IF(P335&gt;=Paramètres!$B$6,"Relance 2",IF(P335&gt;=Paramètres!$B$5,"Relance 1","Échue, relance à venir")))))))</f>
        <v/>
      </c>
      <c r="R335" s="25">
        <f>IF(B335="","",IF(U335=Paramètres!$B$4,"Relancé aujourd'hui",TRIM(IF(LEFT(Q335,7)="Relance",Q335&amp;" ","")&amp;IF(K335="En retard","· Prévenir du retard de livraison",""))))</f>
        <v/>
      </c>
      <c r="S335" s="28">
        <f>IF(B335="","",IF(LEFT(Q335,9)="Relance 3","Bonjour "&amp;D335&amp;", nous revenons vers vous au sujet de la commande "&amp;A335&amp;" du "&amp;TEXT(B335,"dd/mm/yyyy")&amp;" : "&amp;SUBSTITUTE(TEXT(O335,"#,##0"),","," ")&amp;" FCFA restent à régler depuis le "&amp;TEXT(M335,"dd/mm/yyyy")&amp;". Notre responsable souhaite vous appeler pour convenir ensemble d'une solution. Quel moment vous arrange cette semaine ? "&amp;Paramètres!$B$11&amp;", "&amp;Paramètres!$B$12,IF(LEFT(Q335,7)="Relance","Bonjour "&amp;D335&amp;", sauf erreur de notre part, la commande "&amp;A335&amp;" du "&amp;TEXT(B335,"dd/mm/yyyy")&amp;" ("&amp;E335&amp;") présente un reste à payer de "&amp;SUBSTITUTE(TEXT(O335,"#,##0"),","," ")&amp;" FCFA, échu depuis le "&amp;TEXT(M335,"dd/mm/yyyy")&amp;". Pouvez-vous nous indiquer la date de règlement prévue ? Si le paiement est déjà parti, merci de nous envoyer la preuve et ne tenez pas compte de ce message. "&amp;Paramètres!$B$11&amp;", "&amp;Paramètres!$B$12,IF(K335="En retard","Bonjour "&amp;D335&amp;", votre commande "&amp;A335&amp;" ("&amp;E335&amp;", "&amp;F335&amp;" pièces) prévue le "&amp;TEXT(I335,"dd/mm/yyyy")&amp;" a pris du retard. Nous vous confirmons la nouvelle date de livraison dans la journée. Toutes nos excuses pour ce contretemps. "&amp;Paramètres!$B$11&amp;", "&amp;Paramètres!$B$12,""))))</f>
        <v/>
      </c>
      <c r="T335" s="21" t="n"/>
      <c r="U335" s="26" t="n"/>
      <c r="V335" s="21" t="n"/>
    </row>
    <row r="336">
      <c r="A336" s="21" t="n"/>
      <c r="B336" s="26" t="n"/>
      <c r="C336" s="21" t="n"/>
      <c r="D336" s="25">
        <f>IF(C336="","",IFERROR(VLOOKUP(C336,Revendeurs!$A:$B,2,FALSE),"Code inconnu"))</f>
        <v/>
      </c>
      <c r="E336" s="21" t="n"/>
      <c r="F336" s="21" t="n"/>
      <c r="G336" s="22" t="n"/>
      <c r="H336" s="23">
        <f>IF(OR(F336="",G336=""),"",F336*G336)</f>
        <v/>
      </c>
      <c r="I336" s="26" t="n"/>
      <c r="J336" s="26" t="n"/>
      <c r="K336" s="25">
        <f>IF(B336="","",IF(J336&lt;&gt;"","Livrée",IF(I336="","À planifier",IF(Paramètres!$B$4&gt;I336+Paramètres!$B$8,"En retard","En cours"))))</f>
        <v/>
      </c>
      <c r="L336" s="25">
        <f>IF(K336="En retard",Paramètres!$B$4-I336,"")</f>
        <v/>
      </c>
      <c r="M336" s="27">
        <f>IF(OR(B336="",J336=""),"",J336+IFERROR(IF(VLOOKUP(C336,Revendeurs!$A:$G,7,FALSE)="",Paramètres!$B$9,VLOOKUP(C336,Revendeurs!$A:$G,7,FALSE)),Paramètres!$B$9))</f>
        <v/>
      </c>
      <c r="N336" s="22" t="n"/>
      <c r="O336" s="23">
        <f>IF(H336="","",H336-N336)</f>
        <v/>
      </c>
      <c r="P336" s="25">
        <f>IF(OR(M336="",O336=""),"",IF(O336&lt;=0,0,MAX(0,Paramètres!$B$4-M336)))</f>
        <v/>
      </c>
      <c r="Q336" s="25">
        <f>IF(H336="","",IF(O336&lt;=0,"Payée",IF(M336="","Pas encore livrée",IF(P336=0,"Non échue",IF(P336&gt;=Paramètres!$B$7,"Relance 3 : appel direction",IF(P336&gt;=Paramètres!$B$6,"Relance 2",IF(P336&gt;=Paramètres!$B$5,"Relance 1","Échue, relance à venir")))))))</f>
        <v/>
      </c>
      <c r="R336" s="25">
        <f>IF(B336="","",IF(U336=Paramètres!$B$4,"Relancé aujourd'hui",TRIM(IF(LEFT(Q336,7)="Relance",Q336&amp;" ","")&amp;IF(K336="En retard","· Prévenir du retard de livraison",""))))</f>
        <v/>
      </c>
      <c r="S336" s="28">
        <f>IF(B336="","",IF(LEFT(Q336,9)="Relance 3","Bonjour "&amp;D336&amp;", nous revenons vers vous au sujet de la commande "&amp;A336&amp;" du "&amp;TEXT(B336,"dd/mm/yyyy")&amp;" : "&amp;SUBSTITUTE(TEXT(O336,"#,##0"),","," ")&amp;" FCFA restent à régler depuis le "&amp;TEXT(M336,"dd/mm/yyyy")&amp;". Notre responsable souhaite vous appeler pour convenir ensemble d'une solution. Quel moment vous arrange cette semaine ? "&amp;Paramètres!$B$11&amp;", "&amp;Paramètres!$B$12,IF(LEFT(Q336,7)="Relance","Bonjour "&amp;D336&amp;", sauf erreur de notre part, la commande "&amp;A336&amp;" du "&amp;TEXT(B336,"dd/mm/yyyy")&amp;" ("&amp;E336&amp;") présente un reste à payer de "&amp;SUBSTITUTE(TEXT(O336,"#,##0"),","," ")&amp;" FCFA, échu depuis le "&amp;TEXT(M336,"dd/mm/yyyy")&amp;". Pouvez-vous nous indiquer la date de règlement prévue ? Si le paiement est déjà parti, merci de nous envoyer la preuve et ne tenez pas compte de ce message. "&amp;Paramètres!$B$11&amp;", "&amp;Paramètres!$B$12,IF(K336="En retard","Bonjour "&amp;D336&amp;", votre commande "&amp;A336&amp;" ("&amp;E336&amp;", "&amp;F336&amp;" pièces) prévue le "&amp;TEXT(I336,"dd/mm/yyyy")&amp;" a pris du retard. Nous vous confirmons la nouvelle date de livraison dans la journée. Toutes nos excuses pour ce contretemps. "&amp;Paramètres!$B$11&amp;", "&amp;Paramètres!$B$12,""))))</f>
        <v/>
      </c>
      <c r="T336" s="21" t="n"/>
      <c r="U336" s="26" t="n"/>
      <c r="V336" s="21" t="n"/>
    </row>
    <row r="337">
      <c r="A337" s="21" t="n"/>
      <c r="B337" s="26" t="n"/>
      <c r="C337" s="21" t="n"/>
      <c r="D337" s="25">
        <f>IF(C337="","",IFERROR(VLOOKUP(C337,Revendeurs!$A:$B,2,FALSE),"Code inconnu"))</f>
        <v/>
      </c>
      <c r="E337" s="21" t="n"/>
      <c r="F337" s="21" t="n"/>
      <c r="G337" s="22" t="n"/>
      <c r="H337" s="23">
        <f>IF(OR(F337="",G337=""),"",F337*G337)</f>
        <v/>
      </c>
      <c r="I337" s="26" t="n"/>
      <c r="J337" s="26" t="n"/>
      <c r="K337" s="25">
        <f>IF(B337="","",IF(J337&lt;&gt;"","Livrée",IF(I337="","À planifier",IF(Paramètres!$B$4&gt;I337+Paramètres!$B$8,"En retard","En cours"))))</f>
        <v/>
      </c>
      <c r="L337" s="25">
        <f>IF(K337="En retard",Paramètres!$B$4-I337,"")</f>
        <v/>
      </c>
      <c r="M337" s="27">
        <f>IF(OR(B337="",J337=""),"",J337+IFERROR(IF(VLOOKUP(C337,Revendeurs!$A:$G,7,FALSE)="",Paramètres!$B$9,VLOOKUP(C337,Revendeurs!$A:$G,7,FALSE)),Paramètres!$B$9))</f>
        <v/>
      </c>
      <c r="N337" s="22" t="n"/>
      <c r="O337" s="23">
        <f>IF(H337="","",H337-N337)</f>
        <v/>
      </c>
      <c r="P337" s="25">
        <f>IF(OR(M337="",O337=""),"",IF(O337&lt;=0,0,MAX(0,Paramètres!$B$4-M337)))</f>
        <v/>
      </c>
      <c r="Q337" s="25">
        <f>IF(H337="","",IF(O337&lt;=0,"Payée",IF(M337="","Pas encore livrée",IF(P337=0,"Non échue",IF(P337&gt;=Paramètres!$B$7,"Relance 3 : appel direction",IF(P337&gt;=Paramètres!$B$6,"Relance 2",IF(P337&gt;=Paramètres!$B$5,"Relance 1","Échue, relance à venir")))))))</f>
        <v/>
      </c>
      <c r="R337" s="25">
        <f>IF(B337="","",IF(U337=Paramètres!$B$4,"Relancé aujourd'hui",TRIM(IF(LEFT(Q337,7)="Relance",Q337&amp;" ","")&amp;IF(K337="En retard","· Prévenir du retard de livraison",""))))</f>
        <v/>
      </c>
      <c r="S337" s="28">
        <f>IF(B337="","",IF(LEFT(Q337,9)="Relance 3","Bonjour "&amp;D337&amp;", nous revenons vers vous au sujet de la commande "&amp;A337&amp;" du "&amp;TEXT(B337,"dd/mm/yyyy")&amp;" : "&amp;SUBSTITUTE(TEXT(O337,"#,##0"),","," ")&amp;" FCFA restent à régler depuis le "&amp;TEXT(M337,"dd/mm/yyyy")&amp;". Notre responsable souhaite vous appeler pour convenir ensemble d'une solution. Quel moment vous arrange cette semaine ? "&amp;Paramètres!$B$11&amp;", "&amp;Paramètres!$B$12,IF(LEFT(Q337,7)="Relance","Bonjour "&amp;D337&amp;", sauf erreur de notre part, la commande "&amp;A337&amp;" du "&amp;TEXT(B337,"dd/mm/yyyy")&amp;" ("&amp;E337&amp;") présente un reste à payer de "&amp;SUBSTITUTE(TEXT(O337,"#,##0"),","," ")&amp;" FCFA, échu depuis le "&amp;TEXT(M337,"dd/mm/yyyy")&amp;". Pouvez-vous nous indiquer la date de règlement prévue ? Si le paiement est déjà parti, merci de nous envoyer la preuve et ne tenez pas compte de ce message. "&amp;Paramètres!$B$11&amp;", "&amp;Paramètres!$B$12,IF(K337="En retard","Bonjour "&amp;D337&amp;", votre commande "&amp;A337&amp;" ("&amp;E337&amp;", "&amp;F337&amp;" pièces) prévue le "&amp;TEXT(I337,"dd/mm/yyyy")&amp;" a pris du retard. Nous vous confirmons la nouvelle date de livraison dans la journée. Toutes nos excuses pour ce contretemps. "&amp;Paramètres!$B$11&amp;", "&amp;Paramètres!$B$12,""))))</f>
        <v/>
      </c>
      <c r="T337" s="21" t="n"/>
      <c r="U337" s="26" t="n"/>
      <c r="V337" s="21" t="n"/>
    </row>
    <row r="338">
      <c r="A338" s="21" t="n"/>
      <c r="B338" s="26" t="n"/>
      <c r="C338" s="21" t="n"/>
      <c r="D338" s="25">
        <f>IF(C338="","",IFERROR(VLOOKUP(C338,Revendeurs!$A:$B,2,FALSE),"Code inconnu"))</f>
        <v/>
      </c>
      <c r="E338" s="21" t="n"/>
      <c r="F338" s="21" t="n"/>
      <c r="G338" s="22" t="n"/>
      <c r="H338" s="23">
        <f>IF(OR(F338="",G338=""),"",F338*G338)</f>
        <v/>
      </c>
      <c r="I338" s="26" t="n"/>
      <c r="J338" s="26" t="n"/>
      <c r="K338" s="25">
        <f>IF(B338="","",IF(J338&lt;&gt;"","Livrée",IF(I338="","À planifier",IF(Paramètres!$B$4&gt;I338+Paramètres!$B$8,"En retard","En cours"))))</f>
        <v/>
      </c>
      <c r="L338" s="25">
        <f>IF(K338="En retard",Paramètres!$B$4-I338,"")</f>
        <v/>
      </c>
      <c r="M338" s="27">
        <f>IF(OR(B338="",J338=""),"",J338+IFERROR(IF(VLOOKUP(C338,Revendeurs!$A:$G,7,FALSE)="",Paramètres!$B$9,VLOOKUP(C338,Revendeurs!$A:$G,7,FALSE)),Paramètres!$B$9))</f>
        <v/>
      </c>
      <c r="N338" s="22" t="n"/>
      <c r="O338" s="23">
        <f>IF(H338="","",H338-N338)</f>
        <v/>
      </c>
      <c r="P338" s="25">
        <f>IF(OR(M338="",O338=""),"",IF(O338&lt;=0,0,MAX(0,Paramètres!$B$4-M338)))</f>
        <v/>
      </c>
      <c r="Q338" s="25">
        <f>IF(H338="","",IF(O338&lt;=0,"Payée",IF(M338="","Pas encore livrée",IF(P338=0,"Non échue",IF(P338&gt;=Paramètres!$B$7,"Relance 3 : appel direction",IF(P338&gt;=Paramètres!$B$6,"Relance 2",IF(P338&gt;=Paramètres!$B$5,"Relance 1","Échue, relance à venir")))))))</f>
        <v/>
      </c>
      <c r="R338" s="25">
        <f>IF(B338="","",IF(U338=Paramètres!$B$4,"Relancé aujourd'hui",TRIM(IF(LEFT(Q338,7)="Relance",Q338&amp;" ","")&amp;IF(K338="En retard","· Prévenir du retard de livraison",""))))</f>
        <v/>
      </c>
      <c r="S338" s="28">
        <f>IF(B338="","",IF(LEFT(Q338,9)="Relance 3","Bonjour "&amp;D338&amp;", nous revenons vers vous au sujet de la commande "&amp;A338&amp;" du "&amp;TEXT(B338,"dd/mm/yyyy")&amp;" : "&amp;SUBSTITUTE(TEXT(O338,"#,##0"),","," ")&amp;" FCFA restent à régler depuis le "&amp;TEXT(M338,"dd/mm/yyyy")&amp;". Notre responsable souhaite vous appeler pour convenir ensemble d'une solution. Quel moment vous arrange cette semaine ? "&amp;Paramètres!$B$11&amp;", "&amp;Paramètres!$B$12,IF(LEFT(Q338,7)="Relance","Bonjour "&amp;D338&amp;", sauf erreur de notre part, la commande "&amp;A338&amp;" du "&amp;TEXT(B338,"dd/mm/yyyy")&amp;" ("&amp;E338&amp;") présente un reste à payer de "&amp;SUBSTITUTE(TEXT(O338,"#,##0"),","," ")&amp;" FCFA, échu depuis le "&amp;TEXT(M338,"dd/mm/yyyy")&amp;". Pouvez-vous nous indiquer la date de règlement prévue ? Si le paiement est déjà parti, merci de nous envoyer la preuve et ne tenez pas compte de ce message. "&amp;Paramètres!$B$11&amp;", "&amp;Paramètres!$B$12,IF(K338="En retard","Bonjour "&amp;D338&amp;", votre commande "&amp;A338&amp;" ("&amp;E338&amp;", "&amp;F338&amp;" pièces) prévue le "&amp;TEXT(I338,"dd/mm/yyyy")&amp;" a pris du retard. Nous vous confirmons la nouvelle date de livraison dans la journée. Toutes nos excuses pour ce contretemps. "&amp;Paramètres!$B$11&amp;", "&amp;Paramètres!$B$12,""))))</f>
        <v/>
      </c>
      <c r="T338" s="21" t="n"/>
      <c r="U338" s="26" t="n"/>
      <c r="V338" s="21" t="n"/>
    </row>
    <row r="339">
      <c r="A339" s="21" t="n"/>
      <c r="B339" s="26" t="n"/>
      <c r="C339" s="21" t="n"/>
      <c r="D339" s="25">
        <f>IF(C339="","",IFERROR(VLOOKUP(C339,Revendeurs!$A:$B,2,FALSE),"Code inconnu"))</f>
        <v/>
      </c>
      <c r="E339" s="21" t="n"/>
      <c r="F339" s="21" t="n"/>
      <c r="G339" s="22" t="n"/>
      <c r="H339" s="23">
        <f>IF(OR(F339="",G339=""),"",F339*G339)</f>
        <v/>
      </c>
      <c r="I339" s="26" t="n"/>
      <c r="J339" s="26" t="n"/>
      <c r="K339" s="25">
        <f>IF(B339="","",IF(J339&lt;&gt;"","Livrée",IF(I339="","À planifier",IF(Paramètres!$B$4&gt;I339+Paramètres!$B$8,"En retard","En cours"))))</f>
        <v/>
      </c>
      <c r="L339" s="25">
        <f>IF(K339="En retard",Paramètres!$B$4-I339,"")</f>
        <v/>
      </c>
      <c r="M339" s="27">
        <f>IF(OR(B339="",J339=""),"",J339+IFERROR(IF(VLOOKUP(C339,Revendeurs!$A:$G,7,FALSE)="",Paramètres!$B$9,VLOOKUP(C339,Revendeurs!$A:$G,7,FALSE)),Paramètres!$B$9))</f>
        <v/>
      </c>
      <c r="N339" s="22" t="n"/>
      <c r="O339" s="23">
        <f>IF(H339="","",H339-N339)</f>
        <v/>
      </c>
      <c r="P339" s="25">
        <f>IF(OR(M339="",O339=""),"",IF(O339&lt;=0,0,MAX(0,Paramètres!$B$4-M339)))</f>
        <v/>
      </c>
      <c r="Q339" s="25">
        <f>IF(H339="","",IF(O339&lt;=0,"Payée",IF(M339="","Pas encore livrée",IF(P339=0,"Non échue",IF(P339&gt;=Paramètres!$B$7,"Relance 3 : appel direction",IF(P339&gt;=Paramètres!$B$6,"Relance 2",IF(P339&gt;=Paramètres!$B$5,"Relance 1","Échue, relance à venir")))))))</f>
        <v/>
      </c>
      <c r="R339" s="25">
        <f>IF(B339="","",IF(U339=Paramètres!$B$4,"Relancé aujourd'hui",TRIM(IF(LEFT(Q339,7)="Relance",Q339&amp;" ","")&amp;IF(K339="En retard","· Prévenir du retard de livraison",""))))</f>
        <v/>
      </c>
      <c r="S339" s="28">
        <f>IF(B339="","",IF(LEFT(Q339,9)="Relance 3","Bonjour "&amp;D339&amp;", nous revenons vers vous au sujet de la commande "&amp;A339&amp;" du "&amp;TEXT(B339,"dd/mm/yyyy")&amp;" : "&amp;SUBSTITUTE(TEXT(O339,"#,##0"),","," ")&amp;" FCFA restent à régler depuis le "&amp;TEXT(M339,"dd/mm/yyyy")&amp;". Notre responsable souhaite vous appeler pour convenir ensemble d'une solution. Quel moment vous arrange cette semaine ? "&amp;Paramètres!$B$11&amp;", "&amp;Paramètres!$B$12,IF(LEFT(Q339,7)="Relance","Bonjour "&amp;D339&amp;", sauf erreur de notre part, la commande "&amp;A339&amp;" du "&amp;TEXT(B339,"dd/mm/yyyy")&amp;" ("&amp;E339&amp;") présente un reste à payer de "&amp;SUBSTITUTE(TEXT(O339,"#,##0"),","," ")&amp;" FCFA, échu depuis le "&amp;TEXT(M339,"dd/mm/yyyy")&amp;". Pouvez-vous nous indiquer la date de règlement prévue ? Si le paiement est déjà parti, merci de nous envoyer la preuve et ne tenez pas compte de ce message. "&amp;Paramètres!$B$11&amp;", "&amp;Paramètres!$B$12,IF(K339="En retard","Bonjour "&amp;D339&amp;", votre commande "&amp;A339&amp;" ("&amp;E339&amp;", "&amp;F339&amp;" pièces) prévue le "&amp;TEXT(I339,"dd/mm/yyyy")&amp;" a pris du retard. Nous vous confirmons la nouvelle date de livraison dans la journée. Toutes nos excuses pour ce contretemps. "&amp;Paramètres!$B$11&amp;", "&amp;Paramètres!$B$12,""))))</f>
        <v/>
      </c>
      <c r="T339" s="21" t="n"/>
      <c r="U339" s="26" t="n"/>
      <c r="V339" s="21" t="n"/>
    </row>
    <row r="340">
      <c r="A340" s="21" t="n"/>
      <c r="B340" s="26" t="n"/>
      <c r="C340" s="21" t="n"/>
      <c r="D340" s="25">
        <f>IF(C340="","",IFERROR(VLOOKUP(C340,Revendeurs!$A:$B,2,FALSE),"Code inconnu"))</f>
        <v/>
      </c>
      <c r="E340" s="21" t="n"/>
      <c r="F340" s="21" t="n"/>
      <c r="G340" s="22" t="n"/>
      <c r="H340" s="23">
        <f>IF(OR(F340="",G340=""),"",F340*G340)</f>
        <v/>
      </c>
      <c r="I340" s="26" t="n"/>
      <c r="J340" s="26" t="n"/>
      <c r="K340" s="25">
        <f>IF(B340="","",IF(J340&lt;&gt;"","Livrée",IF(I340="","À planifier",IF(Paramètres!$B$4&gt;I340+Paramètres!$B$8,"En retard","En cours"))))</f>
        <v/>
      </c>
      <c r="L340" s="25">
        <f>IF(K340="En retard",Paramètres!$B$4-I340,"")</f>
        <v/>
      </c>
      <c r="M340" s="27">
        <f>IF(OR(B340="",J340=""),"",J340+IFERROR(IF(VLOOKUP(C340,Revendeurs!$A:$G,7,FALSE)="",Paramètres!$B$9,VLOOKUP(C340,Revendeurs!$A:$G,7,FALSE)),Paramètres!$B$9))</f>
        <v/>
      </c>
      <c r="N340" s="22" t="n"/>
      <c r="O340" s="23">
        <f>IF(H340="","",H340-N340)</f>
        <v/>
      </c>
      <c r="P340" s="25">
        <f>IF(OR(M340="",O340=""),"",IF(O340&lt;=0,0,MAX(0,Paramètres!$B$4-M340)))</f>
        <v/>
      </c>
      <c r="Q340" s="25">
        <f>IF(H340="","",IF(O340&lt;=0,"Payée",IF(M340="","Pas encore livrée",IF(P340=0,"Non échue",IF(P340&gt;=Paramètres!$B$7,"Relance 3 : appel direction",IF(P340&gt;=Paramètres!$B$6,"Relance 2",IF(P340&gt;=Paramètres!$B$5,"Relance 1","Échue, relance à venir")))))))</f>
        <v/>
      </c>
      <c r="R340" s="25">
        <f>IF(B340="","",IF(U340=Paramètres!$B$4,"Relancé aujourd'hui",TRIM(IF(LEFT(Q340,7)="Relance",Q340&amp;" ","")&amp;IF(K340="En retard","· Prévenir du retard de livraison",""))))</f>
        <v/>
      </c>
      <c r="S340" s="28">
        <f>IF(B340="","",IF(LEFT(Q340,9)="Relance 3","Bonjour "&amp;D340&amp;", nous revenons vers vous au sujet de la commande "&amp;A340&amp;" du "&amp;TEXT(B340,"dd/mm/yyyy")&amp;" : "&amp;SUBSTITUTE(TEXT(O340,"#,##0"),","," ")&amp;" FCFA restent à régler depuis le "&amp;TEXT(M340,"dd/mm/yyyy")&amp;". Notre responsable souhaite vous appeler pour convenir ensemble d'une solution. Quel moment vous arrange cette semaine ? "&amp;Paramètres!$B$11&amp;", "&amp;Paramètres!$B$12,IF(LEFT(Q340,7)="Relance","Bonjour "&amp;D340&amp;", sauf erreur de notre part, la commande "&amp;A340&amp;" du "&amp;TEXT(B340,"dd/mm/yyyy")&amp;" ("&amp;E340&amp;") présente un reste à payer de "&amp;SUBSTITUTE(TEXT(O340,"#,##0"),","," ")&amp;" FCFA, échu depuis le "&amp;TEXT(M340,"dd/mm/yyyy")&amp;". Pouvez-vous nous indiquer la date de règlement prévue ? Si le paiement est déjà parti, merci de nous envoyer la preuve et ne tenez pas compte de ce message. "&amp;Paramètres!$B$11&amp;", "&amp;Paramètres!$B$12,IF(K340="En retard","Bonjour "&amp;D340&amp;", votre commande "&amp;A340&amp;" ("&amp;E340&amp;", "&amp;F340&amp;" pièces) prévue le "&amp;TEXT(I340,"dd/mm/yyyy")&amp;" a pris du retard. Nous vous confirmons la nouvelle date de livraison dans la journée. Toutes nos excuses pour ce contretemps. "&amp;Paramètres!$B$11&amp;", "&amp;Paramètres!$B$12,""))))</f>
        <v/>
      </c>
      <c r="T340" s="21" t="n"/>
      <c r="U340" s="26" t="n"/>
      <c r="V340" s="21" t="n"/>
    </row>
    <row r="341">
      <c r="A341" s="21" t="n"/>
      <c r="B341" s="26" t="n"/>
      <c r="C341" s="21" t="n"/>
      <c r="D341" s="25">
        <f>IF(C341="","",IFERROR(VLOOKUP(C341,Revendeurs!$A:$B,2,FALSE),"Code inconnu"))</f>
        <v/>
      </c>
      <c r="E341" s="21" t="n"/>
      <c r="F341" s="21" t="n"/>
      <c r="G341" s="22" t="n"/>
      <c r="H341" s="23">
        <f>IF(OR(F341="",G341=""),"",F341*G341)</f>
        <v/>
      </c>
      <c r="I341" s="26" t="n"/>
      <c r="J341" s="26" t="n"/>
      <c r="K341" s="25">
        <f>IF(B341="","",IF(J341&lt;&gt;"","Livrée",IF(I341="","À planifier",IF(Paramètres!$B$4&gt;I341+Paramètres!$B$8,"En retard","En cours"))))</f>
        <v/>
      </c>
      <c r="L341" s="25">
        <f>IF(K341="En retard",Paramètres!$B$4-I341,"")</f>
        <v/>
      </c>
      <c r="M341" s="27">
        <f>IF(OR(B341="",J341=""),"",J341+IFERROR(IF(VLOOKUP(C341,Revendeurs!$A:$G,7,FALSE)="",Paramètres!$B$9,VLOOKUP(C341,Revendeurs!$A:$G,7,FALSE)),Paramètres!$B$9))</f>
        <v/>
      </c>
      <c r="N341" s="22" t="n"/>
      <c r="O341" s="23">
        <f>IF(H341="","",H341-N341)</f>
        <v/>
      </c>
      <c r="P341" s="25">
        <f>IF(OR(M341="",O341=""),"",IF(O341&lt;=0,0,MAX(0,Paramètres!$B$4-M341)))</f>
        <v/>
      </c>
      <c r="Q341" s="25">
        <f>IF(H341="","",IF(O341&lt;=0,"Payée",IF(M341="","Pas encore livrée",IF(P341=0,"Non échue",IF(P341&gt;=Paramètres!$B$7,"Relance 3 : appel direction",IF(P341&gt;=Paramètres!$B$6,"Relance 2",IF(P341&gt;=Paramètres!$B$5,"Relance 1","Échue, relance à venir")))))))</f>
        <v/>
      </c>
      <c r="R341" s="25">
        <f>IF(B341="","",IF(U341=Paramètres!$B$4,"Relancé aujourd'hui",TRIM(IF(LEFT(Q341,7)="Relance",Q341&amp;" ","")&amp;IF(K341="En retard","· Prévenir du retard de livraison",""))))</f>
        <v/>
      </c>
      <c r="S341" s="28">
        <f>IF(B341="","",IF(LEFT(Q341,9)="Relance 3","Bonjour "&amp;D341&amp;", nous revenons vers vous au sujet de la commande "&amp;A341&amp;" du "&amp;TEXT(B341,"dd/mm/yyyy")&amp;" : "&amp;SUBSTITUTE(TEXT(O341,"#,##0"),","," ")&amp;" FCFA restent à régler depuis le "&amp;TEXT(M341,"dd/mm/yyyy")&amp;". Notre responsable souhaite vous appeler pour convenir ensemble d'une solution. Quel moment vous arrange cette semaine ? "&amp;Paramètres!$B$11&amp;", "&amp;Paramètres!$B$12,IF(LEFT(Q341,7)="Relance","Bonjour "&amp;D341&amp;", sauf erreur de notre part, la commande "&amp;A341&amp;" du "&amp;TEXT(B341,"dd/mm/yyyy")&amp;" ("&amp;E341&amp;") présente un reste à payer de "&amp;SUBSTITUTE(TEXT(O341,"#,##0"),","," ")&amp;" FCFA, échu depuis le "&amp;TEXT(M341,"dd/mm/yyyy")&amp;". Pouvez-vous nous indiquer la date de règlement prévue ? Si le paiement est déjà parti, merci de nous envoyer la preuve et ne tenez pas compte de ce message. "&amp;Paramètres!$B$11&amp;", "&amp;Paramètres!$B$12,IF(K341="En retard","Bonjour "&amp;D341&amp;", votre commande "&amp;A341&amp;" ("&amp;E341&amp;", "&amp;F341&amp;" pièces) prévue le "&amp;TEXT(I341,"dd/mm/yyyy")&amp;" a pris du retard. Nous vous confirmons la nouvelle date de livraison dans la journée. Toutes nos excuses pour ce contretemps. "&amp;Paramètres!$B$11&amp;", "&amp;Paramètres!$B$12,""))))</f>
        <v/>
      </c>
      <c r="T341" s="21" t="n"/>
      <c r="U341" s="26" t="n"/>
      <c r="V341" s="21" t="n"/>
    </row>
    <row r="342">
      <c r="A342" s="21" t="n"/>
      <c r="B342" s="26" t="n"/>
      <c r="C342" s="21" t="n"/>
      <c r="D342" s="25">
        <f>IF(C342="","",IFERROR(VLOOKUP(C342,Revendeurs!$A:$B,2,FALSE),"Code inconnu"))</f>
        <v/>
      </c>
      <c r="E342" s="21" t="n"/>
      <c r="F342" s="21" t="n"/>
      <c r="G342" s="22" t="n"/>
      <c r="H342" s="23">
        <f>IF(OR(F342="",G342=""),"",F342*G342)</f>
        <v/>
      </c>
      <c r="I342" s="26" t="n"/>
      <c r="J342" s="26" t="n"/>
      <c r="K342" s="25">
        <f>IF(B342="","",IF(J342&lt;&gt;"","Livrée",IF(I342="","À planifier",IF(Paramètres!$B$4&gt;I342+Paramètres!$B$8,"En retard","En cours"))))</f>
        <v/>
      </c>
      <c r="L342" s="25">
        <f>IF(K342="En retard",Paramètres!$B$4-I342,"")</f>
        <v/>
      </c>
      <c r="M342" s="27">
        <f>IF(OR(B342="",J342=""),"",J342+IFERROR(IF(VLOOKUP(C342,Revendeurs!$A:$G,7,FALSE)="",Paramètres!$B$9,VLOOKUP(C342,Revendeurs!$A:$G,7,FALSE)),Paramètres!$B$9))</f>
        <v/>
      </c>
      <c r="N342" s="22" t="n"/>
      <c r="O342" s="23">
        <f>IF(H342="","",H342-N342)</f>
        <v/>
      </c>
      <c r="P342" s="25">
        <f>IF(OR(M342="",O342=""),"",IF(O342&lt;=0,0,MAX(0,Paramètres!$B$4-M342)))</f>
        <v/>
      </c>
      <c r="Q342" s="25">
        <f>IF(H342="","",IF(O342&lt;=0,"Payée",IF(M342="","Pas encore livrée",IF(P342=0,"Non échue",IF(P342&gt;=Paramètres!$B$7,"Relance 3 : appel direction",IF(P342&gt;=Paramètres!$B$6,"Relance 2",IF(P342&gt;=Paramètres!$B$5,"Relance 1","Échue, relance à venir")))))))</f>
        <v/>
      </c>
      <c r="R342" s="25">
        <f>IF(B342="","",IF(U342=Paramètres!$B$4,"Relancé aujourd'hui",TRIM(IF(LEFT(Q342,7)="Relance",Q342&amp;" ","")&amp;IF(K342="En retard","· Prévenir du retard de livraison",""))))</f>
        <v/>
      </c>
      <c r="S342" s="28">
        <f>IF(B342="","",IF(LEFT(Q342,9)="Relance 3","Bonjour "&amp;D342&amp;", nous revenons vers vous au sujet de la commande "&amp;A342&amp;" du "&amp;TEXT(B342,"dd/mm/yyyy")&amp;" : "&amp;SUBSTITUTE(TEXT(O342,"#,##0"),","," ")&amp;" FCFA restent à régler depuis le "&amp;TEXT(M342,"dd/mm/yyyy")&amp;". Notre responsable souhaite vous appeler pour convenir ensemble d'une solution. Quel moment vous arrange cette semaine ? "&amp;Paramètres!$B$11&amp;", "&amp;Paramètres!$B$12,IF(LEFT(Q342,7)="Relance","Bonjour "&amp;D342&amp;", sauf erreur de notre part, la commande "&amp;A342&amp;" du "&amp;TEXT(B342,"dd/mm/yyyy")&amp;" ("&amp;E342&amp;") présente un reste à payer de "&amp;SUBSTITUTE(TEXT(O342,"#,##0"),","," ")&amp;" FCFA, échu depuis le "&amp;TEXT(M342,"dd/mm/yyyy")&amp;". Pouvez-vous nous indiquer la date de règlement prévue ? Si le paiement est déjà parti, merci de nous envoyer la preuve et ne tenez pas compte de ce message. "&amp;Paramètres!$B$11&amp;", "&amp;Paramètres!$B$12,IF(K342="En retard","Bonjour "&amp;D342&amp;", votre commande "&amp;A342&amp;" ("&amp;E342&amp;", "&amp;F342&amp;" pièces) prévue le "&amp;TEXT(I342,"dd/mm/yyyy")&amp;" a pris du retard. Nous vous confirmons la nouvelle date de livraison dans la journée. Toutes nos excuses pour ce contretemps. "&amp;Paramètres!$B$11&amp;", "&amp;Paramètres!$B$12,""))))</f>
        <v/>
      </c>
      <c r="T342" s="21" t="n"/>
      <c r="U342" s="26" t="n"/>
      <c r="V342" s="21" t="n"/>
    </row>
    <row r="343">
      <c r="A343" s="21" t="n"/>
      <c r="B343" s="26" t="n"/>
      <c r="C343" s="21" t="n"/>
      <c r="D343" s="25">
        <f>IF(C343="","",IFERROR(VLOOKUP(C343,Revendeurs!$A:$B,2,FALSE),"Code inconnu"))</f>
        <v/>
      </c>
      <c r="E343" s="21" t="n"/>
      <c r="F343" s="21" t="n"/>
      <c r="G343" s="22" t="n"/>
      <c r="H343" s="23">
        <f>IF(OR(F343="",G343=""),"",F343*G343)</f>
        <v/>
      </c>
      <c r="I343" s="26" t="n"/>
      <c r="J343" s="26" t="n"/>
      <c r="K343" s="25">
        <f>IF(B343="","",IF(J343&lt;&gt;"","Livrée",IF(I343="","À planifier",IF(Paramètres!$B$4&gt;I343+Paramètres!$B$8,"En retard","En cours"))))</f>
        <v/>
      </c>
      <c r="L343" s="25">
        <f>IF(K343="En retard",Paramètres!$B$4-I343,"")</f>
        <v/>
      </c>
      <c r="M343" s="27">
        <f>IF(OR(B343="",J343=""),"",J343+IFERROR(IF(VLOOKUP(C343,Revendeurs!$A:$G,7,FALSE)="",Paramètres!$B$9,VLOOKUP(C343,Revendeurs!$A:$G,7,FALSE)),Paramètres!$B$9))</f>
        <v/>
      </c>
      <c r="N343" s="22" t="n"/>
      <c r="O343" s="23">
        <f>IF(H343="","",H343-N343)</f>
        <v/>
      </c>
      <c r="P343" s="25">
        <f>IF(OR(M343="",O343=""),"",IF(O343&lt;=0,0,MAX(0,Paramètres!$B$4-M343)))</f>
        <v/>
      </c>
      <c r="Q343" s="25">
        <f>IF(H343="","",IF(O343&lt;=0,"Payée",IF(M343="","Pas encore livrée",IF(P343=0,"Non échue",IF(P343&gt;=Paramètres!$B$7,"Relance 3 : appel direction",IF(P343&gt;=Paramètres!$B$6,"Relance 2",IF(P343&gt;=Paramètres!$B$5,"Relance 1","Échue, relance à venir")))))))</f>
        <v/>
      </c>
      <c r="R343" s="25">
        <f>IF(B343="","",IF(U343=Paramètres!$B$4,"Relancé aujourd'hui",TRIM(IF(LEFT(Q343,7)="Relance",Q343&amp;" ","")&amp;IF(K343="En retard","· Prévenir du retard de livraison",""))))</f>
        <v/>
      </c>
      <c r="S343" s="28">
        <f>IF(B343="","",IF(LEFT(Q343,9)="Relance 3","Bonjour "&amp;D343&amp;", nous revenons vers vous au sujet de la commande "&amp;A343&amp;" du "&amp;TEXT(B343,"dd/mm/yyyy")&amp;" : "&amp;SUBSTITUTE(TEXT(O343,"#,##0"),","," ")&amp;" FCFA restent à régler depuis le "&amp;TEXT(M343,"dd/mm/yyyy")&amp;". Notre responsable souhaite vous appeler pour convenir ensemble d'une solution. Quel moment vous arrange cette semaine ? "&amp;Paramètres!$B$11&amp;", "&amp;Paramètres!$B$12,IF(LEFT(Q343,7)="Relance","Bonjour "&amp;D343&amp;", sauf erreur de notre part, la commande "&amp;A343&amp;" du "&amp;TEXT(B343,"dd/mm/yyyy")&amp;" ("&amp;E343&amp;") présente un reste à payer de "&amp;SUBSTITUTE(TEXT(O343,"#,##0"),","," ")&amp;" FCFA, échu depuis le "&amp;TEXT(M343,"dd/mm/yyyy")&amp;". Pouvez-vous nous indiquer la date de règlement prévue ? Si le paiement est déjà parti, merci de nous envoyer la preuve et ne tenez pas compte de ce message. "&amp;Paramètres!$B$11&amp;", "&amp;Paramètres!$B$12,IF(K343="En retard","Bonjour "&amp;D343&amp;", votre commande "&amp;A343&amp;" ("&amp;E343&amp;", "&amp;F343&amp;" pièces) prévue le "&amp;TEXT(I343,"dd/mm/yyyy")&amp;" a pris du retard. Nous vous confirmons la nouvelle date de livraison dans la journée. Toutes nos excuses pour ce contretemps. "&amp;Paramètres!$B$11&amp;", "&amp;Paramètres!$B$12,""))))</f>
        <v/>
      </c>
      <c r="T343" s="21" t="n"/>
      <c r="U343" s="26" t="n"/>
      <c r="V343" s="21" t="n"/>
    </row>
    <row r="344">
      <c r="A344" s="21" t="n"/>
      <c r="B344" s="26" t="n"/>
      <c r="C344" s="21" t="n"/>
      <c r="D344" s="25">
        <f>IF(C344="","",IFERROR(VLOOKUP(C344,Revendeurs!$A:$B,2,FALSE),"Code inconnu"))</f>
        <v/>
      </c>
      <c r="E344" s="21" t="n"/>
      <c r="F344" s="21" t="n"/>
      <c r="G344" s="22" t="n"/>
      <c r="H344" s="23">
        <f>IF(OR(F344="",G344=""),"",F344*G344)</f>
        <v/>
      </c>
      <c r="I344" s="26" t="n"/>
      <c r="J344" s="26" t="n"/>
      <c r="K344" s="25">
        <f>IF(B344="","",IF(J344&lt;&gt;"","Livrée",IF(I344="","À planifier",IF(Paramètres!$B$4&gt;I344+Paramètres!$B$8,"En retard","En cours"))))</f>
        <v/>
      </c>
      <c r="L344" s="25">
        <f>IF(K344="En retard",Paramètres!$B$4-I344,"")</f>
        <v/>
      </c>
      <c r="M344" s="27">
        <f>IF(OR(B344="",J344=""),"",J344+IFERROR(IF(VLOOKUP(C344,Revendeurs!$A:$G,7,FALSE)="",Paramètres!$B$9,VLOOKUP(C344,Revendeurs!$A:$G,7,FALSE)),Paramètres!$B$9))</f>
        <v/>
      </c>
      <c r="N344" s="22" t="n"/>
      <c r="O344" s="23">
        <f>IF(H344="","",H344-N344)</f>
        <v/>
      </c>
      <c r="P344" s="25">
        <f>IF(OR(M344="",O344=""),"",IF(O344&lt;=0,0,MAX(0,Paramètres!$B$4-M344)))</f>
        <v/>
      </c>
      <c r="Q344" s="25">
        <f>IF(H344="","",IF(O344&lt;=0,"Payée",IF(M344="","Pas encore livrée",IF(P344=0,"Non échue",IF(P344&gt;=Paramètres!$B$7,"Relance 3 : appel direction",IF(P344&gt;=Paramètres!$B$6,"Relance 2",IF(P344&gt;=Paramètres!$B$5,"Relance 1","Échue, relance à venir")))))))</f>
        <v/>
      </c>
      <c r="R344" s="25">
        <f>IF(B344="","",IF(U344=Paramètres!$B$4,"Relancé aujourd'hui",TRIM(IF(LEFT(Q344,7)="Relance",Q344&amp;" ","")&amp;IF(K344="En retard","· Prévenir du retard de livraison",""))))</f>
        <v/>
      </c>
      <c r="S344" s="28">
        <f>IF(B344="","",IF(LEFT(Q344,9)="Relance 3","Bonjour "&amp;D344&amp;", nous revenons vers vous au sujet de la commande "&amp;A344&amp;" du "&amp;TEXT(B344,"dd/mm/yyyy")&amp;" : "&amp;SUBSTITUTE(TEXT(O344,"#,##0"),","," ")&amp;" FCFA restent à régler depuis le "&amp;TEXT(M344,"dd/mm/yyyy")&amp;". Notre responsable souhaite vous appeler pour convenir ensemble d'une solution. Quel moment vous arrange cette semaine ? "&amp;Paramètres!$B$11&amp;", "&amp;Paramètres!$B$12,IF(LEFT(Q344,7)="Relance","Bonjour "&amp;D344&amp;", sauf erreur de notre part, la commande "&amp;A344&amp;" du "&amp;TEXT(B344,"dd/mm/yyyy")&amp;" ("&amp;E344&amp;") présente un reste à payer de "&amp;SUBSTITUTE(TEXT(O344,"#,##0"),","," ")&amp;" FCFA, échu depuis le "&amp;TEXT(M344,"dd/mm/yyyy")&amp;". Pouvez-vous nous indiquer la date de règlement prévue ? Si le paiement est déjà parti, merci de nous envoyer la preuve et ne tenez pas compte de ce message. "&amp;Paramètres!$B$11&amp;", "&amp;Paramètres!$B$12,IF(K344="En retard","Bonjour "&amp;D344&amp;", votre commande "&amp;A344&amp;" ("&amp;E344&amp;", "&amp;F344&amp;" pièces) prévue le "&amp;TEXT(I344,"dd/mm/yyyy")&amp;" a pris du retard. Nous vous confirmons la nouvelle date de livraison dans la journée. Toutes nos excuses pour ce contretemps. "&amp;Paramètres!$B$11&amp;", "&amp;Paramètres!$B$12,""))))</f>
        <v/>
      </c>
      <c r="T344" s="21" t="n"/>
      <c r="U344" s="26" t="n"/>
      <c r="V344" s="21" t="n"/>
    </row>
    <row r="345">
      <c r="A345" s="21" t="n"/>
      <c r="B345" s="26" t="n"/>
      <c r="C345" s="21" t="n"/>
      <c r="D345" s="25">
        <f>IF(C345="","",IFERROR(VLOOKUP(C345,Revendeurs!$A:$B,2,FALSE),"Code inconnu"))</f>
        <v/>
      </c>
      <c r="E345" s="21" t="n"/>
      <c r="F345" s="21" t="n"/>
      <c r="G345" s="22" t="n"/>
      <c r="H345" s="23">
        <f>IF(OR(F345="",G345=""),"",F345*G345)</f>
        <v/>
      </c>
      <c r="I345" s="26" t="n"/>
      <c r="J345" s="26" t="n"/>
      <c r="K345" s="25">
        <f>IF(B345="","",IF(J345&lt;&gt;"","Livrée",IF(I345="","À planifier",IF(Paramètres!$B$4&gt;I345+Paramètres!$B$8,"En retard","En cours"))))</f>
        <v/>
      </c>
      <c r="L345" s="25">
        <f>IF(K345="En retard",Paramètres!$B$4-I345,"")</f>
        <v/>
      </c>
      <c r="M345" s="27">
        <f>IF(OR(B345="",J345=""),"",J345+IFERROR(IF(VLOOKUP(C345,Revendeurs!$A:$G,7,FALSE)="",Paramètres!$B$9,VLOOKUP(C345,Revendeurs!$A:$G,7,FALSE)),Paramètres!$B$9))</f>
        <v/>
      </c>
      <c r="N345" s="22" t="n"/>
      <c r="O345" s="23">
        <f>IF(H345="","",H345-N345)</f>
        <v/>
      </c>
      <c r="P345" s="25">
        <f>IF(OR(M345="",O345=""),"",IF(O345&lt;=0,0,MAX(0,Paramètres!$B$4-M345)))</f>
        <v/>
      </c>
      <c r="Q345" s="25">
        <f>IF(H345="","",IF(O345&lt;=0,"Payée",IF(M345="","Pas encore livrée",IF(P345=0,"Non échue",IF(P345&gt;=Paramètres!$B$7,"Relance 3 : appel direction",IF(P345&gt;=Paramètres!$B$6,"Relance 2",IF(P345&gt;=Paramètres!$B$5,"Relance 1","Échue, relance à venir")))))))</f>
        <v/>
      </c>
      <c r="R345" s="25">
        <f>IF(B345="","",IF(U345=Paramètres!$B$4,"Relancé aujourd'hui",TRIM(IF(LEFT(Q345,7)="Relance",Q345&amp;" ","")&amp;IF(K345="En retard","· Prévenir du retard de livraison",""))))</f>
        <v/>
      </c>
      <c r="S345" s="28">
        <f>IF(B345="","",IF(LEFT(Q345,9)="Relance 3","Bonjour "&amp;D345&amp;", nous revenons vers vous au sujet de la commande "&amp;A345&amp;" du "&amp;TEXT(B345,"dd/mm/yyyy")&amp;" : "&amp;SUBSTITUTE(TEXT(O345,"#,##0"),","," ")&amp;" FCFA restent à régler depuis le "&amp;TEXT(M345,"dd/mm/yyyy")&amp;". Notre responsable souhaite vous appeler pour convenir ensemble d'une solution. Quel moment vous arrange cette semaine ? "&amp;Paramètres!$B$11&amp;", "&amp;Paramètres!$B$12,IF(LEFT(Q345,7)="Relance","Bonjour "&amp;D345&amp;", sauf erreur de notre part, la commande "&amp;A345&amp;" du "&amp;TEXT(B345,"dd/mm/yyyy")&amp;" ("&amp;E345&amp;") présente un reste à payer de "&amp;SUBSTITUTE(TEXT(O345,"#,##0"),","," ")&amp;" FCFA, échu depuis le "&amp;TEXT(M345,"dd/mm/yyyy")&amp;". Pouvez-vous nous indiquer la date de règlement prévue ? Si le paiement est déjà parti, merci de nous envoyer la preuve et ne tenez pas compte de ce message. "&amp;Paramètres!$B$11&amp;", "&amp;Paramètres!$B$12,IF(K345="En retard","Bonjour "&amp;D345&amp;", votre commande "&amp;A345&amp;" ("&amp;E345&amp;", "&amp;F345&amp;" pièces) prévue le "&amp;TEXT(I345,"dd/mm/yyyy")&amp;" a pris du retard. Nous vous confirmons la nouvelle date de livraison dans la journée. Toutes nos excuses pour ce contretemps. "&amp;Paramètres!$B$11&amp;", "&amp;Paramètres!$B$12,""))))</f>
        <v/>
      </c>
      <c r="T345" s="21" t="n"/>
      <c r="U345" s="26" t="n"/>
      <c r="V345" s="21" t="n"/>
    </row>
    <row r="346">
      <c r="A346" s="21" t="n"/>
      <c r="B346" s="26" t="n"/>
      <c r="C346" s="21" t="n"/>
      <c r="D346" s="25">
        <f>IF(C346="","",IFERROR(VLOOKUP(C346,Revendeurs!$A:$B,2,FALSE),"Code inconnu"))</f>
        <v/>
      </c>
      <c r="E346" s="21" t="n"/>
      <c r="F346" s="21" t="n"/>
      <c r="G346" s="22" t="n"/>
      <c r="H346" s="23">
        <f>IF(OR(F346="",G346=""),"",F346*G346)</f>
        <v/>
      </c>
      <c r="I346" s="26" t="n"/>
      <c r="J346" s="26" t="n"/>
      <c r="K346" s="25">
        <f>IF(B346="","",IF(J346&lt;&gt;"","Livrée",IF(I346="","À planifier",IF(Paramètres!$B$4&gt;I346+Paramètres!$B$8,"En retard","En cours"))))</f>
        <v/>
      </c>
      <c r="L346" s="25">
        <f>IF(K346="En retard",Paramètres!$B$4-I346,"")</f>
        <v/>
      </c>
      <c r="M346" s="27">
        <f>IF(OR(B346="",J346=""),"",J346+IFERROR(IF(VLOOKUP(C346,Revendeurs!$A:$G,7,FALSE)="",Paramètres!$B$9,VLOOKUP(C346,Revendeurs!$A:$G,7,FALSE)),Paramètres!$B$9))</f>
        <v/>
      </c>
      <c r="N346" s="22" t="n"/>
      <c r="O346" s="23">
        <f>IF(H346="","",H346-N346)</f>
        <v/>
      </c>
      <c r="P346" s="25">
        <f>IF(OR(M346="",O346=""),"",IF(O346&lt;=0,0,MAX(0,Paramètres!$B$4-M346)))</f>
        <v/>
      </c>
      <c r="Q346" s="25">
        <f>IF(H346="","",IF(O346&lt;=0,"Payée",IF(M346="","Pas encore livrée",IF(P346=0,"Non échue",IF(P346&gt;=Paramètres!$B$7,"Relance 3 : appel direction",IF(P346&gt;=Paramètres!$B$6,"Relance 2",IF(P346&gt;=Paramètres!$B$5,"Relance 1","Échue, relance à venir")))))))</f>
        <v/>
      </c>
      <c r="R346" s="25">
        <f>IF(B346="","",IF(U346=Paramètres!$B$4,"Relancé aujourd'hui",TRIM(IF(LEFT(Q346,7)="Relance",Q346&amp;" ","")&amp;IF(K346="En retard","· Prévenir du retard de livraison",""))))</f>
        <v/>
      </c>
      <c r="S346" s="28">
        <f>IF(B346="","",IF(LEFT(Q346,9)="Relance 3","Bonjour "&amp;D346&amp;", nous revenons vers vous au sujet de la commande "&amp;A346&amp;" du "&amp;TEXT(B346,"dd/mm/yyyy")&amp;" : "&amp;SUBSTITUTE(TEXT(O346,"#,##0"),","," ")&amp;" FCFA restent à régler depuis le "&amp;TEXT(M346,"dd/mm/yyyy")&amp;". Notre responsable souhaite vous appeler pour convenir ensemble d'une solution. Quel moment vous arrange cette semaine ? "&amp;Paramètres!$B$11&amp;", "&amp;Paramètres!$B$12,IF(LEFT(Q346,7)="Relance","Bonjour "&amp;D346&amp;", sauf erreur de notre part, la commande "&amp;A346&amp;" du "&amp;TEXT(B346,"dd/mm/yyyy")&amp;" ("&amp;E346&amp;") présente un reste à payer de "&amp;SUBSTITUTE(TEXT(O346,"#,##0"),","," ")&amp;" FCFA, échu depuis le "&amp;TEXT(M346,"dd/mm/yyyy")&amp;". Pouvez-vous nous indiquer la date de règlement prévue ? Si le paiement est déjà parti, merci de nous envoyer la preuve et ne tenez pas compte de ce message. "&amp;Paramètres!$B$11&amp;", "&amp;Paramètres!$B$12,IF(K346="En retard","Bonjour "&amp;D346&amp;", votre commande "&amp;A346&amp;" ("&amp;E346&amp;", "&amp;F346&amp;" pièces) prévue le "&amp;TEXT(I346,"dd/mm/yyyy")&amp;" a pris du retard. Nous vous confirmons la nouvelle date de livraison dans la journée. Toutes nos excuses pour ce contretemps. "&amp;Paramètres!$B$11&amp;", "&amp;Paramètres!$B$12,""))))</f>
        <v/>
      </c>
      <c r="T346" s="21" t="n"/>
      <c r="U346" s="26" t="n"/>
      <c r="V346" s="21" t="n"/>
    </row>
    <row r="347">
      <c r="A347" s="21" t="n"/>
      <c r="B347" s="26" t="n"/>
      <c r="C347" s="21" t="n"/>
      <c r="D347" s="25">
        <f>IF(C347="","",IFERROR(VLOOKUP(C347,Revendeurs!$A:$B,2,FALSE),"Code inconnu"))</f>
        <v/>
      </c>
      <c r="E347" s="21" t="n"/>
      <c r="F347" s="21" t="n"/>
      <c r="G347" s="22" t="n"/>
      <c r="H347" s="23">
        <f>IF(OR(F347="",G347=""),"",F347*G347)</f>
        <v/>
      </c>
      <c r="I347" s="26" t="n"/>
      <c r="J347" s="26" t="n"/>
      <c r="K347" s="25">
        <f>IF(B347="","",IF(J347&lt;&gt;"","Livrée",IF(I347="","À planifier",IF(Paramètres!$B$4&gt;I347+Paramètres!$B$8,"En retard","En cours"))))</f>
        <v/>
      </c>
      <c r="L347" s="25">
        <f>IF(K347="En retard",Paramètres!$B$4-I347,"")</f>
        <v/>
      </c>
      <c r="M347" s="27">
        <f>IF(OR(B347="",J347=""),"",J347+IFERROR(IF(VLOOKUP(C347,Revendeurs!$A:$G,7,FALSE)="",Paramètres!$B$9,VLOOKUP(C347,Revendeurs!$A:$G,7,FALSE)),Paramètres!$B$9))</f>
        <v/>
      </c>
      <c r="N347" s="22" t="n"/>
      <c r="O347" s="23">
        <f>IF(H347="","",H347-N347)</f>
        <v/>
      </c>
      <c r="P347" s="25">
        <f>IF(OR(M347="",O347=""),"",IF(O347&lt;=0,0,MAX(0,Paramètres!$B$4-M347)))</f>
        <v/>
      </c>
      <c r="Q347" s="25">
        <f>IF(H347="","",IF(O347&lt;=0,"Payée",IF(M347="","Pas encore livrée",IF(P347=0,"Non échue",IF(P347&gt;=Paramètres!$B$7,"Relance 3 : appel direction",IF(P347&gt;=Paramètres!$B$6,"Relance 2",IF(P347&gt;=Paramètres!$B$5,"Relance 1","Échue, relance à venir")))))))</f>
        <v/>
      </c>
      <c r="R347" s="25">
        <f>IF(B347="","",IF(U347=Paramètres!$B$4,"Relancé aujourd'hui",TRIM(IF(LEFT(Q347,7)="Relance",Q347&amp;" ","")&amp;IF(K347="En retard","· Prévenir du retard de livraison",""))))</f>
        <v/>
      </c>
      <c r="S347" s="28">
        <f>IF(B347="","",IF(LEFT(Q347,9)="Relance 3","Bonjour "&amp;D347&amp;", nous revenons vers vous au sujet de la commande "&amp;A347&amp;" du "&amp;TEXT(B347,"dd/mm/yyyy")&amp;" : "&amp;SUBSTITUTE(TEXT(O347,"#,##0"),","," ")&amp;" FCFA restent à régler depuis le "&amp;TEXT(M347,"dd/mm/yyyy")&amp;". Notre responsable souhaite vous appeler pour convenir ensemble d'une solution. Quel moment vous arrange cette semaine ? "&amp;Paramètres!$B$11&amp;", "&amp;Paramètres!$B$12,IF(LEFT(Q347,7)="Relance","Bonjour "&amp;D347&amp;", sauf erreur de notre part, la commande "&amp;A347&amp;" du "&amp;TEXT(B347,"dd/mm/yyyy")&amp;" ("&amp;E347&amp;") présente un reste à payer de "&amp;SUBSTITUTE(TEXT(O347,"#,##0"),","," ")&amp;" FCFA, échu depuis le "&amp;TEXT(M347,"dd/mm/yyyy")&amp;". Pouvez-vous nous indiquer la date de règlement prévue ? Si le paiement est déjà parti, merci de nous envoyer la preuve et ne tenez pas compte de ce message. "&amp;Paramètres!$B$11&amp;", "&amp;Paramètres!$B$12,IF(K347="En retard","Bonjour "&amp;D347&amp;", votre commande "&amp;A347&amp;" ("&amp;E347&amp;", "&amp;F347&amp;" pièces) prévue le "&amp;TEXT(I347,"dd/mm/yyyy")&amp;" a pris du retard. Nous vous confirmons la nouvelle date de livraison dans la journée. Toutes nos excuses pour ce contretemps. "&amp;Paramètres!$B$11&amp;", "&amp;Paramètres!$B$12,""))))</f>
        <v/>
      </c>
      <c r="T347" s="21" t="n"/>
      <c r="U347" s="26" t="n"/>
      <c r="V347" s="21" t="n"/>
    </row>
    <row r="348">
      <c r="A348" s="21" t="n"/>
      <c r="B348" s="26" t="n"/>
      <c r="C348" s="21" t="n"/>
      <c r="D348" s="25">
        <f>IF(C348="","",IFERROR(VLOOKUP(C348,Revendeurs!$A:$B,2,FALSE),"Code inconnu"))</f>
        <v/>
      </c>
      <c r="E348" s="21" t="n"/>
      <c r="F348" s="21" t="n"/>
      <c r="G348" s="22" t="n"/>
      <c r="H348" s="23">
        <f>IF(OR(F348="",G348=""),"",F348*G348)</f>
        <v/>
      </c>
      <c r="I348" s="26" t="n"/>
      <c r="J348" s="26" t="n"/>
      <c r="K348" s="25">
        <f>IF(B348="","",IF(J348&lt;&gt;"","Livrée",IF(I348="","À planifier",IF(Paramètres!$B$4&gt;I348+Paramètres!$B$8,"En retard","En cours"))))</f>
        <v/>
      </c>
      <c r="L348" s="25">
        <f>IF(K348="En retard",Paramètres!$B$4-I348,"")</f>
        <v/>
      </c>
      <c r="M348" s="27">
        <f>IF(OR(B348="",J348=""),"",J348+IFERROR(IF(VLOOKUP(C348,Revendeurs!$A:$G,7,FALSE)="",Paramètres!$B$9,VLOOKUP(C348,Revendeurs!$A:$G,7,FALSE)),Paramètres!$B$9))</f>
        <v/>
      </c>
      <c r="N348" s="22" t="n"/>
      <c r="O348" s="23">
        <f>IF(H348="","",H348-N348)</f>
        <v/>
      </c>
      <c r="P348" s="25">
        <f>IF(OR(M348="",O348=""),"",IF(O348&lt;=0,0,MAX(0,Paramètres!$B$4-M348)))</f>
        <v/>
      </c>
      <c r="Q348" s="25">
        <f>IF(H348="","",IF(O348&lt;=0,"Payée",IF(M348="","Pas encore livrée",IF(P348=0,"Non échue",IF(P348&gt;=Paramètres!$B$7,"Relance 3 : appel direction",IF(P348&gt;=Paramètres!$B$6,"Relance 2",IF(P348&gt;=Paramètres!$B$5,"Relance 1","Échue, relance à venir")))))))</f>
        <v/>
      </c>
      <c r="R348" s="25">
        <f>IF(B348="","",IF(U348=Paramètres!$B$4,"Relancé aujourd'hui",TRIM(IF(LEFT(Q348,7)="Relance",Q348&amp;" ","")&amp;IF(K348="En retard","· Prévenir du retard de livraison",""))))</f>
        <v/>
      </c>
      <c r="S348" s="28">
        <f>IF(B348="","",IF(LEFT(Q348,9)="Relance 3","Bonjour "&amp;D348&amp;", nous revenons vers vous au sujet de la commande "&amp;A348&amp;" du "&amp;TEXT(B348,"dd/mm/yyyy")&amp;" : "&amp;SUBSTITUTE(TEXT(O348,"#,##0"),","," ")&amp;" FCFA restent à régler depuis le "&amp;TEXT(M348,"dd/mm/yyyy")&amp;". Notre responsable souhaite vous appeler pour convenir ensemble d'une solution. Quel moment vous arrange cette semaine ? "&amp;Paramètres!$B$11&amp;", "&amp;Paramètres!$B$12,IF(LEFT(Q348,7)="Relance","Bonjour "&amp;D348&amp;", sauf erreur de notre part, la commande "&amp;A348&amp;" du "&amp;TEXT(B348,"dd/mm/yyyy")&amp;" ("&amp;E348&amp;") présente un reste à payer de "&amp;SUBSTITUTE(TEXT(O348,"#,##0"),","," ")&amp;" FCFA, échu depuis le "&amp;TEXT(M348,"dd/mm/yyyy")&amp;". Pouvez-vous nous indiquer la date de règlement prévue ? Si le paiement est déjà parti, merci de nous envoyer la preuve et ne tenez pas compte de ce message. "&amp;Paramètres!$B$11&amp;", "&amp;Paramètres!$B$12,IF(K348="En retard","Bonjour "&amp;D348&amp;", votre commande "&amp;A348&amp;" ("&amp;E348&amp;", "&amp;F348&amp;" pièces) prévue le "&amp;TEXT(I348,"dd/mm/yyyy")&amp;" a pris du retard. Nous vous confirmons la nouvelle date de livraison dans la journée. Toutes nos excuses pour ce contretemps. "&amp;Paramètres!$B$11&amp;", "&amp;Paramètres!$B$12,""))))</f>
        <v/>
      </c>
      <c r="T348" s="21" t="n"/>
      <c r="U348" s="26" t="n"/>
      <c r="V348" s="21" t="n"/>
    </row>
    <row r="349">
      <c r="A349" s="21" t="n"/>
      <c r="B349" s="26" t="n"/>
      <c r="C349" s="21" t="n"/>
      <c r="D349" s="25">
        <f>IF(C349="","",IFERROR(VLOOKUP(C349,Revendeurs!$A:$B,2,FALSE),"Code inconnu"))</f>
        <v/>
      </c>
      <c r="E349" s="21" t="n"/>
      <c r="F349" s="21" t="n"/>
      <c r="G349" s="22" t="n"/>
      <c r="H349" s="23">
        <f>IF(OR(F349="",G349=""),"",F349*G349)</f>
        <v/>
      </c>
      <c r="I349" s="26" t="n"/>
      <c r="J349" s="26" t="n"/>
      <c r="K349" s="25">
        <f>IF(B349="","",IF(J349&lt;&gt;"","Livrée",IF(I349="","À planifier",IF(Paramètres!$B$4&gt;I349+Paramètres!$B$8,"En retard","En cours"))))</f>
        <v/>
      </c>
      <c r="L349" s="25">
        <f>IF(K349="En retard",Paramètres!$B$4-I349,"")</f>
        <v/>
      </c>
      <c r="M349" s="27">
        <f>IF(OR(B349="",J349=""),"",J349+IFERROR(IF(VLOOKUP(C349,Revendeurs!$A:$G,7,FALSE)="",Paramètres!$B$9,VLOOKUP(C349,Revendeurs!$A:$G,7,FALSE)),Paramètres!$B$9))</f>
        <v/>
      </c>
      <c r="N349" s="22" t="n"/>
      <c r="O349" s="23">
        <f>IF(H349="","",H349-N349)</f>
        <v/>
      </c>
      <c r="P349" s="25">
        <f>IF(OR(M349="",O349=""),"",IF(O349&lt;=0,0,MAX(0,Paramètres!$B$4-M349)))</f>
        <v/>
      </c>
      <c r="Q349" s="25">
        <f>IF(H349="","",IF(O349&lt;=0,"Payée",IF(M349="","Pas encore livrée",IF(P349=0,"Non échue",IF(P349&gt;=Paramètres!$B$7,"Relance 3 : appel direction",IF(P349&gt;=Paramètres!$B$6,"Relance 2",IF(P349&gt;=Paramètres!$B$5,"Relance 1","Échue, relance à venir")))))))</f>
        <v/>
      </c>
      <c r="R349" s="25">
        <f>IF(B349="","",IF(U349=Paramètres!$B$4,"Relancé aujourd'hui",TRIM(IF(LEFT(Q349,7)="Relance",Q349&amp;" ","")&amp;IF(K349="En retard","· Prévenir du retard de livraison",""))))</f>
        <v/>
      </c>
      <c r="S349" s="28">
        <f>IF(B349="","",IF(LEFT(Q349,9)="Relance 3","Bonjour "&amp;D349&amp;", nous revenons vers vous au sujet de la commande "&amp;A349&amp;" du "&amp;TEXT(B349,"dd/mm/yyyy")&amp;" : "&amp;SUBSTITUTE(TEXT(O349,"#,##0"),","," ")&amp;" FCFA restent à régler depuis le "&amp;TEXT(M349,"dd/mm/yyyy")&amp;". Notre responsable souhaite vous appeler pour convenir ensemble d'une solution. Quel moment vous arrange cette semaine ? "&amp;Paramètres!$B$11&amp;", "&amp;Paramètres!$B$12,IF(LEFT(Q349,7)="Relance","Bonjour "&amp;D349&amp;", sauf erreur de notre part, la commande "&amp;A349&amp;" du "&amp;TEXT(B349,"dd/mm/yyyy")&amp;" ("&amp;E349&amp;") présente un reste à payer de "&amp;SUBSTITUTE(TEXT(O349,"#,##0"),","," ")&amp;" FCFA, échu depuis le "&amp;TEXT(M349,"dd/mm/yyyy")&amp;". Pouvez-vous nous indiquer la date de règlement prévue ? Si le paiement est déjà parti, merci de nous envoyer la preuve et ne tenez pas compte de ce message. "&amp;Paramètres!$B$11&amp;", "&amp;Paramètres!$B$12,IF(K349="En retard","Bonjour "&amp;D349&amp;", votre commande "&amp;A349&amp;" ("&amp;E349&amp;", "&amp;F349&amp;" pièces) prévue le "&amp;TEXT(I349,"dd/mm/yyyy")&amp;" a pris du retard. Nous vous confirmons la nouvelle date de livraison dans la journée. Toutes nos excuses pour ce contretemps. "&amp;Paramètres!$B$11&amp;", "&amp;Paramètres!$B$12,""))))</f>
        <v/>
      </c>
      <c r="T349" s="21" t="n"/>
      <c r="U349" s="26" t="n"/>
      <c r="V349" s="21" t="n"/>
    </row>
    <row r="350">
      <c r="A350" s="21" t="n"/>
      <c r="B350" s="26" t="n"/>
      <c r="C350" s="21" t="n"/>
      <c r="D350" s="25">
        <f>IF(C350="","",IFERROR(VLOOKUP(C350,Revendeurs!$A:$B,2,FALSE),"Code inconnu"))</f>
        <v/>
      </c>
      <c r="E350" s="21" t="n"/>
      <c r="F350" s="21" t="n"/>
      <c r="G350" s="22" t="n"/>
      <c r="H350" s="23">
        <f>IF(OR(F350="",G350=""),"",F350*G350)</f>
        <v/>
      </c>
      <c r="I350" s="26" t="n"/>
      <c r="J350" s="26" t="n"/>
      <c r="K350" s="25">
        <f>IF(B350="","",IF(J350&lt;&gt;"","Livrée",IF(I350="","À planifier",IF(Paramètres!$B$4&gt;I350+Paramètres!$B$8,"En retard","En cours"))))</f>
        <v/>
      </c>
      <c r="L350" s="25">
        <f>IF(K350="En retard",Paramètres!$B$4-I350,"")</f>
        <v/>
      </c>
      <c r="M350" s="27">
        <f>IF(OR(B350="",J350=""),"",J350+IFERROR(IF(VLOOKUP(C350,Revendeurs!$A:$G,7,FALSE)="",Paramètres!$B$9,VLOOKUP(C350,Revendeurs!$A:$G,7,FALSE)),Paramètres!$B$9))</f>
        <v/>
      </c>
      <c r="N350" s="22" t="n"/>
      <c r="O350" s="23">
        <f>IF(H350="","",H350-N350)</f>
        <v/>
      </c>
      <c r="P350" s="25">
        <f>IF(OR(M350="",O350=""),"",IF(O350&lt;=0,0,MAX(0,Paramètres!$B$4-M350)))</f>
        <v/>
      </c>
      <c r="Q350" s="25">
        <f>IF(H350="","",IF(O350&lt;=0,"Payée",IF(M350="","Pas encore livrée",IF(P350=0,"Non échue",IF(P350&gt;=Paramètres!$B$7,"Relance 3 : appel direction",IF(P350&gt;=Paramètres!$B$6,"Relance 2",IF(P350&gt;=Paramètres!$B$5,"Relance 1","Échue, relance à venir")))))))</f>
        <v/>
      </c>
      <c r="R350" s="25">
        <f>IF(B350="","",IF(U350=Paramètres!$B$4,"Relancé aujourd'hui",TRIM(IF(LEFT(Q350,7)="Relance",Q350&amp;" ","")&amp;IF(K350="En retard","· Prévenir du retard de livraison",""))))</f>
        <v/>
      </c>
      <c r="S350" s="28">
        <f>IF(B350="","",IF(LEFT(Q350,9)="Relance 3","Bonjour "&amp;D350&amp;", nous revenons vers vous au sujet de la commande "&amp;A350&amp;" du "&amp;TEXT(B350,"dd/mm/yyyy")&amp;" : "&amp;SUBSTITUTE(TEXT(O350,"#,##0"),","," ")&amp;" FCFA restent à régler depuis le "&amp;TEXT(M350,"dd/mm/yyyy")&amp;". Notre responsable souhaite vous appeler pour convenir ensemble d'une solution. Quel moment vous arrange cette semaine ? "&amp;Paramètres!$B$11&amp;", "&amp;Paramètres!$B$12,IF(LEFT(Q350,7)="Relance","Bonjour "&amp;D350&amp;", sauf erreur de notre part, la commande "&amp;A350&amp;" du "&amp;TEXT(B350,"dd/mm/yyyy")&amp;" ("&amp;E350&amp;") présente un reste à payer de "&amp;SUBSTITUTE(TEXT(O350,"#,##0"),","," ")&amp;" FCFA, échu depuis le "&amp;TEXT(M350,"dd/mm/yyyy")&amp;". Pouvez-vous nous indiquer la date de règlement prévue ? Si le paiement est déjà parti, merci de nous envoyer la preuve et ne tenez pas compte de ce message. "&amp;Paramètres!$B$11&amp;", "&amp;Paramètres!$B$12,IF(K350="En retard","Bonjour "&amp;D350&amp;", votre commande "&amp;A350&amp;" ("&amp;E350&amp;", "&amp;F350&amp;" pièces) prévue le "&amp;TEXT(I350,"dd/mm/yyyy")&amp;" a pris du retard. Nous vous confirmons la nouvelle date de livraison dans la journée. Toutes nos excuses pour ce contretemps. "&amp;Paramètres!$B$11&amp;", "&amp;Paramètres!$B$12,""))))</f>
        <v/>
      </c>
      <c r="T350" s="21" t="n"/>
      <c r="U350" s="26" t="n"/>
      <c r="V350" s="21" t="n"/>
    </row>
    <row r="351">
      <c r="A351" s="21" t="n"/>
      <c r="B351" s="26" t="n"/>
      <c r="C351" s="21" t="n"/>
      <c r="D351" s="25">
        <f>IF(C351="","",IFERROR(VLOOKUP(C351,Revendeurs!$A:$B,2,FALSE),"Code inconnu"))</f>
        <v/>
      </c>
      <c r="E351" s="21" t="n"/>
      <c r="F351" s="21" t="n"/>
      <c r="G351" s="22" t="n"/>
      <c r="H351" s="23">
        <f>IF(OR(F351="",G351=""),"",F351*G351)</f>
        <v/>
      </c>
      <c r="I351" s="26" t="n"/>
      <c r="J351" s="26" t="n"/>
      <c r="K351" s="25">
        <f>IF(B351="","",IF(J351&lt;&gt;"","Livrée",IF(I351="","À planifier",IF(Paramètres!$B$4&gt;I351+Paramètres!$B$8,"En retard","En cours"))))</f>
        <v/>
      </c>
      <c r="L351" s="25">
        <f>IF(K351="En retard",Paramètres!$B$4-I351,"")</f>
        <v/>
      </c>
      <c r="M351" s="27">
        <f>IF(OR(B351="",J351=""),"",J351+IFERROR(IF(VLOOKUP(C351,Revendeurs!$A:$G,7,FALSE)="",Paramètres!$B$9,VLOOKUP(C351,Revendeurs!$A:$G,7,FALSE)),Paramètres!$B$9))</f>
        <v/>
      </c>
      <c r="N351" s="22" t="n"/>
      <c r="O351" s="23">
        <f>IF(H351="","",H351-N351)</f>
        <v/>
      </c>
      <c r="P351" s="25">
        <f>IF(OR(M351="",O351=""),"",IF(O351&lt;=0,0,MAX(0,Paramètres!$B$4-M351)))</f>
        <v/>
      </c>
      <c r="Q351" s="25">
        <f>IF(H351="","",IF(O351&lt;=0,"Payée",IF(M351="","Pas encore livrée",IF(P351=0,"Non échue",IF(P351&gt;=Paramètres!$B$7,"Relance 3 : appel direction",IF(P351&gt;=Paramètres!$B$6,"Relance 2",IF(P351&gt;=Paramètres!$B$5,"Relance 1","Échue, relance à venir")))))))</f>
        <v/>
      </c>
      <c r="R351" s="25">
        <f>IF(B351="","",IF(U351=Paramètres!$B$4,"Relancé aujourd'hui",TRIM(IF(LEFT(Q351,7)="Relance",Q351&amp;" ","")&amp;IF(K351="En retard","· Prévenir du retard de livraison",""))))</f>
        <v/>
      </c>
      <c r="S351" s="28">
        <f>IF(B351="","",IF(LEFT(Q351,9)="Relance 3","Bonjour "&amp;D351&amp;", nous revenons vers vous au sujet de la commande "&amp;A351&amp;" du "&amp;TEXT(B351,"dd/mm/yyyy")&amp;" : "&amp;SUBSTITUTE(TEXT(O351,"#,##0"),","," ")&amp;" FCFA restent à régler depuis le "&amp;TEXT(M351,"dd/mm/yyyy")&amp;". Notre responsable souhaite vous appeler pour convenir ensemble d'une solution. Quel moment vous arrange cette semaine ? "&amp;Paramètres!$B$11&amp;", "&amp;Paramètres!$B$12,IF(LEFT(Q351,7)="Relance","Bonjour "&amp;D351&amp;", sauf erreur de notre part, la commande "&amp;A351&amp;" du "&amp;TEXT(B351,"dd/mm/yyyy")&amp;" ("&amp;E351&amp;") présente un reste à payer de "&amp;SUBSTITUTE(TEXT(O351,"#,##0"),","," ")&amp;" FCFA, échu depuis le "&amp;TEXT(M351,"dd/mm/yyyy")&amp;". Pouvez-vous nous indiquer la date de règlement prévue ? Si le paiement est déjà parti, merci de nous envoyer la preuve et ne tenez pas compte de ce message. "&amp;Paramètres!$B$11&amp;", "&amp;Paramètres!$B$12,IF(K351="En retard","Bonjour "&amp;D351&amp;", votre commande "&amp;A351&amp;" ("&amp;E351&amp;", "&amp;F351&amp;" pièces) prévue le "&amp;TEXT(I351,"dd/mm/yyyy")&amp;" a pris du retard. Nous vous confirmons la nouvelle date de livraison dans la journée. Toutes nos excuses pour ce contretemps. "&amp;Paramètres!$B$11&amp;", "&amp;Paramètres!$B$12,""))))</f>
        <v/>
      </c>
      <c r="T351" s="21" t="n"/>
      <c r="U351" s="26" t="n"/>
      <c r="V351" s="21" t="n"/>
    </row>
    <row r="352">
      <c r="A352" s="21" t="n"/>
      <c r="B352" s="26" t="n"/>
      <c r="C352" s="21" t="n"/>
      <c r="D352" s="25">
        <f>IF(C352="","",IFERROR(VLOOKUP(C352,Revendeurs!$A:$B,2,FALSE),"Code inconnu"))</f>
        <v/>
      </c>
      <c r="E352" s="21" t="n"/>
      <c r="F352" s="21" t="n"/>
      <c r="G352" s="22" t="n"/>
      <c r="H352" s="23">
        <f>IF(OR(F352="",G352=""),"",F352*G352)</f>
        <v/>
      </c>
      <c r="I352" s="26" t="n"/>
      <c r="J352" s="26" t="n"/>
      <c r="K352" s="25">
        <f>IF(B352="","",IF(J352&lt;&gt;"","Livrée",IF(I352="","À planifier",IF(Paramètres!$B$4&gt;I352+Paramètres!$B$8,"En retard","En cours"))))</f>
        <v/>
      </c>
      <c r="L352" s="25">
        <f>IF(K352="En retard",Paramètres!$B$4-I352,"")</f>
        <v/>
      </c>
      <c r="M352" s="27">
        <f>IF(OR(B352="",J352=""),"",J352+IFERROR(IF(VLOOKUP(C352,Revendeurs!$A:$G,7,FALSE)="",Paramètres!$B$9,VLOOKUP(C352,Revendeurs!$A:$G,7,FALSE)),Paramètres!$B$9))</f>
        <v/>
      </c>
      <c r="N352" s="22" t="n"/>
      <c r="O352" s="23">
        <f>IF(H352="","",H352-N352)</f>
        <v/>
      </c>
      <c r="P352" s="25">
        <f>IF(OR(M352="",O352=""),"",IF(O352&lt;=0,0,MAX(0,Paramètres!$B$4-M352)))</f>
        <v/>
      </c>
      <c r="Q352" s="25">
        <f>IF(H352="","",IF(O352&lt;=0,"Payée",IF(M352="","Pas encore livrée",IF(P352=0,"Non échue",IF(P352&gt;=Paramètres!$B$7,"Relance 3 : appel direction",IF(P352&gt;=Paramètres!$B$6,"Relance 2",IF(P352&gt;=Paramètres!$B$5,"Relance 1","Échue, relance à venir")))))))</f>
        <v/>
      </c>
      <c r="R352" s="25">
        <f>IF(B352="","",IF(U352=Paramètres!$B$4,"Relancé aujourd'hui",TRIM(IF(LEFT(Q352,7)="Relance",Q352&amp;" ","")&amp;IF(K352="En retard","· Prévenir du retard de livraison",""))))</f>
        <v/>
      </c>
      <c r="S352" s="28">
        <f>IF(B352="","",IF(LEFT(Q352,9)="Relance 3","Bonjour "&amp;D352&amp;", nous revenons vers vous au sujet de la commande "&amp;A352&amp;" du "&amp;TEXT(B352,"dd/mm/yyyy")&amp;" : "&amp;SUBSTITUTE(TEXT(O352,"#,##0"),","," ")&amp;" FCFA restent à régler depuis le "&amp;TEXT(M352,"dd/mm/yyyy")&amp;". Notre responsable souhaite vous appeler pour convenir ensemble d'une solution. Quel moment vous arrange cette semaine ? "&amp;Paramètres!$B$11&amp;", "&amp;Paramètres!$B$12,IF(LEFT(Q352,7)="Relance","Bonjour "&amp;D352&amp;", sauf erreur de notre part, la commande "&amp;A352&amp;" du "&amp;TEXT(B352,"dd/mm/yyyy")&amp;" ("&amp;E352&amp;") présente un reste à payer de "&amp;SUBSTITUTE(TEXT(O352,"#,##0"),","," ")&amp;" FCFA, échu depuis le "&amp;TEXT(M352,"dd/mm/yyyy")&amp;". Pouvez-vous nous indiquer la date de règlement prévue ? Si le paiement est déjà parti, merci de nous envoyer la preuve et ne tenez pas compte de ce message. "&amp;Paramètres!$B$11&amp;", "&amp;Paramètres!$B$12,IF(K352="En retard","Bonjour "&amp;D352&amp;", votre commande "&amp;A352&amp;" ("&amp;E352&amp;", "&amp;F352&amp;" pièces) prévue le "&amp;TEXT(I352,"dd/mm/yyyy")&amp;" a pris du retard. Nous vous confirmons la nouvelle date de livraison dans la journée. Toutes nos excuses pour ce contretemps. "&amp;Paramètres!$B$11&amp;", "&amp;Paramètres!$B$12,""))))</f>
        <v/>
      </c>
      <c r="T352" s="21" t="n"/>
      <c r="U352" s="26" t="n"/>
      <c r="V352" s="21" t="n"/>
    </row>
    <row r="353">
      <c r="A353" s="21" t="n"/>
      <c r="B353" s="26" t="n"/>
      <c r="C353" s="21" t="n"/>
      <c r="D353" s="25">
        <f>IF(C353="","",IFERROR(VLOOKUP(C353,Revendeurs!$A:$B,2,FALSE),"Code inconnu"))</f>
        <v/>
      </c>
      <c r="E353" s="21" t="n"/>
      <c r="F353" s="21" t="n"/>
      <c r="G353" s="22" t="n"/>
      <c r="H353" s="23">
        <f>IF(OR(F353="",G353=""),"",F353*G353)</f>
        <v/>
      </c>
      <c r="I353" s="26" t="n"/>
      <c r="J353" s="26" t="n"/>
      <c r="K353" s="25">
        <f>IF(B353="","",IF(J353&lt;&gt;"","Livrée",IF(I353="","À planifier",IF(Paramètres!$B$4&gt;I353+Paramètres!$B$8,"En retard","En cours"))))</f>
        <v/>
      </c>
      <c r="L353" s="25">
        <f>IF(K353="En retard",Paramètres!$B$4-I353,"")</f>
        <v/>
      </c>
      <c r="M353" s="27">
        <f>IF(OR(B353="",J353=""),"",J353+IFERROR(IF(VLOOKUP(C353,Revendeurs!$A:$G,7,FALSE)="",Paramètres!$B$9,VLOOKUP(C353,Revendeurs!$A:$G,7,FALSE)),Paramètres!$B$9))</f>
        <v/>
      </c>
      <c r="N353" s="22" t="n"/>
      <c r="O353" s="23">
        <f>IF(H353="","",H353-N353)</f>
        <v/>
      </c>
      <c r="P353" s="25">
        <f>IF(OR(M353="",O353=""),"",IF(O353&lt;=0,0,MAX(0,Paramètres!$B$4-M353)))</f>
        <v/>
      </c>
      <c r="Q353" s="25">
        <f>IF(H353="","",IF(O353&lt;=0,"Payée",IF(M353="","Pas encore livrée",IF(P353=0,"Non échue",IF(P353&gt;=Paramètres!$B$7,"Relance 3 : appel direction",IF(P353&gt;=Paramètres!$B$6,"Relance 2",IF(P353&gt;=Paramètres!$B$5,"Relance 1","Échue, relance à venir")))))))</f>
        <v/>
      </c>
      <c r="R353" s="25">
        <f>IF(B353="","",IF(U353=Paramètres!$B$4,"Relancé aujourd'hui",TRIM(IF(LEFT(Q353,7)="Relance",Q353&amp;" ","")&amp;IF(K353="En retard","· Prévenir du retard de livraison",""))))</f>
        <v/>
      </c>
      <c r="S353" s="28">
        <f>IF(B353="","",IF(LEFT(Q353,9)="Relance 3","Bonjour "&amp;D353&amp;", nous revenons vers vous au sujet de la commande "&amp;A353&amp;" du "&amp;TEXT(B353,"dd/mm/yyyy")&amp;" : "&amp;SUBSTITUTE(TEXT(O353,"#,##0"),","," ")&amp;" FCFA restent à régler depuis le "&amp;TEXT(M353,"dd/mm/yyyy")&amp;". Notre responsable souhaite vous appeler pour convenir ensemble d'une solution. Quel moment vous arrange cette semaine ? "&amp;Paramètres!$B$11&amp;", "&amp;Paramètres!$B$12,IF(LEFT(Q353,7)="Relance","Bonjour "&amp;D353&amp;", sauf erreur de notre part, la commande "&amp;A353&amp;" du "&amp;TEXT(B353,"dd/mm/yyyy")&amp;" ("&amp;E353&amp;") présente un reste à payer de "&amp;SUBSTITUTE(TEXT(O353,"#,##0"),","," ")&amp;" FCFA, échu depuis le "&amp;TEXT(M353,"dd/mm/yyyy")&amp;". Pouvez-vous nous indiquer la date de règlement prévue ? Si le paiement est déjà parti, merci de nous envoyer la preuve et ne tenez pas compte de ce message. "&amp;Paramètres!$B$11&amp;", "&amp;Paramètres!$B$12,IF(K353="En retard","Bonjour "&amp;D353&amp;", votre commande "&amp;A353&amp;" ("&amp;E353&amp;", "&amp;F353&amp;" pièces) prévue le "&amp;TEXT(I353,"dd/mm/yyyy")&amp;" a pris du retard. Nous vous confirmons la nouvelle date de livraison dans la journée. Toutes nos excuses pour ce contretemps. "&amp;Paramètres!$B$11&amp;", "&amp;Paramètres!$B$12,""))))</f>
        <v/>
      </c>
      <c r="T353" s="21" t="n"/>
      <c r="U353" s="26" t="n"/>
      <c r="V353" s="21" t="n"/>
    </row>
    <row r="354">
      <c r="A354" s="21" t="n"/>
      <c r="B354" s="26" t="n"/>
      <c r="C354" s="21" t="n"/>
      <c r="D354" s="25">
        <f>IF(C354="","",IFERROR(VLOOKUP(C354,Revendeurs!$A:$B,2,FALSE),"Code inconnu"))</f>
        <v/>
      </c>
      <c r="E354" s="21" t="n"/>
      <c r="F354" s="21" t="n"/>
      <c r="G354" s="22" t="n"/>
      <c r="H354" s="23">
        <f>IF(OR(F354="",G354=""),"",F354*G354)</f>
        <v/>
      </c>
      <c r="I354" s="26" t="n"/>
      <c r="J354" s="26" t="n"/>
      <c r="K354" s="25">
        <f>IF(B354="","",IF(J354&lt;&gt;"","Livrée",IF(I354="","À planifier",IF(Paramètres!$B$4&gt;I354+Paramètres!$B$8,"En retard","En cours"))))</f>
        <v/>
      </c>
      <c r="L354" s="25">
        <f>IF(K354="En retard",Paramètres!$B$4-I354,"")</f>
        <v/>
      </c>
      <c r="M354" s="27">
        <f>IF(OR(B354="",J354=""),"",J354+IFERROR(IF(VLOOKUP(C354,Revendeurs!$A:$G,7,FALSE)="",Paramètres!$B$9,VLOOKUP(C354,Revendeurs!$A:$G,7,FALSE)),Paramètres!$B$9))</f>
        <v/>
      </c>
      <c r="N354" s="22" t="n"/>
      <c r="O354" s="23">
        <f>IF(H354="","",H354-N354)</f>
        <v/>
      </c>
      <c r="P354" s="25">
        <f>IF(OR(M354="",O354=""),"",IF(O354&lt;=0,0,MAX(0,Paramètres!$B$4-M354)))</f>
        <v/>
      </c>
      <c r="Q354" s="25">
        <f>IF(H354="","",IF(O354&lt;=0,"Payée",IF(M354="","Pas encore livrée",IF(P354=0,"Non échue",IF(P354&gt;=Paramètres!$B$7,"Relance 3 : appel direction",IF(P354&gt;=Paramètres!$B$6,"Relance 2",IF(P354&gt;=Paramètres!$B$5,"Relance 1","Échue, relance à venir")))))))</f>
        <v/>
      </c>
      <c r="R354" s="25">
        <f>IF(B354="","",IF(U354=Paramètres!$B$4,"Relancé aujourd'hui",TRIM(IF(LEFT(Q354,7)="Relance",Q354&amp;" ","")&amp;IF(K354="En retard","· Prévenir du retard de livraison",""))))</f>
        <v/>
      </c>
      <c r="S354" s="28">
        <f>IF(B354="","",IF(LEFT(Q354,9)="Relance 3","Bonjour "&amp;D354&amp;", nous revenons vers vous au sujet de la commande "&amp;A354&amp;" du "&amp;TEXT(B354,"dd/mm/yyyy")&amp;" : "&amp;SUBSTITUTE(TEXT(O354,"#,##0"),","," ")&amp;" FCFA restent à régler depuis le "&amp;TEXT(M354,"dd/mm/yyyy")&amp;". Notre responsable souhaite vous appeler pour convenir ensemble d'une solution. Quel moment vous arrange cette semaine ? "&amp;Paramètres!$B$11&amp;", "&amp;Paramètres!$B$12,IF(LEFT(Q354,7)="Relance","Bonjour "&amp;D354&amp;", sauf erreur de notre part, la commande "&amp;A354&amp;" du "&amp;TEXT(B354,"dd/mm/yyyy")&amp;" ("&amp;E354&amp;") présente un reste à payer de "&amp;SUBSTITUTE(TEXT(O354,"#,##0"),","," ")&amp;" FCFA, échu depuis le "&amp;TEXT(M354,"dd/mm/yyyy")&amp;". Pouvez-vous nous indiquer la date de règlement prévue ? Si le paiement est déjà parti, merci de nous envoyer la preuve et ne tenez pas compte de ce message. "&amp;Paramètres!$B$11&amp;", "&amp;Paramètres!$B$12,IF(K354="En retard","Bonjour "&amp;D354&amp;", votre commande "&amp;A354&amp;" ("&amp;E354&amp;", "&amp;F354&amp;" pièces) prévue le "&amp;TEXT(I354,"dd/mm/yyyy")&amp;" a pris du retard. Nous vous confirmons la nouvelle date de livraison dans la journée. Toutes nos excuses pour ce contretemps. "&amp;Paramètres!$B$11&amp;", "&amp;Paramètres!$B$12,""))))</f>
        <v/>
      </c>
      <c r="T354" s="21" t="n"/>
      <c r="U354" s="26" t="n"/>
      <c r="V354" s="21" t="n"/>
    </row>
    <row r="355">
      <c r="A355" s="21" t="n"/>
      <c r="B355" s="26" t="n"/>
      <c r="C355" s="21" t="n"/>
      <c r="D355" s="25">
        <f>IF(C355="","",IFERROR(VLOOKUP(C355,Revendeurs!$A:$B,2,FALSE),"Code inconnu"))</f>
        <v/>
      </c>
      <c r="E355" s="21" t="n"/>
      <c r="F355" s="21" t="n"/>
      <c r="G355" s="22" t="n"/>
      <c r="H355" s="23">
        <f>IF(OR(F355="",G355=""),"",F355*G355)</f>
        <v/>
      </c>
      <c r="I355" s="26" t="n"/>
      <c r="J355" s="26" t="n"/>
      <c r="K355" s="25">
        <f>IF(B355="","",IF(J355&lt;&gt;"","Livrée",IF(I355="","À planifier",IF(Paramètres!$B$4&gt;I355+Paramètres!$B$8,"En retard","En cours"))))</f>
        <v/>
      </c>
      <c r="L355" s="25">
        <f>IF(K355="En retard",Paramètres!$B$4-I355,"")</f>
        <v/>
      </c>
      <c r="M355" s="27">
        <f>IF(OR(B355="",J355=""),"",J355+IFERROR(IF(VLOOKUP(C355,Revendeurs!$A:$G,7,FALSE)="",Paramètres!$B$9,VLOOKUP(C355,Revendeurs!$A:$G,7,FALSE)),Paramètres!$B$9))</f>
        <v/>
      </c>
      <c r="N355" s="22" t="n"/>
      <c r="O355" s="23">
        <f>IF(H355="","",H355-N355)</f>
        <v/>
      </c>
      <c r="P355" s="25">
        <f>IF(OR(M355="",O355=""),"",IF(O355&lt;=0,0,MAX(0,Paramètres!$B$4-M355)))</f>
        <v/>
      </c>
      <c r="Q355" s="25">
        <f>IF(H355="","",IF(O355&lt;=0,"Payée",IF(M355="","Pas encore livrée",IF(P355=0,"Non échue",IF(P355&gt;=Paramètres!$B$7,"Relance 3 : appel direction",IF(P355&gt;=Paramètres!$B$6,"Relance 2",IF(P355&gt;=Paramètres!$B$5,"Relance 1","Échue, relance à venir")))))))</f>
        <v/>
      </c>
      <c r="R355" s="25">
        <f>IF(B355="","",IF(U355=Paramètres!$B$4,"Relancé aujourd'hui",TRIM(IF(LEFT(Q355,7)="Relance",Q355&amp;" ","")&amp;IF(K355="En retard","· Prévenir du retard de livraison",""))))</f>
        <v/>
      </c>
      <c r="S355" s="28">
        <f>IF(B355="","",IF(LEFT(Q355,9)="Relance 3","Bonjour "&amp;D355&amp;", nous revenons vers vous au sujet de la commande "&amp;A355&amp;" du "&amp;TEXT(B355,"dd/mm/yyyy")&amp;" : "&amp;SUBSTITUTE(TEXT(O355,"#,##0"),","," ")&amp;" FCFA restent à régler depuis le "&amp;TEXT(M355,"dd/mm/yyyy")&amp;". Notre responsable souhaite vous appeler pour convenir ensemble d'une solution. Quel moment vous arrange cette semaine ? "&amp;Paramètres!$B$11&amp;", "&amp;Paramètres!$B$12,IF(LEFT(Q355,7)="Relance","Bonjour "&amp;D355&amp;", sauf erreur de notre part, la commande "&amp;A355&amp;" du "&amp;TEXT(B355,"dd/mm/yyyy")&amp;" ("&amp;E355&amp;") présente un reste à payer de "&amp;SUBSTITUTE(TEXT(O355,"#,##0"),","," ")&amp;" FCFA, échu depuis le "&amp;TEXT(M355,"dd/mm/yyyy")&amp;". Pouvez-vous nous indiquer la date de règlement prévue ? Si le paiement est déjà parti, merci de nous envoyer la preuve et ne tenez pas compte de ce message. "&amp;Paramètres!$B$11&amp;", "&amp;Paramètres!$B$12,IF(K355="En retard","Bonjour "&amp;D355&amp;", votre commande "&amp;A355&amp;" ("&amp;E355&amp;", "&amp;F355&amp;" pièces) prévue le "&amp;TEXT(I355,"dd/mm/yyyy")&amp;" a pris du retard. Nous vous confirmons la nouvelle date de livraison dans la journée. Toutes nos excuses pour ce contretemps. "&amp;Paramètres!$B$11&amp;", "&amp;Paramètres!$B$12,""))))</f>
        <v/>
      </c>
      <c r="T355" s="21" t="n"/>
      <c r="U355" s="26" t="n"/>
      <c r="V355" s="21" t="n"/>
    </row>
    <row r="356">
      <c r="A356" s="21" t="n"/>
      <c r="B356" s="26" t="n"/>
      <c r="C356" s="21" t="n"/>
      <c r="D356" s="25">
        <f>IF(C356="","",IFERROR(VLOOKUP(C356,Revendeurs!$A:$B,2,FALSE),"Code inconnu"))</f>
        <v/>
      </c>
      <c r="E356" s="21" t="n"/>
      <c r="F356" s="21" t="n"/>
      <c r="G356" s="22" t="n"/>
      <c r="H356" s="23">
        <f>IF(OR(F356="",G356=""),"",F356*G356)</f>
        <v/>
      </c>
      <c r="I356" s="26" t="n"/>
      <c r="J356" s="26" t="n"/>
      <c r="K356" s="25">
        <f>IF(B356="","",IF(J356&lt;&gt;"","Livrée",IF(I356="","À planifier",IF(Paramètres!$B$4&gt;I356+Paramètres!$B$8,"En retard","En cours"))))</f>
        <v/>
      </c>
      <c r="L356" s="25">
        <f>IF(K356="En retard",Paramètres!$B$4-I356,"")</f>
        <v/>
      </c>
      <c r="M356" s="27">
        <f>IF(OR(B356="",J356=""),"",J356+IFERROR(IF(VLOOKUP(C356,Revendeurs!$A:$G,7,FALSE)="",Paramètres!$B$9,VLOOKUP(C356,Revendeurs!$A:$G,7,FALSE)),Paramètres!$B$9))</f>
        <v/>
      </c>
      <c r="N356" s="22" t="n"/>
      <c r="O356" s="23">
        <f>IF(H356="","",H356-N356)</f>
        <v/>
      </c>
      <c r="P356" s="25">
        <f>IF(OR(M356="",O356=""),"",IF(O356&lt;=0,0,MAX(0,Paramètres!$B$4-M356)))</f>
        <v/>
      </c>
      <c r="Q356" s="25">
        <f>IF(H356="","",IF(O356&lt;=0,"Payée",IF(M356="","Pas encore livrée",IF(P356=0,"Non échue",IF(P356&gt;=Paramètres!$B$7,"Relance 3 : appel direction",IF(P356&gt;=Paramètres!$B$6,"Relance 2",IF(P356&gt;=Paramètres!$B$5,"Relance 1","Échue, relance à venir")))))))</f>
        <v/>
      </c>
      <c r="R356" s="25">
        <f>IF(B356="","",IF(U356=Paramètres!$B$4,"Relancé aujourd'hui",TRIM(IF(LEFT(Q356,7)="Relance",Q356&amp;" ","")&amp;IF(K356="En retard","· Prévenir du retard de livraison",""))))</f>
        <v/>
      </c>
      <c r="S356" s="28">
        <f>IF(B356="","",IF(LEFT(Q356,9)="Relance 3","Bonjour "&amp;D356&amp;", nous revenons vers vous au sujet de la commande "&amp;A356&amp;" du "&amp;TEXT(B356,"dd/mm/yyyy")&amp;" : "&amp;SUBSTITUTE(TEXT(O356,"#,##0"),","," ")&amp;" FCFA restent à régler depuis le "&amp;TEXT(M356,"dd/mm/yyyy")&amp;". Notre responsable souhaite vous appeler pour convenir ensemble d'une solution. Quel moment vous arrange cette semaine ? "&amp;Paramètres!$B$11&amp;", "&amp;Paramètres!$B$12,IF(LEFT(Q356,7)="Relance","Bonjour "&amp;D356&amp;", sauf erreur de notre part, la commande "&amp;A356&amp;" du "&amp;TEXT(B356,"dd/mm/yyyy")&amp;" ("&amp;E356&amp;") présente un reste à payer de "&amp;SUBSTITUTE(TEXT(O356,"#,##0"),","," ")&amp;" FCFA, échu depuis le "&amp;TEXT(M356,"dd/mm/yyyy")&amp;". Pouvez-vous nous indiquer la date de règlement prévue ? Si le paiement est déjà parti, merci de nous envoyer la preuve et ne tenez pas compte de ce message. "&amp;Paramètres!$B$11&amp;", "&amp;Paramètres!$B$12,IF(K356="En retard","Bonjour "&amp;D356&amp;", votre commande "&amp;A356&amp;" ("&amp;E356&amp;", "&amp;F356&amp;" pièces) prévue le "&amp;TEXT(I356,"dd/mm/yyyy")&amp;" a pris du retard. Nous vous confirmons la nouvelle date de livraison dans la journée. Toutes nos excuses pour ce contretemps. "&amp;Paramètres!$B$11&amp;", "&amp;Paramètres!$B$12,""))))</f>
        <v/>
      </c>
      <c r="T356" s="21" t="n"/>
      <c r="U356" s="26" t="n"/>
      <c r="V356" s="21" t="n"/>
    </row>
    <row r="357">
      <c r="A357" s="21" t="n"/>
      <c r="B357" s="26" t="n"/>
      <c r="C357" s="21" t="n"/>
      <c r="D357" s="25">
        <f>IF(C357="","",IFERROR(VLOOKUP(C357,Revendeurs!$A:$B,2,FALSE),"Code inconnu"))</f>
        <v/>
      </c>
      <c r="E357" s="21" t="n"/>
      <c r="F357" s="21" t="n"/>
      <c r="G357" s="22" t="n"/>
      <c r="H357" s="23">
        <f>IF(OR(F357="",G357=""),"",F357*G357)</f>
        <v/>
      </c>
      <c r="I357" s="26" t="n"/>
      <c r="J357" s="26" t="n"/>
      <c r="K357" s="25">
        <f>IF(B357="","",IF(J357&lt;&gt;"","Livrée",IF(I357="","À planifier",IF(Paramètres!$B$4&gt;I357+Paramètres!$B$8,"En retard","En cours"))))</f>
        <v/>
      </c>
      <c r="L357" s="25">
        <f>IF(K357="En retard",Paramètres!$B$4-I357,"")</f>
        <v/>
      </c>
      <c r="M357" s="27">
        <f>IF(OR(B357="",J357=""),"",J357+IFERROR(IF(VLOOKUP(C357,Revendeurs!$A:$G,7,FALSE)="",Paramètres!$B$9,VLOOKUP(C357,Revendeurs!$A:$G,7,FALSE)),Paramètres!$B$9))</f>
        <v/>
      </c>
      <c r="N357" s="22" t="n"/>
      <c r="O357" s="23">
        <f>IF(H357="","",H357-N357)</f>
        <v/>
      </c>
      <c r="P357" s="25">
        <f>IF(OR(M357="",O357=""),"",IF(O357&lt;=0,0,MAX(0,Paramètres!$B$4-M357)))</f>
        <v/>
      </c>
      <c r="Q357" s="25">
        <f>IF(H357="","",IF(O357&lt;=0,"Payée",IF(M357="","Pas encore livrée",IF(P357=0,"Non échue",IF(P357&gt;=Paramètres!$B$7,"Relance 3 : appel direction",IF(P357&gt;=Paramètres!$B$6,"Relance 2",IF(P357&gt;=Paramètres!$B$5,"Relance 1","Échue, relance à venir")))))))</f>
        <v/>
      </c>
      <c r="R357" s="25">
        <f>IF(B357="","",IF(U357=Paramètres!$B$4,"Relancé aujourd'hui",TRIM(IF(LEFT(Q357,7)="Relance",Q357&amp;" ","")&amp;IF(K357="En retard","· Prévenir du retard de livraison",""))))</f>
        <v/>
      </c>
      <c r="S357" s="28">
        <f>IF(B357="","",IF(LEFT(Q357,9)="Relance 3","Bonjour "&amp;D357&amp;", nous revenons vers vous au sujet de la commande "&amp;A357&amp;" du "&amp;TEXT(B357,"dd/mm/yyyy")&amp;" : "&amp;SUBSTITUTE(TEXT(O357,"#,##0"),","," ")&amp;" FCFA restent à régler depuis le "&amp;TEXT(M357,"dd/mm/yyyy")&amp;". Notre responsable souhaite vous appeler pour convenir ensemble d'une solution. Quel moment vous arrange cette semaine ? "&amp;Paramètres!$B$11&amp;", "&amp;Paramètres!$B$12,IF(LEFT(Q357,7)="Relance","Bonjour "&amp;D357&amp;", sauf erreur de notre part, la commande "&amp;A357&amp;" du "&amp;TEXT(B357,"dd/mm/yyyy")&amp;" ("&amp;E357&amp;") présente un reste à payer de "&amp;SUBSTITUTE(TEXT(O357,"#,##0"),","," ")&amp;" FCFA, échu depuis le "&amp;TEXT(M357,"dd/mm/yyyy")&amp;". Pouvez-vous nous indiquer la date de règlement prévue ? Si le paiement est déjà parti, merci de nous envoyer la preuve et ne tenez pas compte de ce message. "&amp;Paramètres!$B$11&amp;", "&amp;Paramètres!$B$12,IF(K357="En retard","Bonjour "&amp;D357&amp;", votre commande "&amp;A357&amp;" ("&amp;E357&amp;", "&amp;F357&amp;" pièces) prévue le "&amp;TEXT(I357,"dd/mm/yyyy")&amp;" a pris du retard. Nous vous confirmons la nouvelle date de livraison dans la journée. Toutes nos excuses pour ce contretemps. "&amp;Paramètres!$B$11&amp;", "&amp;Paramètres!$B$12,""))))</f>
        <v/>
      </c>
      <c r="T357" s="21" t="n"/>
      <c r="U357" s="26" t="n"/>
      <c r="V357" s="21" t="n"/>
    </row>
    <row r="358">
      <c r="A358" s="21" t="n"/>
      <c r="B358" s="26" t="n"/>
      <c r="C358" s="21" t="n"/>
      <c r="D358" s="25">
        <f>IF(C358="","",IFERROR(VLOOKUP(C358,Revendeurs!$A:$B,2,FALSE),"Code inconnu"))</f>
        <v/>
      </c>
      <c r="E358" s="21" t="n"/>
      <c r="F358" s="21" t="n"/>
      <c r="G358" s="22" t="n"/>
      <c r="H358" s="23">
        <f>IF(OR(F358="",G358=""),"",F358*G358)</f>
        <v/>
      </c>
      <c r="I358" s="26" t="n"/>
      <c r="J358" s="26" t="n"/>
      <c r="K358" s="25">
        <f>IF(B358="","",IF(J358&lt;&gt;"","Livrée",IF(I358="","À planifier",IF(Paramètres!$B$4&gt;I358+Paramètres!$B$8,"En retard","En cours"))))</f>
        <v/>
      </c>
      <c r="L358" s="25">
        <f>IF(K358="En retard",Paramètres!$B$4-I358,"")</f>
        <v/>
      </c>
      <c r="M358" s="27">
        <f>IF(OR(B358="",J358=""),"",J358+IFERROR(IF(VLOOKUP(C358,Revendeurs!$A:$G,7,FALSE)="",Paramètres!$B$9,VLOOKUP(C358,Revendeurs!$A:$G,7,FALSE)),Paramètres!$B$9))</f>
        <v/>
      </c>
      <c r="N358" s="22" t="n"/>
      <c r="O358" s="23">
        <f>IF(H358="","",H358-N358)</f>
        <v/>
      </c>
      <c r="P358" s="25">
        <f>IF(OR(M358="",O358=""),"",IF(O358&lt;=0,0,MAX(0,Paramètres!$B$4-M358)))</f>
        <v/>
      </c>
      <c r="Q358" s="25">
        <f>IF(H358="","",IF(O358&lt;=0,"Payée",IF(M358="","Pas encore livrée",IF(P358=0,"Non échue",IF(P358&gt;=Paramètres!$B$7,"Relance 3 : appel direction",IF(P358&gt;=Paramètres!$B$6,"Relance 2",IF(P358&gt;=Paramètres!$B$5,"Relance 1","Échue, relance à venir")))))))</f>
        <v/>
      </c>
      <c r="R358" s="25">
        <f>IF(B358="","",IF(U358=Paramètres!$B$4,"Relancé aujourd'hui",TRIM(IF(LEFT(Q358,7)="Relance",Q358&amp;" ","")&amp;IF(K358="En retard","· Prévenir du retard de livraison",""))))</f>
        <v/>
      </c>
      <c r="S358" s="28">
        <f>IF(B358="","",IF(LEFT(Q358,9)="Relance 3","Bonjour "&amp;D358&amp;", nous revenons vers vous au sujet de la commande "&amp;A358&amp;" du "&amp;TEXT(B358,"dd/mm/yyyy")&amp;" : "&amp;SUBSTITUTE(TEXT(O358,"#,##0"),","," ")&amp;" FCFA restent à régler depuis le "&amp;TEXT(M358,"dd/mm/yyyy")&amp;". Notre responsable souhaite vous appeler pour convenir ensemble d'une solution. Quel moment vous arrange cette semaine ? "&amp;Paramètres!$B$11&amp;", "&amp;Paramètres!$B$12,IF(LEFT(Q358,7)="Relance","Bonjour "&amp;D358&amp;", sauf erreur de notre part, la commande "&amp;A358&amp;" du "&amp;TEXT(B358,"dd/mm/yyyy")&amp;" ("&amp;E358&amp;") présente un reste à payer de "&amp;SUBSTITUTE(TEXT(O358,"#,##0"),","," ")&amp;" FCFA, échu depuis le "&amp;TEXT(M358,"dd/mm/yyyy")&amp;". Pouvez-vous nous indiquer la date de règlement prévue ? Si le paiement est déjà parti, merci de nous envoyer la preuve et ne tenez pas compte de ce message. "&amp;Paramètres!$B$11&amp;", "&amp;Paramètres!$B$12,IF(K358="En retard","Bonjour "&amp;D358&amp;", votre commande "&amp;A358&amp;" ("&amp;E358&amp;", "&amp;F358&amp;" pièces) prévue le "&amp;TEXT(I358,"dd/mm/yyyy")&amp;" a pris du retard. Nous vous confirmons la nouvelle date de livraison dans la journée. Toutes nos excuses pour ce contretemps. "&amp;Paramètres!$B$11&amp;", "&amp;Paramètres!$B$12,""))))</f>
        <v/>
      </c>
      <c r="T358" s="21" t="n"/>
      <c r="U358" s="26" t="n"/>
      <c r="V358" s="21" t="n"/>
    </row>
    <row r="359">
      <c r="A359" s="21" t="n"/>
      <c r="B359" s="26" t="n"/>
      <c r="C359" s="21" t="n"/>
      <c r="D359" s="25">
        <f>IF(C359="","",IFERROR(VLOOKUP(C359,Revendeurs!$A:$B,2,FALSE),"Code inconnu"))</f>
        <v/>
      </c>
      <c r="E359" s="21" t="n"/>
      <c r="F359" s="21" t="n"/>
      <c r="G359" s="22" t="n"/>
      <c r="H359" s="23">
        <f>IF(OR(F359="",G359=""),"",F359*G359)</f>
        <v/>
      </c>
      <c r="I359" s="26" t="n"/>
      <c r="J359" s="26" t="n"/>
      <c r="K359" s="25">
        <f>IF(B359="","",IF(J359&lt;&gt;"","Livrée",IF(I359="","À planifier",IF(Paramètres!$B$4&gt;I359+Paramètres!$B$8,"En retard","En cours"))))</f>
        <v/>
      </c>
      <c r="L359" s="25">
        <f>IF(K359="En retard",Paramètres!$B$4-I359,"")</f>
        <v/>
      </c>
      <c r="M359" s="27">
        <f>IF(OR(B359="",J359=""),"",J359+IFERROR(IF(VLOOKUP(C359,Revendeurs!$A:$G,7,FALSE)="",Paramètres!$B$9,VLOOKUP(C359,Revendeurs!$A:$G,7,FALSE)),Paramètres!$B$9))</f>
        <v/>
      </c>
      <c r="N359" s="22" t="n"/>
      <c r="O359" s="23">
        <f>IF(H359="","",H359-N359)</f>
        <v/>
      </c>
      <c r="P359" s="25">
        <f>IF(OR(M359="",O359=""),"",IF(O359&lt;=0,0,MAX(0,Paramètres!$B$4-M359)))</f>
        <v/>
      </c>
      <c r="Q359" s="25">
        <f>IF(H359="","",IF(O359&lt;=0,"Payée",IF(M359="","Pas encore livrée",IF(P359=0,"Non échue",IF(P359&gt;=Paramètres!$B$7,"Relance 3 : appel direction",IF(P359&gt;=Paramètres!$B$6,"Relance 2",IF(P359&gt;=Paramètres!$B$5,"Relance 1","Échue, relance à venir")))))))</f>
        <v/>
      </c>
      <c r="R359" s="25">
        <f>IF(B359="","",IF(U359=Paramètres!$B$4,"Relancé aujourd'hui",TRIM(IF(LEFT(Q359,7)="Relance",Q359&amp;" ","")&amp;IF(K359="En retard","· Prévenir du retard de livraison",""))))</f>
        <v/>
      </c>
      <c r="S359" s="28">
        <f>IF(B359="","",IF(LEFT(Q359,9)="Relance 3","Bonjour "&amp;D359&amp;", nous revenons vers vous au sujet de la commande "&amp;A359&amp;" du "&amp;TEXT(B359,"dd/mm/yyyy")&amp;" : "&amp;SUBSTITUTE(TEXT(O359,"#,##0"),","," ")&amp;" FCFA restent à régler depuis le "&amp;TEXT(M359,"dd/mm/yyyy")&amp;". Notre responsable souhaite vous appeler pour convenir ensemble d'une solution. Quel moment vous arrange cette semaine ? "&amp;Paramètres!$B$11&amp;", "&amp;Paramètres!$B$12,IF(LEFT(Q359,7)="Relance","Bonjour "&amp;D359&amp;", sauf erreur de notre part, la commande "&amp;A359&amp;" du "&amp;TEXT(B359,"dd/mm/yyyy")&amp;" ("&amp;E359&amp;") présente un reste à payer de "&amp;SUBSTITUTE(TEXT(O359,"#,##0"),","," ")&amp;" FCFA, échu depuis le "&amp;TEXT(M359,"dd/mm/yyyy")&amp;". Pouvez-vous nous indiquer la date de règlement prévue ? Si le paiement est déjà parti, merci de nous envoyer la preuve et ne tenez pas compte de ce message. "&amp;Paramètres!$B$11&amp;", "&amp;Paramètres!$B$12,IF(K359="En retard","Bonjour "&amp;D359&amp;", votre commande "&amp;A359&amp;" ("&amp;E359&amp;", "&amp;F359&amp;" pièces) prévue le "&amp;TEXT(I359,"dd/mm/yyyy")&amp;" a pris du retard. Nous vous confirmons la nouvelle date de livraison dans la journée. Toutes nos excuses pour ce contretemps. "&amp;Paramètres!$B$11&amp;", "&amp;Paramètres!$B$12,""))))</f>
        <v/>
      </c>
      <c r="T359" s="21" t="n"/>
      <c r="U359" s="26" t="n"/>
      <c r="V359" s="21" t="n"/>
    </row>
    <row r="360">
      <c r="A360" s="21" t="n"/>
      <c r="B360" s="26" t="n"/>
      <c r="C360" s="21" t="n"/>
      <c r="D360" s="25">
        <f>IF(C360="","",IFERROR(VLOOKUP(C360,Revendeurs!$A:$B,2,FALSE),"Code inconnu"))</f>
        <v/>
      </c>
      <c r="E360" s="21" t="n"/>
      <c r="F360" s="21" t="n"/>
      <c r="G360" s="22" t="n"/>
      <c r="H360" s="23">
        <f>IF(OR(F360="",G360=""),"",F360*G360)</f>
        <v/>
      </c>
      <c r="I360" s="26" t="n"/>
      <c r="J360" s="26" t="n"/>
      <c r="K360" s="25">
        <f>IF(B360="","",IF(J360&lt;&gt;"","Livrée",IF(I360="","À planifier",IF(Paramètres!$B$4&gt;I360+Paramètres!$B$8,"En retard","En cours"))))</f>
        <v/>
      </c>
      <c r="L360" s="25">
        <f>IF(K360="En retard",Paramètres!$B$4-I360,"")</f>
        <v/>
      </c>
      <c r="M360" s="27">
        <f>IF(OR(B360="",J360=""),"",J360+IFERROR(IF(VLOOKUP(C360,Revendeurs!$A:$G,7,FALSE)="",Paramètres!$B$9,VLOOKUP(C360,Revendeurs!$A:$G,7,FALSE)),Paramètres!$B$9))</f>
        <v/>
      </c>
      <c r="N360" s="22" t="n"/>
      <c r="O360" s="23">
        <f>IF(H360="","",H360-N360)</f>
        <v/>
      </c>
      <c r="P360" s="25">
        <f>IF(OR(M360="",O360=""),"",IF(O360&lt;=0,0,MAX(0,Paramètres!$B$4-M360)))</f>
        <v/>
      </c>
      <c r="Q360" s="25">
        <f>IF(H360="","",IF(O360&lt;=0,"Payée",IF(M360="","Pas encore livrée",IF(P360=0,"Non échue",IF(P360&gt;=Paramètres!$B$7,"Relance 3 : appel direction",IF(P360&gt;=Paramètres!$B$6,"Relance 2",IF(P360&gt;=Paramètres!$B$5,"Relance 1","Échue, relance à venir")))))))</f>
        <v/>
      </c>
      <c r="R360" s="25">
        <f>IF(B360="","",IF(U360=Paramètres!$B$4,"Relancé aujourd'hui",TRIM(IF(LEFT(Q360,7)="Relance",Q360&amp;" ","")&amp;IF(K360="En retard","· Prévenir du retard de livraison",""))))</f>
        <v/>
      </c>
      <c r="S360" s="28">
        <f>IF(B360="","",IF(LEFT(Q360,9)="Relance 3","Bonjour "&amp;D360&amp;", nous revenons vers vous au sujet de la commande "&amp;A360&amp;" du "&amp;TEXT(B360,"dd/mm/yyyy")&amp;" : "&amp;SUBSTITUTE(TEXT(O360,"#,##0"),","," ")&amp;" FCFA restent à régler depuis le "&amp;TEXT(M360,"dd/mm/yyyy")&amp;". Notre responsable souhaite vous appeler pour convenir ensemble d'une solution. Quel moment vous arrange cette semaine ? "&amp;Paramètres!$B$11&amp;", "&amp;Paramètres!$B$12,IF(LEFT(Q360,7)="Relance","Bonjour "&amp;D360&amp;", sauf erreur de notre part, la commande "&amp;A360&amp;" du "&amp;TEXT(B360,"dd/mm/yyyy")&amp;" ("&amp;E360&amp;") présente un reste à payer de "&amp;SUBSTITUTE(TEXT(O360,"#,##0"),","," ")&amp;" FCFA, échu depuis le "&amp;TEXT(M360,"dd/mm/yyyy")&amp;". Pouvez-vous nous indiquer la date de règlement prévue ? Si le paiement est déjà parti, merci de nous envoyer la preuve et ne tenez pas compte de ce message. "&amp;Paramètres!$B$11&amp;", "&amp;Paramètres!$B$12,IF(K360="En retard","Bonjour "&amp;D360&amp;", votre commande "&amp;A360&amp;" ("&amp;E360&amp;", "&amp;F360&amp;" pièces) prévue le "&amp;TEXT(I360,"dd/mm/yyyy")&amp;" a pris du retard. Nous vous confirmons la nouvelle date de livraison dans la journée. Toutes nos excuses pour ce contretemps. "&amp;Paramètres!$B$11&amp;", "&amp;Paramètres!$B$12,""))))</f>
        <v/>
      </c>
      <c r="T360" s="21" t="n"/>
      <c r="U360" s="26" t="n"/>
      <c r="V360" s="21" t="n"/>
    </row>
    <row r="361">
      <c r="A361" s="21" t="n"/>
      <c r="B361" s="26" t="n"/>
      <c r="C361" s="21" t="n"/>
      <c r="D361" s="25">
        <f>IF(C361="","",IFERROR(VLOOKUP(C361,Revendeurs!$A:$B,2,FALSE),"Code inconnu"))</f>
        <v/>
      </c>
      <c r="E361" s="21" t="n"/>
      <c r="F361" s="21" t="n"/>
      <c r="G361" s="22" t="n"/>
      <c r="H361" s="23">
        <f>IF(OR(F361="",G361=""),"",F361*G361)</f>
        <v/>
      </c>
      <c r="I361" s="26" t="n"/>
      <c r="J361" s="26" t="n"/>
      <c r="K361" s="25">
        <f>IF(B361="","",IF(J361&lt;&gt;"","Livrée",IF(I361="","À planifier",IF(Paramètres!$B$4&gt;I361+Paramètres!$B$8,"En retard","En cours"))))</f>
        <v/>
      </c>
      <c r="L361" s="25">
        <f>IF(K361="En retard",Paramètres!$B$4-I361,"")</f>
        <v/>
      </c>
      <c r="M361" s="27">
        <f>IF(OR(B361="",J361=""),"",J361+IFERROR(IF(VLOOKUP(C361,Revendeurs!$A:$G,7,FALSE)="",Paramètres!$B$9,VLOOKUP(C361,Revendeurs!$A:$G,7,FALSE)),Paramètres!$B$9))</f>
        <v/>
      </c>
      <c r="N361" s="22" t="n"/>
      <c r="O361" s="23">
        <f>IF(H361="","",H361-N361)</f>
        <v/>
      </c>
      <c r="P361" s="25">
        <f>IF(OR(M361="",O361=""),"",IF(O361&lt;=0,0,MAX(0,Paramètres!$B$4-M361)))</f>
        <v/>
      </c>
      <c r="Q361" s="25">
        <f>IF(H361="","",IF(O361&lt;=0,"Payée",IF(M361="","Pas encore livrée",IF(P361=0,"Non échue",IF(P361&gt;=Paramètres!$B$7,"Relance 3 : appel direction",IF(P361&gt;=Paramètres!$B$6,"Relance 2",IF(P361&gt;=Paramètres!$B$5,"Relance 1","Échue, relance à venir")))))))</f>
        <v/>
      </c>
      <c r="R361" s="25">
        <f>IF(B361="","",IF(U361=Paramètres!$B$4,"Relancé aujourd'hui",TRIM(IF(LEFT(Q361,7)="Relance",Q361&amp;" ","")&amp;IF(K361="En retard","· Prévenir du retard de livraison",""))))</f>
        <v/>
      </c>
      <c r="S361" s="28">
        <f>IF(B361="","",IF(LEFT(Q361,9)="Relance 3","Bonjour "&amp;D361&amp;", nous revenons vers vous au sujet de la commande "&amp;A361&amp;" du "&amp;TEXT(B361,"dd/mm/yyyy")&amp;" : "&amp;SUBSTITUTE(TEXT(O361,"#,##0"),","," ")&amp;" FCFA restent à régler depuis le "&amp;TEXT(M361,"dd/mm/yyyy")&amp;". Notre responsable souhaite vous appeler pour convenir ensemble d'une solution. Quel moment vous arrange cette semaine ? "&amp;Paramètres!$B$11&amp;", "&amp;Paramètres!$B$12,IF(LEFT(Q361,7)="Relance","Bonjour "&amp;D361&amp;", sauf erreur de notre part, la commande "&amp;A361&amp;" du "&amp;TEXT(B361,"dd/mm/yyyy")&amp;" ("&amp;E361&amp;") présente un reste à payer de "&amp;SUBSTITUTE(TEXT(O361,"#,##0"),","," ")&amp;" FCFA, échu depuis le "&amp;TEXT(M361,"dd/mm/yyyy")&amp;". Pouvez-vous nous indiquer la date de règlement prévue ? Si le paiement est déjà parti, merci de nous envoyer la preuve et ne tenez pas compte de ce message. "&amp;Paramètres!$B$11&amp;", "&amp;Paramètres!$B$12,IF(K361="En retard","Bonjour "&amp;D361&amp;", votre commande "&amp;A361&amp;" ("&amp;E361&amp;", "&amp;F361&amp;" pièces) prévue le "&amp;TEXT(I361,"dd/mm/yyyy")&amp;" a pris du retard. Nous vous confirmons la nouvelle date de livraison dans la journée. Toutes nos excuses pour ce contretemps. "&amp;Paramètres!$B$11&amp;", "&amp;Paramètres!$B$12,""))))</f>
        <v/>
      </c>
      <c r="T361" s="21" t="n"/>
      <c r="U361" s="26" t="n"/>
      <c r="V361" s="21" t="n"/>
    </row>
    <row r="362">
      <c r="A362" s="21" t="n"/>
      <c r="B362" s="26" t="n"/>
      <c r="C362" s="21" t="n"/>
      <c r="D362" s="25">
        <f>IF(C362="","",IFERROR(VLOOKUP(C362,Revendeurs!$A:$B,2,FALSE),"Code inconnu"))</f>
        <v/>
      </c>
      <c r="E362" s="21" t="n"/>
      <c r="F362" s="21" t="n"/>
      <c r="G362" s="22" t="n"/>
      <c r="H362" s="23">
        <f>IF(OR(F362="",G362=""),"",F362*G362)</f>
        <v/>
      </c>
      <c r="I362" s="26" t="n"/>
      <c r="J362" s="26" t="n"/>
      <c r="K362" s="25">
        <f>IF(B362="","",IF(J362&lt;&gt;"","Livrée",IF(I362="","À planifier",IF(Paramètres!$B$4&gt;I362+Paramètres!$B$8,"En retard","En cours"))))</f>
        <v/>
      </c>
      <c r="L362" s="25">
        <f>IF(K362="En retard",Paramètres!$B$4-I362,"")</f>
        <v/>
      </c>
      <c r="M362" s="27">
        <f>IF(OR(B362="",J362=""),"",J362+IFERROR(IF(VLOOKUP(C362,Revendeurs!$A:$G,7,FALSE)="",Paramètres!$B$9,VLOOKUP(C362,Revendeurs!$A:$G,7,FALSE)),Paramètres!$B$9))</f>
        <v/>
      </c>
      <c r="N362" s="22" t="n"/>
      <c r="O362" s="23">
        <f>IF(H362="","",H362-N362)</f>
        <v/>
      </c>
      <c r="P362" s="25">
        <f>IF(OR(M362="",O362=""),"",IF(O362&lt;=0,0,MAX(0,Paramètres!$B$4-M362)))</f>
        <v/>
      </c>
      <c r="Q362" s="25">
        <f>IF(H362="","",IF(O362&lt;=0,"Payée",IF(M362="","Pas encore livrée",IF(P362=0,"Non échue",IF(P362&gt;=Paramètres!$B$7,"Relance 3 : appel direction",IF(P362&gt;=Paramètres!$B$6,"Relance 2",IF(P362&gt;=Paramètres!$B$5,"Relance 1","Échue, relance à venir")))))))</f>
        <v/>
      </c>
      <c r="R362" s="25">
        <f>IF(B362="","",IF(U362=Paramètres!$B$4,"Relancé aujourd'hui",TRIM(IF(LEFT(Q362,7)="Relance",Q362&amp;" ","")&amp;IF(K362="En retard","· Prévenir du retard de livraison",""))))</f>
        <v/>
      </c>
      <c r="S362" s="28">
        <f>IF(B362="","",IF(LEFT(Q362,9)="Relance 3","Bonjour "&amp;D362&amp;", nous revenons vers vous au sujet de la commande "&amp;A362&amp;" du "&amp;TEXT(B362,"dd/mm/yyyy")&amp;" : "&amp;SUBSTITUTE(TEXT(O362,"#,##0"),","," ")&amp;" FCFA restent à régler depuis le "&amp;TEXT(M362,"dd/mm/yyyy")&amp;". Notre responsable souhaite vous appeler pour convenir ensemble d'une solution. Quel moment vous arrange cette semaine ? "&amp;Paramètres!$B$11&amp;", "&amp;Paramètres!$B$12,IF(LEFT(Q362,7)="Relance","Bonjour "&amp;D362&amp;", sauf erreur de notre part, la commande "&amp;A362&amp;" du "&amp;TEXT(B362,"dd/mm/yyyy")&amp;" ("&amp;E362&amp;") présente un reste à payer de "&amp;SUBSTITUTE(TEXT(O362,"#,##0"),","," ")&amp;" FCFA, échu depuis le "&amp;TEXT(M362,"dd/mm/yyyy")&amp;". Pouvez-vous nous indiquer la date de règlement prévue ? Si le paiement est déjà parti, merci de nous envoyer la preuve et ne tenez pas compte de ce message. "&amp;Paramètres!$B$11&amp;", "&amp;Paramètres!$B$12,IF(K362="En retard","Bonjour "&amp;D362&amp;", votre commande "&amp;A362&amp;" ("&amp;E362&amp;", "&amp;F362&amp;" pièces) prévue le "&amp;TEXT(I362,"dd/mm/yyyy")&amp;" a pris du retard. Nous vous confirmons la nouvelle date de livraison dans la journée. Toutes nos excuses pour ce contretemps. "&amp;Paramètres!$B$11&amp;", "&amp;Paramètres!$B$12,""))))</f>
        <v/>
      </c>
      <c r="T362" s="21" t="n"/>
      <c r="U362" s="26" t="n"/>
      <c r="V362" s="21" t="n"/>
    </row>
    <row r="363">
      <c r="A363" s="21" t="n"/>
      <c r="B363" s="26" t="n"/>
      <c r="C363" s="21" t="n"/>
      <c r="D363" s="25">
        <f>IF(C363="","",IFERROR(VLOOKUP(C363,Revendeurs!$A:$B,2,FALSE),"Code inconnu"))</f>
        <v/>
      </c>
      <c r="E363" s="21" t="n"/>
      <c r="F363" s="21" t="n"/>
      <c r="G363" s="22" t="n"/>
      <c r="H363" s="23">
        <f>IF(OR(F363="",G363=""),"",F363*G363)</f>
        <v/>
      </c>
      <c r="I363" s="26" t="n"/>
      <c r="J363" s="26" t="n"/>
      <c r="K363" s="25">
        <f>IF(B363="","",IF(J363&lt;&gt;"","Livrée",IF(I363="","À planifier",IF(Paramètres!$B$4&gt;I363+Paramètres!$B$8,"En retard","En cours"))))</f>
        <v/>
      </c>
      <c r="L363" s="25">
        <f>IF(K363="En retard",Paramètres!$B$4-I363,"")</f>
        <v/>
      </c>
      <c r="M363" s="27">
        <f>IF(OR(B363="",J363=""),"",J363+IFERROR(IF(VLOOKUP(C363,Revendeurs!$A:$G,7,FALSE)="",Paramètres!$B$9,VLOOKUP(C363,Revendeurs!$A:$G,7,FALSE)),Paramètres!$B$9))</f>
        <v/>
      </c>
      <c r="N363" s="22" t="n"/>
      <c r="O363" s="23">
        <f>IF(H363="","",H363-N363)</f>
        <v/>
      </c>
      <c r="P363" s="25">
        <f>IF(OR(M363="",O363=""),"",IF(O363&lt;=0,0,MAX(0,Paramètres!$B$4-M363)))</f>
        <v/>
      </c>
      <c r="Q363" s="25">
        <f>IF(H363="","",IF(O363&lt;=0,"Payée",IF(M363="","Pas encore livrée",IF(P363=0,"Non échue",IF(P363&gt;=Paramètres!$B$7,"Relance 3 : appel direction",IF(P363&gt;=Paramètres!$B$6,"Relance 2",IF(P363&gt;=Paramètres!$B$5,"Relance 1","Échue, relance à venir")))))))</f>
        <v/>
      </c>
      <c r="R363" s="25">
        <f>IF(B363="","",IF(U363=Paramètres!$B$4,"Relancé aujourd'hui",TRIM(IF(LEFT(Q363,7)="Relance",Q363&amp;" ","")&amp;IF(K363="En retard","· Prévenir du retard de livraison",""))))</f>
        <v/>
      </c>
      <c r="S363" s="28">
        <f>IF(B363="","",IF(LEFT(Q363,9)="Relance 3","Bonjour "&amp;D363&amp;", nous revenons vers vous au sujet de la commande "&amp;A363&amp;" du "&amp;TEXT(B363,"dd/mm/yyyy")&amp;" : "&amp;SUBSTITUTE(TEXT(O363,"#,##0"),","," ")&amp;" FCFA restent à régler depuis le "&amp;TEXT(M363,"dd/mm/yyyy")&amp;". Notre responsable souhaite vous appeler pour convenir ensemble d'une solution. Quel moment vous arrange cette semaine ? "&amp;Paramètres!$B$11&amp;", "&amp;Paramètres!$B$12,IF(LEFT(Q363,7)="Relance","Bonjour "&amp;D363&amp;", sauf erreur de notre part, la commande "&amp;A363&amp;" du "&amp;TEXT(B363,"dd/mm/yyyy")&amp;" ("&amp;E363&amp;") présente un reste à payer de "&amp;SUBSTITUTE(TEXT(O363,"#,##0"),","," ")&amp;" FCFA, échu depuis le "&amp;TEXT(M363,"dd/mm/yyyy")&amp;". Pouvez-vous nous indiquer la date de règlement prévue ? Si le paiement est déjà parti, merci de nous envoyer la preuve et ne tenez pas compte de ce message. "&amp;Paramètres!$B$11&amp;", "&amp;Paramètres!$B$12,IF(K363="En retard","Bonjour "&amp;D363&amp;", votre commande "&amp;A363&amp;" ("&amp;E363&amp;", "&amp;F363&amp;" pièces) prévue le "&amp;TEXT(I363,"dd/mm/yyyy")&amp;" a pris du retard. Nous vous confirmons la nouvelle date de livraison dans la journée. Toutes nos excuses pour ce contretemps. "&amp;Paramètres!$B$11&amp;", "&amp;Paramètres!$B$12,""))))</f>
        <v/>
      </c>
      <c r="T363" s="21" t="n"/>
      <c r="U363" s="26" t="n"/>
      <c r="V363" s="21" t="n"/>
    </row>
    <row r="364">
      <c r="A364" s="21" t="n"/>
      <c r="B364" s="26" t="n"/>
      <c r="C364" s="21" t="n"/>
      <c r="D364" s="25">
        <f>IF(C364="","",IFERROR(VLOOKUP(C364,Revendeurs!$A:$B,2,FALSE),"Code inconnu"))</f>
        <v/>
      </c>
      <c r="E364" s="21" t="n"/>
      <c r="F364" s="21" t="n"/>
      <c r="G364" s="22" t="n"/>
      <c r="H364" s="23">
        <f>IF(OR(F364="",G364=""),"",F364*G364)</f>
        <v/>
      </c>
      <c r="I364" s="26" t="n"/>
      <c r="J364" s="26" t="n"/>
      <c r="K364" s="25">
        <f>IF(B364="","",IF(J364&lt;&gt;"","Livrée",IF(I364="","À planifier",IF(Paramètres!$B$4&gt;I364+Paramètres!$B$8,"En retard","En cours"))))</f>
        <v/>
      </c>
      <c r="L364" s="25">
        <f>IF(K364="En retard",Paramètres!$B$4-I364,"")</f>
        <v/>
      </c>
      <c r="M364" s="27">
        <f>IF(OR(B364="",J364=""),"",J364+IFERROR(IF(VLOOKUP(C364,Revendeurs!$A:$G,7,FALSE)="",Paramètres!$B$9,VLOOKUP(C364,Revendeurs!$A:$G,7,FALSE)),Paramètres!$B$9))</f>
        <v/>
      </c>
      <c r="N364" s="22" t="n"/>
      <c r="O364" s="23">
        <f>IF(H364="","",H364-N364)</f>
        <v/>
      </c>
      <c r="P364" s="25">
        <f>IF(OR(M364="",O364=""),"",IF(O364&lt;=0,0,MAX(0,Paramètres!$B$4-M364)))</f>
        <v/>
      </c>
      <c r="Q364" s="25">
        <f>IF(H364="","",IF(O364&lt;=0,"Payée",IF(M364="","Pas encore livrée",IF(P364=0,"Non échue",IF(P364&gt;=Paramètres!$B$7,"Relance 3 : appel direction",IF(P364&gt;=Paramètres!$B$6,"Relance 2",IF(P364&gt;=Paramètres!$B$5,"Relance 1","Échue, relance à venir")))))))</f>
        <v/>
      </c>
      <c r="R364" s="25">
        <f>IF(B364="","",IF(U364=Paramètres!$B$4,"Relancé aujourd'hui",TRIM(IF(LEFT(Q364,7)="Relance",Q364&amp;" ","")&amp;IF(K364="En retard","· Prévenir du retard de livraison",""))))</f>
        <v/>
      </c>
      <c r="S364" s="28">
        <f>IF(B364="","",IF(LEFT(Q364,9)="Relance 3","Bonjour "&amp;D364&amp;", nous revenons vers vous au sujet de la commande "&amp;A364&amp;" du "&amp;TEXT(B364,"dd/mm/yyyy")&amp;" : "&amp;SUBSTITUTE(TEXT(O364,"#,##0"),","," ")&amp;" FCFA restent à régler depuis le "&amp;TEXT(M364,"dd/mm/yyyy")&amp;". Notre responsable souhaite vous appeler pour convenir ensemble d'une solution. Quel moment vous arrange cette semaine ? "&amp;Paramètres!$B$11&amp;", "&amp;Paramètres!$B$12,IF(LEFT(Q364,7)="Relance","Bonjour "&amp;D364&amp;", sauf erreur de notre part, la commande "&amp;A364&amp;" du "&amp;TEXT(B364,"dd/mm/yyyy")&amp;" ("&amp;E364&amp;") présente un reste à payer de "&amp;SUBSTITUTE(TEXT(O364,"#,##0"),","," ")&amp;" FCFA, échu depuis le "&amp;TEXT(M364,"dd/mm/yyyy")&amp;". Pouvez-vous nous indiquer la date de règlement prévue ? Si le paiement est déjà parti, merci de nous envoyer la preuve et ne tenez pas compte de ce message. "&amp;Paramètres!$B$11&amp;", "&amp;Paramètres!$B$12,IF(K364="En retard","Bonjour "&amp;D364&amp;", votre commande "&amp;A364&amp;" ("&amp;E364&amp;", "&amp;F364&amp;" pièces) prévue le "&amp;TEXT(I364,"dd/mm/yyyy")&amp;" a pris du retard. Nous vous confirmons la nouvelle date de livraison dans la journée. Toutes nos excuses pour ce contretemps. "&amp;Paramètres!$B$11&amp;", "&amp;Paramètres!$B$12,""))))</f>
        <v/>
      </c>
      <c r="T364" s="21" t="n"/>
      <c r="U364" s="26" t="n"/>
      <c r="V364" s="21" t="n"/>
    </row>
    <row r="365">
      <c r="A365" s="21" t="n"/>
      <c r="B365" s="26" t="n"/>
      <c r="C365" s="21" t="n"/>
      <c r="D365" s="25">
        <f>IF(C365="","",IFERROR(VLOOKUP(C365,Revendeurs!$A:$B,2,FALSE),"Code inconnu"))</f>
        <v/>
      </c>
      <c r="E365" s="21" t="n"/>
      <c r="F365" s="21" t="n"/>
      <c r="G365" s="22" t="n"/>
      <c r="H365" s="23">
        <f>IF(OR(F365="",G365=""),"",F365*G365)</f>
        <v/>
      </c>
      <c r="I365" s="26" t="n"/>
      <c r="J365" s="26" t="n"/>
      <c r="K365" s="25">
        <f>IF(B365="","",IF(J365&lt;&gt;"","Livrée",IF(I365="","À planifier",IF(Paramètres!$B$4&gt;I365+Paramètres!$B$8,"En retard","En cours"))))</f>
        <v/>
      </c>
      <c r="L365" s="25">
        <f>IF(K365="En retard",Paramètres!$B$4-I365,"")</f>
        <v/>
      </c>
      <c r="M365" s="27">
        <f>IF(OR(B365="",J365=""),"",J365+IFERROR(IF(VLOOKUP(C365,Revendeurs!$A:$G,7,FALSE)="",Paramètres!$B$9,VLOOKUP(C365,Revendeurs!$A:$G,7,FALSE)),Paramètres!$B$9))</f>
        <v/>
      </c>
      <c r="N365" s="22" t="n"/>
      <c r="O365" s="23">
        <f>IF(H365="","",H365-N365)</f>
        <v/>
      </c>
      <c r="P365" s="25">
        <f>IF(OR(M365="",O365=""),"",IF(O365&lt;=0,0,MAX(0,Paramètres!$B$4-M365)))</f>
        <v/>
      </c>
      <c r="Q365" s="25">
        <f>IF(H365="","",IF(O365&lt;=0,"Payée",IF(M365="","Pas encore livrée",IF(P365=0,"Non échue",IF(P365&gt;=Paramètres!$B$7,"Relance 3 : appel direction",IF(P365&gt;=Paramètres!$B$6,"Relance 2",IF(P365&gt;=Paramètres!$B$5,"Relance 1","Échue, relance à venir")))))))</f>
        <v/>
      </c>
      <c r="R365" s="25">
        <f>IF(B365="","",IF(U365=Paramètres!$B$4,"Relancé aujourd'hui",TRIM(IF(LEFT(Q365,7)="Relance",Q365&amp;" ","")&amp;IF(K365="En retard","· Prévenir du retard de livraison",""))))</f>
        <v/>
      </c>
      <c r="S365" s="28">
        <f>IF(B365="","",IF(LEFT(Q365,9)="Relance 3","Bonjour "&amp;D365&amp;", nous revenons vers vous au sujet de la commande "&amp;A365&amp;" du "&amp;TEXT(B365,"dd/mm/yyyy")&amp;" : "&amp;SUBSTITUTE(TEXT(O365,"#,##0"),","," ")&amp;" FCFA restent à régler depuis le "&amp;TEXT(M365,"dd/mm/yyyy")&amp;". Notre responsable souhaite vous appeler pour convenir ensemble d'une solution. Quel moment vous arrange cette semaine ? "&amp;Paramètres!$B$11&amp;", "&amp;Paramètres!$B$12,IF(LEFT(Q365,7)="Relance","Bonjour "&amp;D365&amp;", sauf erreur de notre part, la commande "&amp;A365&amp;" du "&amp;TEXT(B365,"dd/mm/yyyy")&amp;" ("&amp;E365&amp;") présente un reste à payer de "&amp;SUBSTITUTE(TEXT(O365,"#,##0"),","," ")&amp;" FCFA, échu depuis le "&amp;TEXT(M365,"dd/mm/yyyy")&amp;". Pouvez-vous nous indiquer la date de règlement prévue ? Si le paiement est déjà parti, merci de nous envoyer la preuve et ne tenez pas compte de ce message. "&amp;Paramètres!$B$11&amp;", "&amp;Paramètres!$B$12,IF(K365="En retard","Bonjour "&amp;D365&amp;", votre commande "&amp;A365&amp;" ("&amp;E365&amp;", "&amp;F365&amp;" pièces) prévue le "&amp;TEXT(I365,"dd/mm/yyyy")&amp;" a pris du retard. Nous vous confirmons la nouvelle date de livraison dans la journée. Toutes nos excuses pour ce contretemps. "&amp;Paramètres!$B$11&amp;", "&amp;Paramètres!$B$12,""))))</f>
        <v/>
      </c>
      <c r="T365" s="21" t="n"/>
      <c r="U365" s="26" t="n"/>
      <c r="V365" s="21" t="n"/>
    </row>
    <row r="366">
      <c r="A366" s="21" t="n"/>
      <c r="B366" s="26" t="n"/>
      <c r="C366" s="21" t="n"/>
      <c r="D366" s="25">
        <f>IF(C366="","",IFERROR(VLOOKUP(C366,Revendeurs!$A:$B,2,FALSE),"Code inconnu"))</f>
        <v/>
      </c>
      <c r="E366" s="21" t="n"/>
      <c r="F366" s="21" t="n"/>
      <c r="G366" s="22" t="n"/>
      <c r="H366" s="23">
        <f>IF(OR(F366="",G366=""),"",F366*G366)</f>
        <v/>
      </c>
      <c r="I366" s="26" t="n"/>
      <c r="J366" s="26" t="n"/>
      <c r="K366" s="25">
        <f>IF(B366="","",IF(J366&lt;&gt;"","Livrée",IF(I366="","À planifier",IF(Paramètres!$B$4&gt;I366+Paramètres!$B$8,"En retard","En cours"))))</f>
        <v/>
      </c>
      <c r="L366" s="25">
        <f>IF(K366="En retard",Paramètres!$B$4-I366,"")</f>
        <v/>
      </c>
      <c r="M366" s="27">
        <f>IF(OR(B366="",J366=""),"",J366+IFERROR(IF(VLOOKUP(C366,Revendeurs!$A:$G,7,FALSE)="",Paramètres!$B$9,VLOOKUP(C366,Revendeurs!$A:$G,7,FALSE)),Paramètres!$B$9))</f>
        <v/>
      </c>
      <c r="N366" s="22" t="n"/>
      <c r="O366" s="23">
        <f>IF(H366="","",H366-N366)</f>
        <v/>
      </c>
      <c r="P366" s="25">
        <f>IF(OR(M366="",O366=""),"",IF(O366&lt;=0,0,MAX(0,Paramètres!$B$4-M366)))</f>
        <v/>
      </c>
      <c r="Q366" s="25">
        <f>IF(H366="","",IF(O366&lt;=0,"Payée",IF(M366="","Pas encore livrée",IF(P366=0,"Non échue",IF(P366&gt;=Paramètres!$B$7,"Relance 3 : appel direction",IF(P366&gt;=Paramètres!$B$6,"Relance 2",IF(P366&gt;=Paramètres!$B$5,"Relance 1","Échue, relance à venir")))))))</f>
        <v/>
      </c>
      <c r="R366" s="25">
        <f>IF(B366="","",IF(U366=Paramètres!$B$4,"Relancé aujourd'hui",TRIM(IF(LEFT(Q366,7)="Relance",Q366&amp;" ","")&amp;IF(K366="En retard","· Prévenir du retard de livraison",""))))</f>
        <v/>
      </c>
      <c r="S366" s="28">
        <f>IF(B366="","",IF(LEFT(Q366,9)="Relance 3","Bonjour "&amp;D366&amp;", nous revenons vers vous au sujet de la commande "&amp;A366&amp;" du "&amp;TEXT(B366,"dd/mm/yyyy")&amp;" : "&amp;SUBSTITUTE(TEXT(O366,"#,##0"),","," ")&amp;" FCFA restent à régler depuis le "&amp;TEXT(M366,"dd/mm/yyyy")&amp;". Notre responsable souhaite vous appeler pour convenir ensemble d'une solution. Quel moment vous arrange cette semaine ? "&amp;Paramètres!$B$11&amp;", "&amp;Paramètres!$B$12,IF(LEFT(Q366,7)="Relance","Bonjour "&amp;D366&amp;", sauf erreur de notre part, la commande "&amp;A366&amp;" du "&amp;TEXT(B366,"dd/mm/yyyy")&amp;" ("&amp;E366&amp;") présente un reste à payer de "&amp;SUBSTITUTE(TEXT(O366,"#,##0"),","," ")&amp;" FCFA, échu depuis le "&amp;TEXT(M366,"dd/mm/yyyy")&amp;". Pouvez-vous nous indiquer la date de règlement prévue ? Si le paiement est déjà parti, merci de nous envoyer la preuve et ne tenez pas compte de ce message. "&amp;Paramètres!$B$11&amp;", "&amp;Paramètres!$B$12,IF(K366="En retard","Bonjour "&amp;D366&amp;", votre commande "&amp;A366&amp;" ("&amp;E366&amp;", "&amp;F366&amp;" pièces) prévue le "&amp;TEXT(I366,"dd/mm/yyyy")&amp;" a pris du retard. Nous vous confirmons la nouvelle date de livraison dans la journée. Toutes nos excuses pour ce contretemps. "&amp;Paramètres!$B$11&amp;", "&amp;Paramètres!$B$12,""))))</f>
        <v/>
      </c>
      <c r="T366" s="21" t="n"/>
      <c r="U366" s="26" t="n"/>
      <c r="V366" s="21" t="n"/>
    </row>
    <row r="367">
      <c r="A367" s="21" t="n"/>
      <c r="B367" s="26" t="n"/>
      <c r="C367" s="21" t="n"/>
      <c r="D367" s="25">
        <f>IF(C367="","",IFERROR(VLOOKUP(C367,Revendeurs!$A:$B,2,FALSE),"Code inconnu"))</f>
        <v/>
      </c>
      <c r="E367" s="21" t="n"/>
      <c r="F367" s="21" t="n"/>
      <c r="G367" s="22" t="n"/>
      <c r="H367" s="23">
        <f>IF(OR(F367="",G367=""),"",F367*G367)</f>
        <v/>
      </c>
      <c r="I367" s="26" t="n"/>
      <c r="J367" s="26" t="n"/>
      <c r="K367" s="25">
        <f>IF(B367="","",IF(J367&lt;&gt;"","Livrée",IF(I367="","À planifier",IF(Paramètres!$B$4&gt;I367+Paramètres!$B$8,"En retard","En cours"))))</f>
        <v/>
      </c>
      <c r="L367" s="25">
        <f>IF(K367="En retard",Paramètres!$B$4-I367,"")</f>
        <v/>
      </c>
      <c r="M367" s="27">
        <f>IF(OR(B367="",J367=""),"",J367+IFERROR(IF(VLOOKUP(C367,Revendeurs!$A:$G,7,FALSE)="",Paramètres!$B$9,VLOOKUP(C367,Revendeurs!$A:$G,7,FALSE)),Paramètres!$B$9))</f>
        <v/>
      </c>
      <c r="N367" s="22" t="n"/>
      <c r="O367" s="23">
        <f>IF(H367="","",H367-N367)</f>
        <v/>
      </c>
      <c r="P367" s="25">
        <f>IF(OR(M367="",O367=""),"",IF(O367&lt;=0,0,MAX(0,Paramètres!$B$4-M367)))</f>
        <v/>
      </c>
      <c r="Q367" s="25">
        <f>IF(H367="","",IF(O367&lt;=0,"Payée",IF(M367="","Pas encore livrée",IF(P367=0,"Non échue",IF(P367&gt;=Paramètres!$B$7,"Relance 3 : appel direction",IF(P367&gt;=Paramètres!$B$6,"Relance 2",IF(P367&gt;=Paramètres!$B$5,"Relance 1","Échue, relance à venir")))))))</f>
        <v/>
      </c>
      <c r="R367" s="25">
        <f>IF(B367="","",IF(U367=Paramètres!$B$4,"Relancé aujourd'hui",TRIM(IF(LEFT(Q367,7)="Relance",Q367&amp;" ","")&amp;IF(K367="En retard","· Prévenir du retard de livraison",""))))</f>
        <v/>
      </c>
      <c r="S367" s="28">
        <f>IF(B367="","",IF(LEFT(Q367,9)="Relance 3","Bonjour "&amp;D367&amp;", nous revenons vers vous au sujet de la commande "&amp;A367&amp;" du "&amp;TEXT(B367,"dd/mm/yyyy")&amp;" : "&amp;SUBSTITUTE(TEXT(O367,"#,##0"),","," ")&amp;" FCFA restent à régler depuis le "&amp;TEXT(M367,"dd/mm/yyyy")&amp;". Notre responsable souhaite vous appeler pour convenir ensemble d'une solution. Quel moment vous arrange cette semaine ? "&amp;Paramètres!$B$11&amp;", "&amp;Paramètres!$B$12,IF(LEFT(Q367,7)="Relance","Bonjour "&amp;D367&amp;", sauf erreur de notre part, la commande "&amp;A367&amp;" du "&amp;TEXT(B367,"dd/mm/yyyy")&amp;" ("&amp;E367&amp;") présente un reste à payer de "&amp;SUBSTITUTE(TEXT(O367,"#,##0"),","," ")&amp;" FCFA, échu depuis le "&amp;TEXT(M367,"dd/mm/yyyy")&amp;". Pouvez-vous nous indiquer la date de règlement prévue ? Si le paiement est déjà parti, merci de nous envoyer la preuve et ne tenez pas compte de ce message. "&amp;Paramètres!$B$11&amp;", "&amp;Paramètres!$B$12,IF(K367="En retard","Bonjour "&amp;D367&amp;", votre commande "&amp;A367&amp;" ("&amp;E367&amp;", "&amp;F367&amp;" pièces) prévue le "&amp;TEXT(I367,"dd/mm/yyyy")&amp;" a pris du retard. Nous vous confirmons la nouvelle date de livraison dans la journée. Toutes nos excuses pour ce contretemps. "&amp;Paramètres!$B$11&amp;", "&amp;Paramètres!$B$12,""))))</f>
        <v/>
      </c>
      <c r="T367" s="21" t="n"/>
      <c r="U367" s="26" t="n"/>
      <c r="V367" s="21" t="n"/>
    </row>
    <row r="368">
      <c r="A368" s="21" t="n"/>
      <c r="B368" s="26" t="n"/>
      <c r="C368" s="21" t="n"/>
      <c r="D368" s="25">
        <f>IF(C368="","",IFERROR(VLOOKUP(C368,Revendeurs!$A:$B,2,FALSE),"Code inconnu"))</f>
        <v/>
      </c>
      <c r="E368" s="21" t="n"/>
      <c r="F368" s="21" t="n"/>
      <c r="G368" s="22" t="n"/>
      <c r="H368" s="23">
        <f>IF(OR(F368="",G368=""),"",F368*G368)</f>
        <v/>
      </c>
      <c r="I368" s="26" t="n"/>
      <c r="J368" s="26" t="n"/>
      <c r="K368" s="25">
        <f>IF(B368="","",IF(J368&lt;&gt;"","Livrée",IF(I368="","À planifier",IF(Paramètres!$B$4&gt;I368+Paramètres!$B$8,"En retard","En cours"))))</f>
        <v/>
      </c>
      <c r="L368" s="25">
        <f>IF(K368="En retard",Paramètres!$B$4-I368,"")</f>
        <v/>
      </c>
      <c r="M368" s="27">
        <f>IF(OR(B368="",J368=""),"",J368+IFERROR(IF(VLOOKUP(C368,Revendeurs!$A:$G,7,FALSE)="",Paramètres!$B$9,VLOOKUP(C368,Revendeurs!$A:$G,7,FALSE)),Paramètres!$B$9))</f>
        <v/>
      </c>
      <c r="N368" s="22" t="n"/>
      <c r="O368" s="23">
        <f>IF(H368="","",H368-N368)</f>
        <v/>
      </c>
      <c r="P368" s="25">
        <f>IF(OR(M368="",O368=""),"",IF(O368&lt;=0,0,MAX(0,Paramètres!$B$4-M368)))</f>
        <v/>
      </c>
      <c r="Q368" s="25">
        <f>IF(H368="","",IF(O368&lt;=0,"Payée",IF(M368="","Pas encore livrée",IF(P368=0,"Non échue",IF(P368&gt;=Paramètres!$B$7,"Relance 3 : appel direction",IF(P368&gt;=Paramètres!$B$6,"Relance 2",IF(P368&gt;=Paramètres!$B$5,"Relance 1","Échue, relance à venir")))))))</f>
        <v/>
      </c>
      <c r="R368" s="25">
        <f>IF(B368="","",IF(U368=Paramètres!$B$4,"Relancé aujourd'hui",TRIM(IF(LEFT(Q368,7)="Relance",Q368&amp;" ","")&amp;IF(K368="En retard","· Prévenir du retard de livraison",""))))</f>
        <v/>
      </c>
      <c r="S368" s="28">
        <f>IF(B368="","",IF(LEFT(Q368,9)="Relance 3","Bonjour "&amp;D368&amp;", nous revenons vers vous au sujet de la commande "&amp;A368&amp;" du "&amp;TEXT(B368,"dd/mm/yyyy")&amp;" : "&amp;SUBSTITUTE(TEXT(O368,"#,##0"),","," ")&amp;" FCFA restent à régler depuis le "&amp;TEXT(M368,"dd/mm/yyyy")&amp;". Notre responsable souhaite vous appeler pour convenir ensemble d'une solution. Quel moment vous arrange cette semaine ? "&amp;Paramètres!$B$11&amp;", "&amp;Paramètres!$B$12,IF(LEFT(Q368,7)="Relance","Bonjour "&amp;D368&amp;", sauf erreur de notre part, la commande "&amp;A368&amp;" du "&amp;TEXT(B368,"dd/mm/yyyy")&amp;" ("&amp;E368&amp;") présente un reste à payer de "&amp;SUBSTITUTE(TEXT(O368,"#,##0"),","," ")&amp;" FCFA, échu depuis le "&amp;TEXT(M368,"dd/mm/yyyy")&amp;". Pouvez-vous nous indiquer la date de règlement prévue ? Si le paiement est déjà parti, merci de nous envoyer la preuve et ne tenez pas compte de ce message. "&amp;Paramètres!$B$11&amp;", "&amp;Paramètres!$B$12,IF(K368="En retard","Bonjour "&amp;D368&amp;", votre commande "&amp;A368&amp;" ("&amp;E368&amp;", "&amp;F368&amp;" pièces) prévue le "&amp;TEXT(I368,"dd/mm/yyyy")&amp;" a pris du retard. Nous vous confirmons la nouvelle date de livraison dans la journée. Toutes nos excuses pour ce contretemps. "&amp;Paramètres!$B$11&amp;", "&amp;Paramètres!$B$12,""))))</f>
        <v/>
      </c>
      <c r="T368" s="21" t="n"/>
      <c r="U368" s="26" t="n"/>
      <c r="V368" s="21" t="n"/>
    </row>
    <row r="369">
      <c r="A369" s="21" t="n"/>
      <c r="B369" s="26" t="n"/>
      <c r="C369" s="21" t="n"/>
      <c r="D369" s="25">
        <f>IF(C369="","",IFERROR(VLOOKUP(C369,Revendeurs!$A:$B,2,FALSE),"Code inconnu"))</f>
        <v/>
      </c>
      <c r="E369" s="21" t="n"/>
      <c r="F369" s="21" t="n"/>
      <c r="G369" s="22" t="n"/>
      <c r="H369" s="23">
        <f>IF(OR(F369="",G369=""),"",F369*G369)</f>
        <v/>
      </c>
      <c r="I369" s="26" t="n"/>
      <c r="J369" s="26" t="n"/>
      <c r="K369" s="25">
        <f>IF(B369="","",IF(J369&lt;&gt;"","Livrée",IF(I369="","À planifier",IF(Paramètres!$B$4&gt;I369+Paramètres!$B$8,"En retard","En cours"))))</f>
        <v/>
      </c>
      <c r="L369" s="25">
        <f>IF(K369="En retard",Paramètres!$B$4-I369,"")</f>
        <v/>
      </c>
      <c r="M369" s="27">
        <f>IF(OR(B369="",J369=""),"",J369+IFERROR(IF(VLOOKUP(C369,Revendeurs!$A:$G,7,FALSE)="",Paramètres!$B$9,VLOOKUP(C369,Revendeurs!$A:$G,7,FALSE)),Paramètres!$B$9))</f>
        <v/>
      </c>
      <c r="N369" s="22" t="n"/>
      <c r="O369" s="23">
        <f>IF(H369="","",H369-N369)</f>
        <v/>
      </c>
      <c r="P369" s="25">
        <f>IF(OR(M369="",O369=""),"",IF(O369&lt;=0,0,MAX(0,Paramètres!$B$4-M369)))</f>
        <v/>
      </c>
      <c r="Q369" s="25">
        <f>IF(H369="","",IF(O369&lt;=0,"Payée",IF(M369="","Pas encore livrée",IF(P369=0,"Non échue",IF(P369&gt;=Paramètres!$B$7,"Relance 3 : appel direction",IF(P369&gt;=Paramètres!$B$6,"Relance 2",IF(P369&gt;=Paramètres!$B$5,"Relance 1","Échue, relance à venir")))))))</f>
        <v/>
      </c>
      <c r="R369" s="25">
        <f>IF(B369="","",IF(U369=Paramètres!$B$4,"Relancé aujourd'hui",TRIM(IF(LEFT(Q369,7)="Relance",Q369&amp;" ","")&amp;IF(K369="En retard","· Prévenir du retard de livraison",""))))</f>
        <v/>
      </c>
      <c r="S369" s="28">
        <f>IF(B369="","",IF(LEFT(Q369,9)="Relance 3","Bonjour "&amp;D369&amp;", nous revenons vers vous au sujet de la commande "&amp;A369&amp;" du "&amp;TEXT(B369,"dd/mm/yyyy")&amp;" : "&amp;SUBSTITUTE(TEXT(O369,"#,##0"),","," ")&amp;" FCFA restent à régler depuis le "&amp;TEXT(M369,"dd/mm/yyyy")&amp;". Notre responsable souhaite vous appeler pour convenir ensemble d'une solution. Quel moment vous arrange cette semaine ? "&amp;Paramètres!$B$11&amp;", "&amp;Paramètres!$B$12,IF(LEFT(Q369,7)="Relance","Bonjour "&amp;D369&amp;", sauf erreur de notre part, la commande "&amp;A369&amp;" du "&amp;TEXT(B369,"dd/mm/yyyy")&amp;" ("&amp;E369&amp;") présente un reste à payer de "&amp;SUBSTITUTE(TEXT(O369,"#,##0"),","," ")&amp;" FCFA, échu depuis le "&amp;TEXT(M369,"dd/mm/yyyy")&amp;". Pouvez-vous nous indiquer la date de règlement prévue ? Si le paiement est déjà parti, merci de nous envoyer la preuve et ne tenez pas compte de ce message. "&amp;Paramètres!$B$11&amp;", "&amp;Paramètres!$B$12,IF(K369="En retard","Bonjour "&amp;D369&amp;", votre commande "&amp;A369&amp;" ("&amp;E369&amp;", "&amp;F369&amp;" pièces) prévue le "&amp;TEXT(I369,"dd/mm/yyyy")&amp;" a pris du retard. Nous vous confirmons la nouvelle date de livraison dans la journée. Toutes nos excuses pour ce contretemps. "&amp;Paramètres!$B$11&amp;", "&amp;Paramètres!$B$12,""))))</f>
        <v/>
      </c>
      <c r="T369" s="21" t="n"/>
      <c r="U369" s="26" t="n"/>
      <c r="V369" s="21" t="n"/>
    </row>
    <row r="370">
      <c r="A370" s="21" t="n"/>
      <c r="B370" s="26" t="n"/>
      <c r="C370" s="21" t="n"/>
      <c r="D370" s="25">
        <f>IF(C370="","",IFERROR(VLOOKUP(C370,Revendeurs!$A:$B,2,FALSE),"Code inconnu"))</f>
        <v/>
      </c>
      <c r="E370" s="21" t="n"/>
      <c r="F370" s="21" t="n"/>
      <c r="G370" s="22" t="n"/>
      <c r="H370" s="23">
        <f>IF(OR(F370="",G370=""),"",F370*G370)</f>
        <v/>
      </c>
      <c r="I370" s="26" t="n"/>
      <c r="J370" s="26" t="n"/>
      <c r="K370" s="25">
        <f>IF(B370="","",IF(J370&lt;&gt;"","Livrée",IF(I370="","À planifier",IF(Paramètres!$B$4&gt;I370+Paramètres!$B$8,"En retard","En cours"))))</f>
        <v/>
      </c>
      <c r="L370" s="25">
        <f>IF(K370="En retard",Paramètres!$B$4-I370,"")</f>
        <v/>
      </c>
      <c r="M370" s="27">
        <f>IF(OR(B370="",J370=""),"",J370+IFERROR(IF(VLOOKUP(C370,Revendeurs!$A:$G,7,FALSE)="",Paramètres!$B$9,VLOOKUP(C370,Revendeurs!$A:$G,7,FALSE)),Paramètres!$B$9))</f>
        <v/>
      </c>
      <c r="N370" s="22" t="n"/>
      <c r="O370" s="23">
        <f>IF(H370="","",H370-N370)</f>
        <v/>
      </c>
      <c r="P370" s="25">
        <f>IF(OR(M370="",O370=""),"",IF(O370&lt;=0,0,MAX(0,Paramètres!$B$4-M370)))</f>
        <v/>
      </c>
      <c r="Q370" s="25">
        <f>IF(H370="","",IF(O370&lt;=0,"Payée",IF(M370="","Pas encore livrée",IF(P370=0,"Non échue",IF(P370&gt;=Paramètres!$B$7,"Relance 3 : appel direction",IF(P370&gt;=Paramètres!$B$6,"Relance 2",IF(P370&gt;=Paramètres!$B$5,"Relance 1","Échue, relance à venir")))))))</f>
        <v/>
      </c>
      <c r="R370" s="25">
        <f>IF(B370="","",IF(U370=Paramètres!$B$4,"Relancé aujourd'hui",TRIM(IF(LEFT(Q370,7)="Relance",Q370&amp;" ","")&amp;IF(K370="En retard","· Prévenir du retard de livraison",""))))</f>
        <v/>
      </c>
      <c r="S370" s="28">
        <f>IF(B370="","",IF(LEFT(Q370,9)="Relance 3","Bonjour "&amp;D370&amp;", nous revenons vers vous au sujet de la commande "&amp;A370&amp;" du "&amp;TEXT(B370,"dd/mm/yyyy")&amp;" : "&amp;SUBSTITUTE(TEXT(O370,"#,##0"),","," ")&amp;" FCFA restent à régler depuis le "&amp;TEXT(M370,"dd/mm/yyyy")&amp;". Notre responsable souhaite vous appeler pour convenir ensemble d'une solution. Quel moment vous arrange cette semaine ? "&amp;Paramètres!$B$11&amp;", "&amp;Paramètres!$B$12,IF(LEFT(Q370,7)="Relance","Bonjour "&amp;D370&amp;", sauf erreur de notre part, la commande "&amp;A370&amp;" du "&amp;TEXT(B370,"dd/mm/yyyy")&amp;" ("&amp;E370&amp;") présente un reste à payer de "&amp;SUBSTITUTE(TEXT(O370,"#,##0"),","," ")&amp;" FCFA, échu depuis le "&amp;TEXT(M370,"dd/mm/yyyy")&amp;". Pouvez-vous nous indiquer la date de règlement prévue ? Si le paiement est déjà parti, merci de nous envoyer la preuve et ne tenez pas compte de ce message. "&amp;Paramètres!$B$11&amp;", "&amp;Paramètres!$B$12,IF(K370="En retard","Bonjour "&amp;D370&amp;", votre commande "&amp;A370&amp;" ("&amp;E370&amp;", "&amp;F370&amp;" pièces) prévue le "&amp;TEXT(I370,"dd/mm/yyyy")&amp;" a pris du retard. Nous vous confirmons la nouvelle date de livraison dans la journée. Toutes nos excuses pour ce contretemps. "&amp;Paramètres!$B$11&amp;", "&amp;Paramètres!$B$12,""))))</f>
        <v/>
      </c>
      <c r="T370" s="21" t="n"/>
      <c r="U370" s="26" t="n"/>
      <c r="V370" s="21" t="n"/>
    </row>
    <row r="371">
      <c r="A371" s="21" t="n"/>
      <c r="B371" s="26" t="n"/>
      <c r="C371" s="21" t="n"/>
      <c r="D371" s="25">
        <f>IF(C371="","",IFERROR(VLOOKUP(C371,Revendeurs!$A:$B,2,FALSE),"Code inconnu"))</f>
        <v/>
      </c>
      <c r="E371" s="21" t="n"/>
      <c r="F371" s="21" t="n"/>
      <c r="G371" s="22" t="n"/>
      <c r="H371" s="23">
        <f>IF(OR(F371="",G371=""),"",F371*G371)</f>
        <v/>
      </c>
      <c r="I371" s="26" t="n"/>
      <c r="J371" s="26" t="n"/>
      <c r="K371" s="25">
        <f>IF(B371="","",IF(J371&lt;&gt;"","Livrée",IF(I371="","À planifier",IF(Paramètres!$B$4&gt;I371+Paramètres!$B$8,"En retard","En cours"))))</f>
        <v/>
      </c>
      <c r="L371" s="25">
        <f>IF(K371="En retard",Paramètres!$B$4-I371,"")</f>
        <v/>
      </c>
      <c r="M371" s="27">
        <f>IF(OR(B371="",J371=""),"",J371+IFERROR(IF(VLOOKUP(C371,Revendeurs!$A:$G,7,FALSE)="",Paramètres!$B$9,VLOOKUP(C371,Revendeurs!$A:$G,7,FALSE)),Paramètres!$B$9))</f>
        <v/>
      </c>
      <c r="N371" s="22" t="n"/>
      <c r="O371" s="23">
        <f>IF(H371="","",H371-N371)</f>
        <v/>
      </c>
      <c r="P371" s="25">
        <f>IF(OR(M371="",O371=""),"",IF(O371&lt;=0,0,MAX(0,Paramètres!$B$4-M371)))</f>
        <v/>
      </c>
      <c r="Q371" s="25">
        <f>IF(H371="","",IF(O371&lt;=0,"Payée",IF(M371="","Pas encore livrée",IF(P371=0,"Non échue",IF(P371&gt;=Paramètres!$B$7,"Relance 3 : appel direction",IF(P371&gt;=Paramètres!$B$6,"Relance 2",IF(P371&gt;=Paramètres!$B$5,"Relance 1","Échue, relance à venir")))))))</f>
        <v/>
      </c>
      <c r="R371" s="25">
        <f>IF(B371="","",IF(U371=Paramètres!$B$4,"Relancé aujourd'hui",TRIM(IF(LEFT(Q371,7)="Relance",Q371&amp;" ","")&amp;IF(K371="En retard","· Prévenir du retard de livraison",""))))</f>
        <v/>
      </c>
      <c r="S371" s="28">
        <f>IF(B371="","",IF(LEFT(Q371,9)="Relance 3","Bonjour "&amp;D371&amp;", nous revenons vers vous au sujet de la commande "&amp;A371&amp;" du "&amp;TEXT(B371,"dd/mm/yyyy")&amp;" : "&amp;SUBSTITUTE(TEXT(O371,"#,##0"),","," ")&amp;" FCFA restent à régler depuis le "&amp;TEXT(M371,"dd/mm/yyyy")&amp;". Notre responsable souhaite vous appeler pour convenir ensemble d'une solution. Quel moment vous arrange cette semaine ? "&amp;Paramètres!$B$11&amp;", "&amp;Paramètres!$B$12,IF(LEFT(Q371,7)="Relance","Bonjour "&amp;D371&amp;", sauf erreur de notre part, la commande "&amp;A371&amp;" du "&amp;TEXT(B371,"dd/mm/yyyy")&amp;" ("&amp;E371&amp;") présente un reste à payer de "&amp;SUBSTITUTE(TEXT(O371,"#,##0"),","," ")&amp;" FCFA, échu depuis le "&amp;TEXT(M371,"dd/mm/yyyy")&amp;". Pouvez-vous nous indiquer la date de règlement prévue ? Si le paiement est déjà parti, merci de nous envoyer la preuve et ne tenez pas compte de ce message. "&amp;Paramètres!$B$11&amp;", "&amp;Paramètres!$B$12,IF(K371="En retard","Bonjour "&amp;D371&amp;", votre commande "&amp;A371&amp;" ("&amp;E371&amp;", "&amp;F371&amp;" pièces) prévue le "&amp;TEXT(I371,"dd/mm/yyyy")&amp;" a pris du retard. Nous vous confirmons la nouvelle date de livraison dans la journée. Toutes nos excuses pour ce contretemps. "&amp;Paramètres!$B$11&amp;", "&amp;Paramètres!$B$12,""))))</f>
        <v/>
      </c>
      <c r="T371" s="21" t="n"/>
      <c r="U371" s="26" t="n"/>
      <c r="V371" s="21" t="n"/>
    </row>
    <row r="372">
      <c r="A372" s="21" t="n"/>
      <c r="B372" s="26" t="n"/>
      <c r="C372" s="21" t="n"/>
      <c r="D372" s="25">
        <f>IF(C372="","",IFERROR(VLOOKUP(C372,Revendeurs!$A:$B,2,FALSE),"Code inconnu"))</f>
        <v/>
      </c>
      <c r="E372" s="21" t="n"/>
      <c r="F372" s="21" t="n"/>
      <c r="G372" s="22" t="n"/>
      <c r="H372" s="23">
        <f>IF(OR(F372="",G372=""),"",F372*G372)</f>
        <v/>
      </c>
      <c r="I372" s="26" t="n"/>
      <c r="J372" s="26" t="n"/>
      <c r="K372" s="25">
        <f>IF(B372="","",IF(J372&lt;&gt;"","Livrée",IF(I372="","À planifier",IF(Paramètres!$B$4&gt;I372+Paramètres!$B$8,"En retard","En cours"))))</f>
        <v/>
      </c>
      <c r="L372" s="25">
        <f>IF(K372="En retard",Paramètres!$B$4-I372,"")</f>
        <v/>
      </c>
      <c r="M372" s="27">
        <f>IF(OR(B372="",J372=""),"",J372+IFERROR(IF(VLOOKUP(C372,Revendeurs!$A:$G,7,FALSE)="",Paramètres!$B$9,VLOOKUP(C372,Revendeurs!$A:$G,7,FALSE)),Paramètres!$B$9))</f>
        <v/>
      </c>
      <c r="N372" s="22" t="n"/>
      <c r="O372" s="23">
        <f>IF(H372="","",H372-N372)</f>
        <v/>
      </c>
      <c r="P372" s="25">
        <f>IF(OR(M372="",O372=""),"",IF(O372&lt;=0,0,MAX(0,Paramètres!$B$4-M372)))</f>
        <v/>
      </c>
      <c r="Q372" s="25">
        <f>IF(H372="","",IF(O372&lt;=0,"Payée",IF(M372="","Pas encore livrée",IF(P372=0,"Non échue",IF(P372&gt;=Paramètres!$B$7,"Relance 3 : appel direction",IF(P372&gt;=Paramètres!$B$6,"Relance 2",IF(P372&gt;=Paramètres!$B$5,"Relance 1","Échue, relance à venir")))))))</f>
        <v/>
      </c>
      <c r="R372" s="25">
        <f>IF(B372="","",IF(U372=Paramètres!$B$4,"Relancé aujourd'hui",TRIM(IF(LEFT(Q372,7)="Relance",Q372&amp;" ","")&amp;IF(K372="En retard","· Prévenir du retard de livraison",""))))</f>
        <v/>
      </c>
      <c r="S372" s="28">
        <f>IF(B372="","",IF(LEFT(Q372,9)="Relance 3","Bonjour "&amp;D372&amp;", nous revenons vers vous au sujet de la commande "&amp;A372&amp;" du "&amp;TEXT(B372,"dd/mm/yyyy")&amp;" : "&amp;SUBSTITUTE(TEXT(O372,"#,##0"),","," ")&amp;" FCFA restent à régler depuis le "&amp;TEXT(M372,"dd/mm/yyyy")&amp;". Notre responsable souhaite vous appeler pour convenir ensemble d'une solution. Quel moment vous arrange cette semaine ? "&amp;Paramètres!$B$11&amp;", "&amp;Paramètres!$B$12,IF(LEFT(Q372,7)="Relance","Bonjour "&amp;D372&amp;", sauf erreur de notre part, la commande "&amp;A372&amp;" du "&amp;TEXT(B372,"dd/mm/yyyy")&amp;" ("&amp;E372&amp;") présente un reste à payer de "&amp;SUBSTITUTE(TEXT(O372,"#,##0"),","," ")&amp;" FCFA, échu depuis le "&amp;TEXT(M372,"dd/mm/yyyy")&amp;". Pouvez-vous nous indiquer la date de règlement prévue ? Si le paiement est déjà parti, merci de nous envoyer la preuve et ne tenez pas compte de ce message. "&amp;Paramètres!$B$11&amp;", "&amp;Paramètres!$B$12,IF(K372="En retard","Bonjour "&amp;D372&amp;", votre commande "&amp;A372&amp;" ("&amp;E372&amp;", "&amp;F372&amp;" pièces) prévue le "&amp;TEXT(I372,"dd/mm/yyyy")&amp;" a pris du retard. Nous vous confirmons la nouvelle date de livraison dans la journée. Toutes nos excuses pour ce contretemps. "&amp;Paramètres!$B$11&amp;", "&amp;Paramètres!$B$12,""))))</f>
        <v/>
      </c>
      <c r="T372" s="21" t="n"/>
      <c r="U372" s="26" t="n"/>
      <c r="V372" s="21" t="n"/>
    </row>
    <row r="373">
      <c r="A373" s="21" t="n"/>
      <c r="B373" s="26" t="n"/>
      <c r="C373" s="21" t="n"/>
      <c r="D373" s="25">
        <f>IF(C373="","",IFERROR(VLOOKUP(C373,Revendeurs!$A:$B,2,FALSE),"Code inconnu"))</f>
        <v/>
      </c>
      <c r="E373" s="21" t="n"/>
      <c r="F373" s="21" t="n"/>
      <c r="G373" s="22" t="n"/>
      <c r="H373" s="23">
        <f>IF(OR(F373="",G373=""),"",F373*G373)</f>
        <v/>
      </c>
      <c r="I373" s="26" t="n"/>
      <c r="J373" s="26" t="n"/>
      <c r="K373" s="25">
        <f>IF(B373="","",IF(J373&lt;&gt;"","Livrée",IF(I373="","À planifier",IF(Paramètres!$B$4&gt;I373+Paramètres!$B$8,"En retard","En cours"))))</f>
        <v/>
      </c>
      <c r="L373" s="25">
        <f>IF(K373="En retard",Paramètres!$B$4-I373,"")</f>
        <v/>
      </c>
      <c r="M373" s="27">
        <f>IF(OR(B373="",J373=""),"",J373+IFERROR(IF(VLOOKUP(C373,Revendeurs!$A:$G,7,FALSE)="",Paramètres!$B$9,VLOOKUP(C373,Revendeurs!$A:$G,7,FALSE)),Paramètres!$B$9))</f>
        <v/>
      </c>
      <c r="N373" s="22" t="n"/>
      <c r="O373" s="23">
        <f>IF(H373="","",H373-N373)</f>
        <v/>
      </c>
      <c r="P373" s="25">
        <f>IF(OR(M373="",O373=""),"",IF(O373&lt;=0,0,MAX(0,Paramètres!$B$4-M373)))</f>
        <v/>
      </c>
      <c r="Q373" s="25">
        <f>IF(H373="","",IF(O373&lt;=0,"Payée",IF(M373="","Pas encore livrée",IF(P373=0,"Non échue",IF(P373&gt;=Paramètres!$B$7,"Relance 3 : appel direction",IF(P373&gt;=Paramètres!$B$6,"Relance 2",IF(P373&gt;=Paramètres!$B$5,"Relance 1","Échue, relance à venir")))))))</f>
        <v/>
      </c>
      <c r="R373" s="25">
        <f>IF(B373="","",IF(U373=Paramètres!$B$4,"Relancé aujourd'hui",TRIM(IF(LEFT(Q373,7)="Relance",Q373&amp;" ","")&amp;IF(K373="En retard","· Prévenir du retard de livraison",""))))</f>
        <v/>
      </c>
      <c r="S373" s="28">
        <f>IF(B373="","",IF(LEFT(Q373,9)="Relance 3","Bonjour "&amp;D373&amp;", nous revenons vers vous au sujet de la commande "&amp;A373&amp;" du "&amp;TEXT(B373,"dd/mm/yyyy")&amp;" : "&amp;SUBSTITUTE(TEXT(O373,"#,##0"),","," ")&amp;" FCFA restent à régler depuis le "&amp;TEXT(M373,"dd/mm/yyyy")&amp;". Notre responsable souhaite vous appeler pour convenir ensemble d'une solution. Quel moment vous arrange cette semaine ? "&amp;Paramètres!$B$11&amp;", "&amp;Paramètres!$B$12,IF(LEFT(Q373,7)="Relance","Bonjour "&amp;D373&amp;", sauf erreur de notre part, la commande "&amp;A373&amp;" du "&amp;TEXT(B373,"dd/mm/yyyy")&amp;" ("&amp;E373&amp;") présente un reste à payer de "&amp;SUBSTITUTE(TEXT(O373,"#,##0"),","," ")&amp;" FCFA, échu depuis le "&amp;TEXT(M373,"dd/mm/yyyy")&amp;". Pouvez-vous nous indiquer la date de règlement prévue ? Si le paiement est déjà parti, merci de nous envoyer la preuve et ne tenez pas compte de ce message. "&amp;Paramètres!$B$11&amp;", "&amp;Paramètres!$B$12,IF(K373="En retard","Bonjour "&amp;D373&amp;", votre commande "&amp;A373&amp;" ("&amp;E373&amp;", "&amp;F373&amp;" pièces) prévue le "&amp;TEXT(I373,"dd/mm/yyyy")&amp;" a pris du retard. Nous vous confirmons la nouvelle date de livraison dans la journée. Toutes nos excuses pour ce contretemps. "&amp;Paramètres!$B$11&amp;", "&amp;Paramètres!$B$12,""))))</f>
        <v/>
      </c>
      <c r="T373" s="21" t="n"/>
      <c r="U373" s="26" t="n"/>
      <c r="V373" s="21" t="n"/>
    </row>
    <row r="374">
      <c r="A374" s="21" t="n"/>
      <c r="B374" s="26" t="n"/>
      <c r="C374" s="21" t="n"/>
      <c r="D374" s="25">
        <f>IF(C374="","",IFERROR(VLOOKUP(C374,Revendeurs!$A:$B,2,FALSE),"Code inconnu"))</f>
        <v/>
      </c>
      <c r="E374" s="21" t="n"/>
      <c r="F374" s="21" t="n"/>
      <c r="G374" s="22" t="n"/>
      <c r="H374" s="23">
        <f>IF(OR(F374="",G374=""),"",F374*G374)</f>
        <v/>
      </c>
      <c r="I374" s="26" t="n"/>
      <c r="J374" s="26" t="n"/>
      <c r="K374" s="25">
        <f>IF(B374="","",IF(J374&lt;&gt;"","Livrée",IF(I374="","À planifier",IF(Paramètres!$B$4&gt;I374+Paramètres!$B$8,"En retard","En cours"))))</f>
        <v/>
      </c>
      <c r="L374" s="25">
        <f>IF(K374="En retard",Paramètres!$B$4-I374,"")</f>
        <v/>
      </c>
      <c r="M374" s="27">
        <f>IF(OR(B374="",J374=""),"",J374+IFERROR(IF(VLOOKUP(C374,Revendeurs!$A:$G,7,FALSE)="",Paramètres!$B$9,VLOOKUP(C374,Revendeurs!$A:$G,7,FALSE)),Paramètres!$B$9))</f>
        <v/>
      </c>
      <c r="N374" s="22" t="n"/>
      <c r="O374" s="23">
        <f>IF(H374="","",H374-N374)</f>
        <v/>
      </c>
      <c r="P374" s="25">
        <f>IF(OR(M374="",O374=""),"",IF(O374&lt;=0,0,MAX(0,Paramètres!$B$4-M374)))</f>
        <v/>
      </c>
      <c r="Q374" s="25">
        <f>IF(H374="","",IF(O374&lt;=0,"Payée",IF(M374="","Pas encore livrée",IF(P374=0,"Non échue",IF(P374&gt;=Paramètres!$B$7,"Relance 3 : appel direction",IF(P374&gt;=Paramètres!$B$6,"Relance 2",IF(P374&gt;=Paramètres!$B$5,"Relance 1","Échue, relance à venir")))))))</f>
        <v/>
      </c>
      <c r="R374" s="25">
        <f>IF(B374="","",IF(U374=Paramètres!$B$4,"Relancé aujourd'hui",TRIM(IF(LEFT(Q374,7)="Relance",Q374&amp;" ","")&amp;IF(K374="En retard","· Prévenir du retard de livraison",""))))</f>
        <v/>
      </c>
      <c r="S374" s="28">
        <f>IF(B374="","",IF(LEFT(Q374,9)="Relance 3","Bonjour "&amp;D374&amp;", nous revenons vers vous au sujet de la commande "&amp;A374&amp;" du "&amp;TEXT(B374,"dd/mm/yyyy")&amp;" : "&amp;SUBSTITUTE(TEXT(O374,"#,##0"),","," ")&amp;" FCFA restent à régler depuis le "&amp;TEXT(M374,"dd/mm/yyyy")&amp;". Notre responsable souhaite vous appeler pour convenir ensemble d'une solution. Quel moment vous arrange cette semaine ? "&amp;Paramètres!$B$11&amp;", "&amp;Paramètres!$B$12,IF(LEFT(Q374,7)="Relance","Bonjour "&amp;D374&amp;", sauf erreur de notre part, la commande "&amp;A374&amp;" du "&amp;TEXT(B374,"dd/mm/yyyy")&amp;" ("&amp;E374&amp;") présente un reste à payer de "&amp;SUBSTITUTE(TEXT(O374,"#,##0"),","," ")&amp;" FCFA, échu depuis le "&amp;TEXT(M374,"dd/mm/yyyy")&amp;". Pouvez-vous nous indiquer la date de règlement prévue ? Si le paiement est déjà parti, merci de nous envoyer la preuve et ne tenez pas compte de ce message. "&amp;Paramètres!$B$11&amp;", "&amp;Paramètres!$B$12,IF(K374="En retard","Bonjour "&amp;D374&amp;", votre commande "&amp;A374&amp;" ("&amp;E374&amp;", "&amp;F374&amp;" pièces) prévue le "&amp;TEXT(I374,"dd/mm/yyyy")&amp;" a pris du retard. Nous vous confirmons la nouvelle date de livraison dans la journée. Toutes nos excuses pour ce contretemps. "&amp;Paramètres!$B$11&amp;", "&amp;Paramètres!$B$12,""))))</f>
        <v/>
      </c>
      <c r="T374" s="21" t="n"/>
      <c r="U374" s="26" t="n"/>
      <c r="V374" s="21" t="n"/>
    </row>
    <row r="375">
      <c r="A375" s="21" t="n"/>
      <c r="B375" s="26" t="n"/>
      <c r="C375" s="21" t="n"/>
      <c r="D375" s="25">
        <f>IF(C375="","",IFERROR(VLOOKUP(C375,Revendeurs!$A:$B,2,FALSE),"Code inconnu"))</f>
        <v/>
      </c>
      <c r="E375" s="21" t="n"/>
      <c r="F375" s="21" t="n"/>
      <c r="G375" s="22" t="n"/>
      <c r="H375" s="23">
        <f>IF(OR(F375="",G375=""),"",F375*G375)</f>
        <v/>
      </c>
      <c r="I375" s="26" t="n"/>
      <c r="J375" s="26" t="n"/>
      <c r="K375" s="25">
        <f>IF(B375="","",IF(J375&lt;&gt;"","Livrée",IF(I375="","À planifier",IF(Paramètres!$B$4&gt;I375+Paramètres!$B$8,"En retard","En cours"))))</f>
        <v/>
      </c>
      <c r="L375" s="25">
        <f>IF(K375="En retard",Paramètres!$B$4-I375,"")</f>
        <v/>
      </c>
      <c r="M375" s="27">
        <f>IF(OR(B375="",J375=""),"",J375+IFERROR(IF(VLOOKUP(C375,Revendeurs!$A:$G,7,FALSE)="",Paramètres!$B$9,VLOOKUP(C375,Revendeurs!$A:$G,7,FALSE)),Paramètres!$B$9))</f>
        <v/>
      </c>
      <c r="N375" s="22" t="n"/>
      <c r="O375" s="23">
        <f>IF(H375="","",H375-N375)</f>
        <v/>
      </c>
      <c r="P375" s="25">
        <f>IF(OR(M375="",O375=""),"",IF(O375&lt;=0,0,MAX(0,Paramètres!$B$4-M375)))</f>
        <v/>
      </c>
      <c r="Q375" s="25">
        <f>IF(H375="","",IF(O375&lt;=0,"Payée",IF(M375="","Pas encore livrée",IF(P375=0,"Non échue",IF(P375&gt;=Paramètres!$B$7,"Relance 3 : appel direction",IF(P375&gt;=Paramètres!$B$6,"Relance 2",IF(P375&gt;=Paramètres!$B$5,"Relance 1","Échue, relance à venir")))))))</f>
        <v/>
      </c>
      <c r="R375" s="25">
        <f>IF(B375="","",IF(U375=Paramètres!$B$4,"Relancé aujourd'hui",TRIM(IF(LEFT(Q375,7)="Relance",Q375&amp;" ","")&amp;IF(K375="En retard","· Prévenir du retard de livraison",""))))</f>
        <v/>
      </c>
      <c r="S375" s="28">
        <f>IF(B375="","",IF(LEFT(Q375,9)="Relance 3","Bonjour "&amp;D375&amp;", nous revenons vers vous au sujet de la commande "&amp;A375&amp;" du "&amp;TEXT(B375,"dd/mm/yyyy")&amp;" : "&amp;SUBSTITUTE(TEXT(O375,"#,##0"),","," ")&amp;" FCFA restent à régler depuis le "&amp;TEXT(M375,"dd/mm/yyyy")&amp;". Notre responsable souhaite vous appeler pour convenir ensemble d'une solution. Quel moment vous arrange cette semaine ? "&amp;Paramètres!$B$11&amp;", "&amp;Paramètres!$B$12,IF(LEFT(Q375,7)="Relance","Bonjour "&amp;D375&amp;", sauf erreur de notre part, la commande "&amp;A375&amp;" du "&amp;TEXT(B375,"dd/mm/yyyy")&amp;" ("&amp;E375&amp;") présente un reste à payer de "&amp;SUBSTITUTE(TEXT(O375,"#,##0"),","," ")&amp;" FCFA, échu depuis le "&amp;TEXT(M375,"dd/mm/yyyy")&amp;". Pouvez-vous nous indiquer la date de règlement prévue ? Si le paiement est déjà parti, merci de nous envoyer la preuve et ne tenez pas compte de ce message. "&amp;Paramètres!$B$11&amp;", "&amp;Paramètres!$B$12,IF(K375="En retard","Bonjour "&amp;D375&amp;", votre commande "&amp;A375&amp;" ("&amp;E375&amp;", "&amp;F375&amp;" pièces) prévue le "&amp;TEXT(I375,"dd/mm/yyyy")&amp;" a pris du retard. Nous vous confirmons la nouvelle date de livraison dans la journée. Toutes nos excuses pour ce contretemps. "&amp;Paramètres!$B$11&amp;", "&amp;Paramètres!$B$12,""))))</f>
        <v/>
      </c>
      <c r="T375" s="21" t="n"/>
      <c r="U375" s="26" t="n"/>
      <c r="V375" s="21" t="n"/>
    </row>
    <row r="376">
      <c r="A376" s="21" t="n"/>
      <c r="B376" s="26" t="n"/>
      <c r="C376" s="21" t="n"/>
      <c r="D376" s="25">
        <f>IF(C376="","",IFERROR(VLOOKUP(C376,Revendeurs!$A:$B,2,FALSE),"Code inconnu"))</f>
        <v/>
      </c>
      <c r="E376" s="21" t="n"/>
      <c r="F376" s="21" t="n"/>
      <c r="G376" s="22" t="n"/>
      <c r="H376" s="23">
        <f>IF(OR(F376="",G376=""),"",F376*G376)</f>
        <v/>
      </c>
      <c r="I376" s="26" t="n"/>
      <c r="J376" s="26" t="n"/>
      <c r="K376" s="25">
        <f>IF(B376="","",IF(J376&lt;&gt;"","Livrée",IF(I376="","À planifier",IF(Paramètres!$B$4&gt;I376+Paramètres!$B$8,"En retard","En cours"))))</f>
        <v/>
      </c>
      <c r="L376" s="25">
        <f>IF(K376="En retard",Paramètres!$B$4-I376,"")</f>
        <v/>
      </c>
      <c r="M376" s="27">
        <f>IF(OR(B376="",J376=""),"",J376+IFERROR(IF(VLOOKUP(C376,Revendeurs!$A:$G,7,FALSE)="",Paramètres!$B$9,VLOOKUP(C376,Revendeurs!$A:$G,7,FALSE)),Paramètres!$B$9))</f>
        <v/>
      </c>
      <c r="N376" s="22" t="n"/>
      <c r="O376" s="23">
        <f>IF(H376="","",H376-N376)</f>
        <v/>
      </c>
      <c r="P376" s="25">
        <f>IF(OR(M376="",O376=""),"",IF(O376&lt;=0,0,MAX(0,Paramètres!$B$4-M376)))</f>
        <v/>
      </c>
      <c r="Q376" s="25">
        <f>IF(H376="","",IF(O376&lt;=0,"Payée",IF(M376="","Pas encore livrée",IF(P376=0,"Non échue",IF(P376&gt;=Paramètres!$B$7,"Relance 3 : appel direction",IF(P376&gt;=Paramètres!$B$6,"Relance 2",IF(P376&gt;=Paramètres!$B$5,"Relance 1","Échue, relance à venir")))))))</f>
        <v/>
      </c>
      <c r="R376" s="25">
        <f>IF(B376="","",IF(U376=Paramètres!$B$4,"Relancé aujourd'hui",TRIM(IF(LEFT(Q376,7)="Relance",Q376&amp;" ","")&amp;IF(K376="En retard","· Prévenir du retard de livraison",""))))</f>
        <v/>
      </c>
      <c r="S376" s="28">
        <f>IF(B376="","",IF(LEFT(Q376,9)="Relance 3","Bonjour "&amp;D376&amp;", nous revenons vers vous au sujet de la commande "&amp;A376&amp;" du "&amp;TEXT(B376,"dd/mm/yyyy")&amp;" : "&amp;SUBSTITUTE(TEXT(O376,"#,##0"),","," ")&amp;" FCFA restent à régler depuis le "&amp;TEXT(M376,"dd/mm/yyyy")&amp;". Notre responsable souhaite vous appeler pour convenir ensemble d'une solution. Quel moment vous arrange cette semaine ? "&amp;Paramètres!$B$11&amp;", "&amp;Paramètres!$B$12,IF(LEFT(Q376,7)="Relance","Bonjour "&amp;D376&amp;", sauf erreur de notre part, la commande "&amp;A376&amp;" du "&amp;TEXT(B376,"dd/mm/yyyy")&amp;" ("&amp;E376&amp;") présente un reste à payer de "&amp;SUBSTITUTE(TEXT(O376,"#,##0"),","," ")&amp;" FCFA, échu depuis le "&amp;TEXT(M376,"dd/mm/yyyy")&amp;". Pouvez-vous nous indiquer la date de règlement prévue ? Si le paiement est déjà parti, merci de nous envoyer la preuve et ne tenez pas compte de ce message. "&amp;Paramètres!$B$11&amp;", "&amp;Paramètres!$B$12,IF(K376="En retard","Bonjour "&amp;D376&amp;", votre commande "&amp;A376&amp;" ("&amp;E376&amp;", "&amp;F376&amp;" pièces) prévue le "&amp;TEXT(I376,"dd/mm/yyyy")&amp;" a pris du retard. Nous vous confirmons la nouvelle date de livraison dans la journée. Toutes nos excuses pour ce contretemps. "&amp;Paramètres!$B$11&amp;", "&amp;Paramètres!$B$12,""))))</f>
        <v/>
      </c>
      <c r="T376" s="21" t="n"/>
      <c r="U376" s="26" t="n"/>
      <c r="V376" s="21" t="n"/>
    </row>
    <row r="377">
      <c r="A377" s="21" t="n"/>
      <c r="B377" s="26" t="n"/>
      <c r="C377" s="21" t="n"/>
      <c r="D377" s="25">
        <f>IF(C377="","",IFERROR(VLOOKUP(C377,Revendeurs!$A:$B,2,FALSE),"Code inconnu"))</f>
        <v/>
      </c>
      <c r="E377" s="21" t="n"/>
      <c r="F377" s="21" t="n"/>
      <c r="G377" s="22" t="n"/>
      <c r="H377" s="23">
        <f>IF(OR(F377="",G377=""),"",F377*G377)</f>
        <v/>
      </c>
      <c r="I377" s="26" t="n"/>
      <c r="J377" s="26" t="n"/>
      <c r="K377" s="25">
        <f>IF(B377="","",IF(J377&lt;&gt;"","Livrée",IF(I377="","À planifier",IF(Paramètres!$B$4&gt;I377+Paramètres!$B$8,"En retard","En cours"))))</f>
        <v/>
      </c>
      <c r="L377" s="25">
        <f>IF(K377="En retard",Paramètres!$B$4-I377,"")</f>
        <v/>
      </c>
      <c r="M377" s="27">
        <f>IF(OR(B377="",J377=""),"",J377+IFERROR(IF(VLOOKUP(C377,Revendeurs!$A:$G,7,FALSE)="",Paramètres!$B$9,VLOOKUP(C377,Revendeurs!$A:$G,7,FALSE)),Paramètres!$B$9))</f>
        <v/>
      </c>
      <c r="N377" s="22" t="n"/>
      <c r="O377" s="23">
        <f>IF(H377="","",H377-N377)</f>
        <v/>
      </c>
      <c r="P377" s="25">
        <f>IF(OR(M377="",O377=""),"",IF(O377&lt;=0,0,MAX(0,Paramètres!$B$4-M377)))</f>
        <v/>
      </c>
      <c r="Q377" s="25">
        <f>IF(H377="","",IF(O377&lt;=0,"Payée",IF(M377="","Pas encore livrée",IF(P377=0,"Non échue",IF(P377&gt;=Paramètres!$B$7,"Relance 3 : appel direction",IF(P377&gt;=Paramètres!$B$6,"Relance 2",IF(P377&gt;=Paramètres!$B$5,"Relance 1","Échue, relance à venir")))))))</f>
        <v/>
      </c>
      <c r="R377" s="25">
        <f>IF(B377="","",IF(U377=Paramètres!$B$4,"Relancé aujourd'hui",TRIM(IF(LEFT(Q377,7)="Relance",Q377&amp;" ","")&amp;IF(K377="En retard","· Prévenir du retard de livraison",""))))</f>
        <v/>
      </c>
      <c r="S377" s="28">
        <f>IF(B377="","",IF(LEFT(Q377,9)="Relance 3","Bonjour "&amp;D377&amp;", nous revenons vers vous au sujet de la commande "&amp;A377&amp;" du "&amp;TEXT(B377,"dd/mm/yyyy")&amp;" : "&amp;SUBSTITUTE(TEXT(O377,"#,##0"),","," ")&amp;" FCFA restent à régler depuis le "&amp;TEXT(M377,"dd/mm/yyyy")&amp;". Notre responsable souhaite vous appeler pour convenir ensemble d'une solution. Quel moment vous arrange cette semaine ? "&amp;Paramètres!$B$11&amp;", "&amp;Paramètres!$B$12,IF(LEFT(Q377,7)="Relance","Bonjour "&amp;D377&amp;", sauf erreur de notre part, la commande "&amp;A377&amp;" du "&amp;TEXT(B377,"dd/mm/yyyy")&amp;" ("&amp;E377&amp;") présente un reste à payer de "&amp;SUBSTITUTE(TEXT(O377,"#,##0"),","," ")&amp;" FCFA, échu depuis le "&amp;TEXT(M377,"dd/mm/yyyy")&amp;". Pouvez-vous nous indiquer la date de règlement prévue ? Si le paiement est déjà parti, merci de nous envoyer la preuve et ne tenez pas compte de ce message. "&amp;Paramètres!$B$11&amp;", "&amp;Paramètres!$B$12,IF(K377="En retard","Bonjour "&amp;D377&amp;", votre commande "&amp;A377&amp;" ("&amp;E377&amp;", "&amp;F377&amp;" pièces) prévue le "&amp;TEXT(I377,"dd/mm/yyyy")&amp;" a pris du retard. Nous vous confirmons la nouvelle date de livraison dans la journée. Toutes nos excuses pour ce contretemps. "&amp;Paramètres!$B$11&amp;", "&amp;Paramètres!$B$12,""))))</f>
        <v/>
      </c>
      <c r="T377" s="21" t="n"/>
      <c r="U377" s="26" t="n"/>
      <c r="V377" s="21" t="n"/>
    </row>
    <row r="378">
      <c r="A378" s="21" t="n"/>
      <c r="B378" s="26" t="n"/>
      <c r="C378" s="21" t="n"/>
      <c r="D378" s="25">
        <f>IF(C378="","",IFERROR(VLOOKUP(C378,Revendeurs!$A:$B,2,FALSE),"Code inconnu"))</f>
        <v/>
      </c>
      <c r="E378" s="21" t="n"/>
      <c r="F378" s="21" t="n"/>
      <c r="G378" s="22" t="n"/>
      <c r="H378" s="23">
        <f>IF(OR(F378="",G378=""),"",F378*G378)</f>
        <v/>
      </c>
      <c r="I378" s="26" t="n"/>
      <c r="J378" s="26" t="n"/>
      <c r="K378" s="25">
        <f>IF(B378="","",IF(J378&lt;&gt;"","Livrée",IF(I378="","À planifier",IF(Paramètres!$B$4&gt;I378+Paramètres!$B$8,"En retard","En cours"))))</f>
        <v/>
      </c>
      <c r="L378" s="25">
        <f>IF(K378="En retard",Paramètres!$B$4-I378,"")</f>
        <v/>
      </c>
      <c r="M378" s="27">
        <f>IF(OR(B378="",J378=""),"",J378+IFERROR(IF(VLOOKUP(C378,Revendeurs!$A:$G,7,FALSE)="",Paramètres!$B$9,VLOOKUP(C378,Revendeurs!$A:$G,7,FALSE)),Paramètres!$B$9))</f>
        <v/>
      </c>
      <c r="N378" s="22" t="n"/>
      <c r="O378" s="23">
        <f>IF(H378="","",H378-N378)</f>
        <v/>
      </c>
      <c r="P378" s="25">
        <f>IF(OR(M378="",O378=""),"",IF(O378&lt;=0,0,MAX(0,Paramètres!$B$4-M378)))</f>
        <v/>
      </c>
      <c r="Q378" s="25">
        <f>IF(H378="","",IF(O378&lt;=0,"Payée",IF(M378="","Pas encore livrée",IF(P378=0,"Non échue",IF(P378&gt;=Paramètres!$B$7,"Relance 3 : appel direction",IF(P378&gt;=Paramètres!$B$6,"Relance 2",IF(P378&gt;=Paramètres!$B$5,"Relance 1","Échue, relance à venir")))))))</f>
        <v/>
      </c>
      <c r="R378" s="25">
        <f>IF(B378="","",IF(U378=Paramètres!$B$4,"Relancé aujourd'hui",TRIM(IF(LEFT(Q378,7)="Relance",Q378&amp;" ","")&amp;IF(K378="En retard","· Prévenir du retard de livraison",""))))</f>
        <v/>
      </c>
      <c r="S378" s="28">
        <f>IF(B378="","",IF(LEFT(Q378,9)="Relance 3","Bonjour "&amp;D378&amp;", nous revenons vers vous au sujet de la commande "&amp;A378&amp;" du "&amp;TEXT(B378,"dd/mm/yyyy")&amp;" : "&amp;SUBSTITUTE(TEXT(O378,"#,##0"),","," ")&amp;" FCFA restent à régler depuis le "&amp;TEXT(M378,"dd/mm/yyyy")&amp;". Notre responsable souhaite vous appeler pour convenir ensemble d'une solution. Quel moment vous arrange cette semaine ? "&amp;Paramètres!$B$11&amp;", "&amp;Paramètres!$B$12,IF(LEFT(Q378,7)="Relance","Bonjour "&amp;D378&amp;", sauf erreur de notre part, la commande "&amp;A378&amp;" du "&amp;TEXT(B378,"dd/mm/yyyy")&amp;" ("&amp;E378&amp;") présente un reste à payer de "&amp;SUBSTITUTE(TEXT(O378,"#,##0"),","," ")&amp;" FCFA, échu depuis le "&amp;TEXT(M378,"dd/mm/yyyy")&amp;". Pouvez-vous nous indiquer la date de règlement prévue ? Si le paiement est déjà parti, merci de nous envoyer la preuve et ne tenez pas compte de ce message. "&amp;Paramètres!$B$11&amp;", "&amp;Paramètres!$B$12,IF(K378="En retard","Bonjour "&amp;D378&amp;", votre commande "&amp;A378&amp;" ("&amp;E378&amp;", "&amp;F378&amp;" pièces) prévue le "&amp;TEXT(I378,"dd/mm/yyyy")&amp;" a pris du retard. Nous vous confirmons la nouvelle date de livraison dans la journée. Toutes nos excuses pour ce contretemps. "&amp;Paramètres!$B$11&amp;", "&amp;Paramètres!$B$12,""))))</f>
        <v/>
      </c>
      <c r="T378" s="21" t="n"/>
      <c r="U378" s="26" t="n"/>
      <c r="V378" s="21" t="n"/>
    </row>
    <row r="379">
      <c r="A379" s="21" t="n"/>
      <c r="B379" s="26" t="n"/>
      <c r="C379" s="21" t="n"/>
      <c r="D379" s="25">
        <f>IF(C379="","",IFERROR(VLOOKUP(C379,Revendeurs!$A:$B,2,FALSE),"Code inconnu"))</f>
        <v/>
      </c>
      <c r="E379" s="21" t="n"/>
      <c r="F379" s="21" t="n"/>
      <c r="G379" s="22" t="n"/>
      <c r="H379" s="23">
        <f>IF(OR(F379="",G379=""),"",F379*G379)</f>
        <v/>
      </c>
      <c r="I379" s="26" t="n"/>
      <c r="J379" s="26" t="n"/>
      <c r="K379" s="25">
        <f>IF(B379="","",IF(J379&lt;&gt;"","Livrée",IF(I379="","À planifier",IF(Paramètres!$B$4&gt;I379+Paramètres!$B$8,"En retard","En cours"))))</f>
        <v/>
      </c>
      <c r="L379" s="25">
        <f>IF(K379="En retard",Paramètres!$B$4-I379,"")</f>
        <v/>
      </c>
      <c r="M379" s="27">
        <f>IF(OR(B379="",J379=""),"",J379+IFERROR(IF(VLOOKUP(C379,Revendeurs!$A:$G,7,FALSE)="",Paramètres!$B$9,VLOOKUP(C379,Revendeurs!$A:$G,7,FALSE)),Paramètres!$B$9))</f>
        <v/>
      </c>
      <c r="N379" s="22" t="n"/>
      <c r="O379" s="23">
        <f>IF(H379="","",H379-N379)</f>
        <v/>
      </c>
      <c r="P379" s="25">
        <f>IF(OR(M379="",O379=""),"",IF(O379&lt;=0,0,MAX(0,Paramètres!$B$4-M379)))</f>
        <v/>
      </c>
      <c r="Q379" s="25">
        <f>IF(H379="","",IF(O379&lt;=0,"Payée",IF(M379="","Pas encore livrée",IF(P379=0,"Non échue",IF(P379&gt;=Paramètres!$B$7,"Relance 3 : appel direction",IF(P379&gt;=Paramètres!$B$6,"Relance 2",IF(P379&gt;=Paramètres!$B$5,"Relance 1","Échue, relance à venir")))))))</f>
        <v/>
      </c>
      <c r="R379" s="25">
        <f>IF(B379="","",IF(U379=Paramètres!$B$4,"Relancé aujourd'hui",TRIM(IF(LEFT(Q379,7)="Relance",Q379&amp;" ","")&amp;IF(K379="En retard","· Prévenir du retard de livraison",""))))</f>
        <v/>
      </c>
      <c r="S379" s="28">
        <f>IF(B379="","",IF(LEFT(Q379,9)="Relance 3","Bonjour "&amp;D379&amp;", nous revenons vers vous au sujet de la commande "&amp;A379&amp;" du "&amp;TEXT(B379,"dd/mm/yyyy")&amp;" : "&amp;SUBSTITUTE(TEXT(O379,"#,##0"),","," ")&amp;" FCFA restent à régler depuis le "&amp;TEXT(M379,"dd/mm/yyyy")&amp;". Notre responsable souhaite vous appeler pour convenir ensemble d'une solution. Quel moment vous arrange cette semaine ? "&amp;Paramètres!$B$11&amp;", "&amp;Paramètres!$B$12,IF(LEFT(Q379,7)="Relance","Bonjour "&amp;D379&amp;", sauf erreur de notre part, la commande "&amp;A379&amp;" du "&amp;TEXT(B379,"dd/mm/yyyy")&amp;" ("&amp;E379&amp;") présente un reste à payer de "&amp;SUBSTITUTE(TEXT(O379,"#,##0"),","," ")&amp;" FCFA, échu depuis le "&amp;TEXT(M379,"dd/mm/yyyy")&amp;". Pouvez-vous nous indiquer la date de règlement prévue ? Si le paiement est déjà parti, merci de nous envoyer la preuve et ne tenez pas compte de ce message. "&amp;Paramètres!$B$11&amp;", "&amp;Paramètres!$B$12,IF(K379="En retard","Bonjour "&amp;D379&amp;", votre commande "&amp;A379&amp;" ("&amp;E379&amp;", "&amp;F379&amp;" pièces) prévue le "&amp;TEXT(I379,"dd/mm/yyyy")&amp;" a pris du retard. Nous vous confirmons la nouvelle date de livraison dans la journée. Toutes nos excuses pour ce contretemps. "&amp;Paramètres!$B$11&amp;", "&amp;Paramètres!$B$12,""))))</f>
        <v/>
      </c>
      <c r="T379" s="21" t="n"/>
      <c r="U379" s="26" t="n"/>
      <c r="V379" s="21" t="n"/>
    </row>
    <row r="380">
      <c r="A380" s="21" t="n"/>
      <c r="B380" s="26" t="n"/>
      <c r="C380" s="21" t="n"/>
      <c r="D380" s="25">
        <f>IF(C380="","",IFERROR(VLOOKUP(C380,Revendeurs!$A:$B,2,FALSE),"Code inconnu"))</f>
        <v/>
      </c>
      <c r="E380" s="21" t="n"/>
      <c r="F380" s="21" t="n"/>
      <c r="G380" s="22" t="n"/>
      <c r="H380" s="23">
        <f>IF(OR(F380="",G380=""),"",F380*G380)</f>
        <v/>
      </c>
      <c r="I380" s="26" t="n"/>
      <c r="J380" s="26" t="n"/>
      <c r="K380" s="25">
        <f>IF(B380="","",IF(J380&lt;&gt;"","Livrée",IF(I380="","À planifier",IF(Paramètres!$B$4&gt;I380+Paramètres!$B$8,"En retard","En cours"))))</f>
        <v/>
      </c>
      <c r="L380" s="25">
        <f>IF(K380="En retard",Paramètres!$B$4-I380,"")</f>
        <v/>
      </c>
      <c r="M380" s="27">
        <f>IF(OR(B380="",J380=""),"",J380+IFERROR(IF(VLOOKUP(C380,Revendeurs!$A:$G,7,FALSE)="",Paramètres!$B$9,VLOOKUP(C380,Revendeurs!$A:$G,7,FALSE)),Paramètres!$B$9))</f>
        <v/>
      </c>
      <c r="N380" s="22" t="n"/>
      <c r="O380" s="23">
        <f>IF(H380="","",H380-N380)</f>
        <v/>
      </c>
      <c r="P380" s="25">
        <f>IF(OR(M380="",O380=""),"",IF(O380&lt;=0,0,MAX(0,Paramètres!$B$4-M380)))</f>
        <v/>
      </c>
      <c r="Q380" s="25">
        <f>IF(H380="","",IF(O380&lt;=0,"Payée",IF(M380="","Pas encore livrée",IF(P380=0,"Non échue",IF(P380&gt;=Paramètres!$B$7,"Relance 3 : appel direction",IF(P380&gt;=Paramètres!$B$6,"Relance 2",IF(P380&gt;=Paramètres!$B$5,"Relance 1","Échue, relance à venir")))))))</f>
        <v/>
      </c>
      <c r="R380" s="25">
        <f>IF(B380="","",IF(U380=Paramètres!$B$4,"Relancé aujourd'hui",TRIM(IF(LEFT(Q380,7)="Relance",Q380&amp;" ","")&amp;IF(K380="En retard","· Prévenir du retard de livraison",""))))</f>
        <v/>
      </c>
      <c r="S380" s="28">
        <f>IF(B380="","",IF(LEFT(Q380,9)="Relance 3","Bonjour "&amp;D380&amp;", nous revenons vers vous au sujet de la commande "&amp;A380&amp;" du "&amp;TEXT(B380,"dd/mm/yyyy")&amp;" : "&amp;SUBSTITUTE(TEXT(O380,"#,##0"),","," ")&amp;" FCFA restent à régler depuis le "&amp;TEXT(M380,"dd/mm/yyyy")&amp;". Notre responsable souhaite vous appeler pour convenir ensemble d'une solution. Quel moment vous arrange cette semaine ? "&amp;Paramètres!$B$11&amp;", "&amp;Paramètres!$B$12,IF(LEFT(Q380,7)="Relance","Bonjour "&amp;D380&amp;", sauf erreur de notre part, la commande "&amp;A380&amp;" du "&amp;TEXT(B380,"dd/mm/yyyy")&amp;" ("&amp;E380&amp;") présente un reste à payer de "&amp;SUBSTITUTE(TEXT(O380,"#,##0"),","," ")&amp;" FCFA, échu depuis le "&amp;TEXT(M380,"dd/mm/yyyy")&amp;". Pouvez-vous nous indiquer la date de règlement prévue ? Si le paiement est déjà parti, merci de nous envoyer la preuve et ne tenez pas compte de ce message. "&amp;Paramètres!$B$11&amp;", "&amp;Paramètres!$B$12,IF(K380="En retard","Bonjour "&amp;D380&amp;", votre commande "&amp;A380&amp;" ("&amp;E380&amp;", "&amp;F380&amp;" pièces) prévue le "&amp;TEXT(I380,"dd/mm/yyyy")&amp;" a pris du retard. Nous vous confirmons la nouvelle date de livraison dans la journée. Toutes nos excuses pour ce contretemps. "&amp;Paramètres!$B$11&amp;", "&amp;Paramètres!$B$12,""))))</f>
        <v/>
      </c>
      <c r="T380" s="21" t="n"/>
      <c r="U380" s="26" t="n"/>
      <c r="V380" s="21" t="n"/>
    </row>
    <row r="381">
      <c r="A381" s="21" t="n"/>
      <c r="B381" s="26" t="n"/>
      <c r="C381" s="21" t="n"/>
      <c r="D381" s="25">
        <f>IF(C381="","",IFERROR(VLOOKUP(C381,Revendeurs!$A:$B,2,FALSE),"Code inconnu"))</f>
        <v/>
      </c>
      <c r="E381" s="21" t="n"/>
      <c r="F381" s="21" t="n"/>
      <c r="G381" s="22" t="n"/>
      <c r="H381" s="23">
        <f>IF(OR(F381="",G381=""),"",F381*G381)</f>
        <v/>
      </c>
      <c r="I381" s="26" t="n"/>
      <c r="J381" s="26" t="n"/>
      <c r="K381" s="25">
        <f>IF(B381="","",IF(J381&lt;&gt;"","Livrée",IF(I381="","À planifier",IF(Paramètres!$B$4&gt;I381+Paramètres!$B$8,"En retard","En cours"))))</f>
        <v/>
      </c>
      <c r="L381" s="25">
        <f>IF(K381="En retard",Paramètres!$B$4-I381,"")</f>
        <v/>
      </c>
      <c r="M381" s="27">
        <f>IF(OR(B381="",J381=""),"",J381+IFERROR(IF(VLOOKUP(C381,Revendeurs!$A:$G,7,FALSE)="",Paramètres!$B$9,VLOOKUP(C381,Revendeurs!$A:$G,7,FALSE)),Paramètres!$B$9))</f>
        <v/>
      </c>
      <c r="N381" s="22" t="n"/>
      <c r="O381" s="23">
        <f>IF(H381="","",H381-N381)</f>
        <v/>
      </c>
      <c r="P381" s="25">
        <f>IF(OR(M381="",O381=""),"",IF(O381&lt;=0,0,MAX(0,Paramètres!$B$4-M381)))</f>
        <v/>
      </c>
      <c r="Q381" s="25">
        <f>IF(H381="","",IF(O381&lt;=0,"Payée",IF(M381="","Pas encore livrée",IF(P381=0,"Non échue",IF(P381&gt;=Paramètres!$B$7,"Relance 3 : appel direction",IF(P381&gt;=Paramètres!$B$6,"Relance 2",IF(P381&gt;=Paramètres!$B$5,"Relance 1","Échue, relance à venir")))))))</f>
        <v/>
      </c>
      <c r="R381" s="25">
        <f>IF(B381="","",IF(U381=Paramètres!$B$4,"Relancé aujourd'hui",TRIM(IF(LEFT(Q381,7)="Relance",Q381&amp;" ","")&amp;IF(K381="En retard","· Prévenir du retard de livraison",""))))</f>
        <v/>
      </c>
      <c r="S381" s="28">
        <f>IF(B381="","",IF(LEFT(Q381,9)="Relance 3","Bonjour "&amp;D381&amp;", nous revenons vers vous au sujet de la commande "&amp;A381&amp;" du "&amp;TEXT(B381,"dd/mm/yyyy")&amp;" : "&amp;SUBSTITUTE(TEXT(O381,"#,##0"),","," ")&amp;" FCFA restent à régler depuis le "&amp;TEXT(M381,"dd/mm/yyyy")&amp;". Notre responsable souhaite vous appeler pour convenir ensemble d'une solution. Quel moment vous arrange cette semaine ? "&amp;Paramètres!$B$11&amp;", "&amp;Paramètres!$B$12,IF(LEFT(Q381,7)="Relance","Bonjour "&amp;D381&amp;", sauf erreur de notre part, la commande "&amp;A381&amp;" du "&amp;TEXT(B381,"dd/mm/yyyy")&amp;" ("&amp;E381&amp;") présente un reste à payer de "&amp;SUBSTITUTE(TEXT(O381,"#,##0"),","," ")&amp;" FCFA, échu depuis le "&amp;TEXT(M381,"dd/mm/yyyy")&amp;". Pouvez-vous nous indiquer la date de règlement prévue ? Si le paiement est déjà parti, merci de nous envoyer la preuve et ne tenez pas compte de ce message. "&amp;Paramètres!$B$11&amp;", "&amp;Paramètres!$B$12,IF(K381="En retard","Bonjour "&amp;D381&amp;", votre commande "&amp;A381&amp;" ("&amp;E381&amp;", "&amp;F381&amp;" pièces) prévue le "&amp;TEXT(I381,"dd/mm/yyyy")&amp;" a pris du retard. Nous vous confirmons la nouvelle date de livraison dans la journée. Toutes nos excuses pour ce contretemps. "&amp;Paramètres!$B$11&amp;", "&amp;Paramètres!$B$12,""))))</f>
        <v/>
      </c>
      <c r="T381" s="21" t="n"/>
      <c r="U381" s="26" t="n"/>
      <c r="V381" s="21" t="n"/>
    </row>
    <row r="382">
      <c r="A382" s="21" t="n"/>
      <c r="B382" s="26" t="n"/>
      <c r="C382" s="21" t="n"/>
      <c r="D382" s="25">
        <f>IF(C382="","",IFERROR(VLOOKUP(C382,Revendeurs!$A:$B,2,FALSE),"Code inconnu"))</f>
        <v/>
      </c>
      <c r="E382" s="21" t="n"/>
      <c r="F382" s="21" t="n"/>
      <c r="G382" s="22" t="n"/>
      <c r="H382" s="23">
        <f>IF(OR(F382="",G382=""),"",F382*G382)</f>
        <v/>
      </c>
      <c r="I382" s="26" t="n"/>
      <c r="J382" s="26" t="n"/>
      <c r="K382" s="25">
        <f>IF(B382="","",IF(J382&lt;&gt;"","Livrée",IF(I382="","À planifier",IF(Paramètres!$B$4&gt;I382+Paramètres!$B$8,"En retard","En cours"))))</f>
        <v/>
      </c>
      <c r="L382" s="25">
        <f>IF(K382="En retard",Paramètres!$B$4-I382,"")</f>
        <v/>
      </c>
      <c r="M382" s="27">
        <f>IF(OR(B382="",J382=""),"",J382+IFERROR(IF(VLOOKUP(C382,Revendeurs!$A:$G,7,FALSE)="",Paramètres!$B$9,VLOOKUP(C382,Revendeurs!$A:$G,7,FALSE)),Paramètres!$B$9))</f>
        <v/>
      </c>
      <c r="N382" s="22" t="n"/>
      <c r="O382" s="23">
        <f>IF(H382="","",H382-N382)</f>
        <v/>
      </c>
      <c r="P382" s="25">
        <f>IF(OR(M382="",O382=""),"",IF(O382&lt;=0,0,MAX(0,Paramètres!$B$4-M382)))</f>
        <v/>
      </c>
      <c r="Q382" s="25">
        <f>IF(H382="","",IF(O382&lt;=0,"Payée",IF(M382="","Pas encore livrée",IF(P382=0,"Non échue",IF(P382&gt;=Paramètres!$B$7,"Relance 3 : appel direction",IF(P382&gt;=Paramètres!$B$6,"Relance 2",IF(P382&gt;=Paramètres!$B$5,"Relance 1","Échue, relance à venir")))))))</f>
        <v/>
      </c>
      <c r="R382" s="25">
        <f>IF(B382="","",IF(U382=Paramètres!$B$4,"Relancé aujourd'hui",TRIM(IF(LEFT(Q382,7)="Relance",Q382&amp;" ","")&amp;IF(K382="En retard","· Prévenir du retard de livraison",""))))</f>
        <v/>
      </c>
      <c r="S382" s="28">
        <f>IF(B382="","",IF(LEFT(Q382,9)="Relance 3","Bonjour "&amp;D382&amp;", nous revenons vers vous au sujet de la commande "&amp;A382&amp;" du "&amp;TEXT(B382,"dd/mm/yyyy")&amp;" : "&amp;SUBSTITUTE(TEXT(O382,"#,##0"),","," ")&amp;" FCFA restent à régler depuis le "&amp;TEXT(M382,"dd/mm/yyyy")&amp;". Notre responsable souhaite vous appeler pour convenir ensemble d'une solution. Quel moment vous arrange cette semaine ? "&amp;Paramètres!$B$11&amp;", "&amp;Paramètres!$B$12,IF(LEFT(Q382,7)="Relance","Bonjour "&amp;D382&amp;", sauf erreur de notre part, la commande "&amp;A382&amp;" du "&amp;TEXT(B382,"dd/mm/yyyy")&amp;" ("&amp;E382&amp;") présente un reste à payer de "&amp;SUBSTITUTE(TEXT(O382,"#,##0"),","," ")&amp;" FCFA, échu depuis le "&amp;TEXT(M382,"dd/mm/yyyy")&amp;". Pouvez-vous nous indiquer la date de règlement prévue ? Si le paiement est déjà parti, merci de nous envoyer la preuve et ne tenez pas compte de ce message. "&amp;Paramètres!$B$11&amp;", "&amp;Paramètres!$B$12,IF(K382="En retard","Bonjour "&amp;D382&amp;", votre commande "&amp;A382&amp;" ("&amp;E382&amp;", "&amp;F382&amp;" pièces) prévue le "&amp;TEXT(I382,"dd/mm/yyyy")&amp;" a pris du retard. Nous vous confirmons la nouvelle date de livraison dans la journée. Toutes nos excuses pour ce contretemps. "&amp;Paramètres!$B$11&amp;", "&amp;Paramètres!$B$12,""))))</f>
        <v/>
      </c>
      <c r="T382" s="21" t="n"/>
      <c r="U382" s="26" t="n"/>
      <c r="V382" s="21" t="n"/>
    </row>
    <row r="383">
      <c r="A383" s="21" t="n"/>
      <c r="B383" s="26" t="n"/>
      <c r="C383" s="21" t="n"/>
      <c r="D383" s="25">
        <f>IF(C383="","",IFERROR(VLOOKUP(C383,Revendeurs!$A:$B,2,FALSE),"Code inconnu"))</f>
        <v/>
      </c>
      <c r="E383" s="21" t="n"/>
      <c r="F383" s="21" t="n"/>
      <c r="G383" s="22" t="n"/>
      <c r="H383" s="23">
        <f>IF(OR(F383="",G383=""),"",F383*G383)</f>
        <v/>
      </c>
      <c r="I383" s="26" t="n"/>
      <c r="J383" s="26" t="n"/>
      <c r="K383" s="25">
        <f>IF(B383="","",IF(J383&lt;&gt;"","Livrée",IF(I383="","À planifier",IF(Paramètres!$B$4&gt;I383+Paramètres!$B$8,"En retard","En cours"))))</f>
        <v/>
      </c>
      <c r="L383" s="25">
        <f>IF(K383="En retard",Paramètres!$B$4-I383,"")</f>
        <v/>
      </c>
      <c r="M383" s="27">
        <f>IF(OR(B383="",J383=""),"",J383+IFERROR(IF(VLOOKUP(C383,Revendeurs!$A:$G,7,FALSE)="",Paramètres!$B$9,VLOOKUP(C383,Revendeurs!$A:$G,7,FALSE)),Paramètres!$B$9))</f>
        <v/>
      </c>
      <c r="N383" s="22" t="n"/>
      <c r="O383" s="23">
        <f>IF(H383="","",H383-N383)</f>
        <v/>
      </c>
      <c r="P383" s="25">
        <f>IF(OR(M383="",O383=""),"",IF(O383&lt;=0,0,MAX(0,Paramètres!$B$4-M383)))</f>
        <v/>
      </c>
      <c r="Q383" s="25">
        <f>IF(H383="","",IF(O383&lt;=0,"Payée",IF(M383="","Pas encore livrée",IF(P383=0,"Non échue",IF(P383&gt;=Paramètres!$B$7,"Relance 3 : appel direction",IF(P383&gt;=Paramètres!$B$6,"Relance 2",IF(P383&gt;=Paramètres!$B$5,"Relance 1","Échue, relance à venir")))))))</f>
        <v/>
      </c>
      <c r="R383" s="25">
        <f>IF(B383="","",IF(U383=Paramètres!$B$4,"Relancé aujourd'hui",TRIM(IF(LEFT(Q383,7)="Relance",Q383&amp;" ","")&amp;IF(K383="En retard","· Prévenir du retard de livraison",""))))</f>
        <v/>
      </c>
      <c r="S383" s="28">
        <f>IF(B383="","",IF(LEFT(Q383,9)="Relance 3","Bonjour "&amp;D383&amp;", nous revenons vers vous au sujet de la commande "&amp;A383&amp;" du "&amp;TEXT(B383,"dd/mm/yyyy")&amp;" : "&amp;SUBSTITUTE(TEXT(O383,"#,##0"),","," ")&amp;" FCFA restent à régler depuis le "&amp;TEXT(M383,"dd/mm/yyyy")&amp;". Notre responsable souhaite vous appeler pour convenir ensemble d'une solution. Quel moment vous arrange cette semaine ? "&amp;Paramètres!$B$11&amp;", "&amp;Paramètres!$B$12,IF(LEFT(Q383,7)="Relance","Bonjour "&amp;D383&amp;", sauf erreur de notre part, la commande "&amp;A383&amp;" du "&amp;TEXT(B383,"dd/mm/yyyy")&amp;" ("&amp;E383&amp;") présente un reste à payer de "&amp;SUBSTITUTE(TEXT(O383,"#,##0"),","," ")&amp;" FCFA, échu depuis le "&amp;TEXT(M383,"dd/mm/yyyy")&amp;". Pouvez-vous nous indiquer la date de règlement prévue ? Si le paiement est déjà parti, merci de nous envoyer la preuve et ne tenez pas compte de ce message. "&amp;Paramètres!$B$11&amp;", "&amp;Paramètres!$B$12,IF(K383="En retard","Bonjour "&amp;D383&amp;", votre commande "&amp;A383&amp;" ("&amp;E383&amp;", "&amp;F383&amp;" pièces) prévue le "&amp;TEXT(I383,"dd/mm/yyyy")&amp;" a pris du retard. Nous vous confirmons la nouvelle date de livraison dans la journée. Toutes nos excuses pour ce contretemps. "&amp;Paramètres!$B$11&amp;", "&amp;Paramètres!$B$12,""))))</f>
        <v/>
      </c>
      <c r="T383" s="21" t="n"/>
      <c r="U383" s="26" t="n"/>
      <c r="V383" s="21" t="n"/>
    </row>
    <row r="384">
      <c r="A384" s="21" t="n"/>
      <c r="B384" s="26" t="n"/>
      <c r="C384" s="21" t="n"/>
      <c r="D384" s="25">
        <f>IF(C384="","",IFERROR(VLOOKUP(C384,Revendeurs!$A:$B,2,FALSE),"Code inconnu"))</f>
        <v/>
      </c>
      <c r="E384" s="21" t="n"/>
      <c r="F384" s="21" t="n"/>
      <c r="G384" s="22" t="n"/>
      <c r="H384" s="23">
        <f>IF(OR(F384="",G384=""),"",F384*G384)</f>
        <v/>
      </c>
      <c r="I384" s="26" t="n"/>
      <c r="J384" s="26" t="n"/>
      <c r="K384" s="25">
        <f>IF(B384="","",IF(J384&lt;&gt;"","Livrée",IF(I384="","À planifier",IF(Paramètres!$B$4&gt;I384+Paramètres!$B$8,"En retard","En cours"))))</f>
        <v/>
      </c>
      <c r="L384" s="25">
        <f>IF(K384="En retard",Paramètres!$B$4-I384,"")</f>
        <v/>
      </c>
      <c r="M384" s="27">
        <f>IF(OR(B384="",J384=""),"",J384+IFERROR(IF(VLOOKUP(C384,Revendeurs!$A:$G,7,FALSE)="",Paramètres!$B$9,VLOOKUP(C384,Revendeurs!$A:$G,7,FALSE)),Paramètres!$B$9))</f>
        <v/>
      </c>
      <c r="N384" s="22" t="n"/>
      <c r="O384" s="23">
        <f>IF(H384="","",H384-N384)</f>
        <v/>
      </c>
      <c r="P384" s="25">
        <f>IF(OR(M384="",O384=""),"",IF(O384&lt;=0,0,MAX(0,Paramètres!$B$4-M384)))</f>
        <v/>
      </c>
      <c r="Q384" s="25">
        <f>IF(H384="","",IF(O384&lt;=0,"Payée",IF(M384="","Pas encore livrée",IF(P384=0,"Non échue",IF(P384&gt;=Paramètres!$B$7,"Relance 3 : appel direction",IF(P384&gt;=Paramètres!$B$6,"Relance 2",IF(P384&gt;=Paramètres!$B$5,"Relance 1","Échue, relance à venir")))))))</f>
        <v/>
      </c>
      <c r="R384" s="25">
        <f>IF(B384="","",IF(U384=Paramètres!$B$4,"Relancé aujourd'hui",TRIM(IF(LEFT(Q384,7)="Relance",Q384&amp;" ","")&amp;IF(K384="En retard","· Prévenir du retard de livraison",""))))</f>
        <v/>
      </c>
      <c r="S384" s="28">
        <f>IF(B384="","",IF(LEFT(Q384,9)="Relance 3","Bonjour "&amp;D384&amp;", nous revenons vers vous au sujet de la commande "&amp;A384&amp;" du "&amp;TEXT(B384,"dd/mm/yyyy")&amp;" : "&amp;SUBSTITUTE(TEXT(O384,"#,##0"),","," ")&amp;" FCFA restent à régler depuis le "&amp;TEXT(M384,"dd/mm/yyyy")&amp;". Notre responsable souhaite vous appeler pour convenir ensemble d'une solution. Quel moment vous arrange cette semaine ? "&amp;Paramètres!$B$11&amp;", "&amp;Paramètres!$B$12,IF(LEFT(Q384,7)="Relance","Bonjour "&amp;D384&amp;", sauf erreur de notre part, la commande "&amp;A384&amp;" du "&amp;TEXT(B384,"dd/mm/yyyy")&amp;" ("&amp;E384&amp;") présente un reste à payer de "&amp;SUBSTITUTE(TEXT(O384,"#,##0"),","," ")&amp;" FCFA, échu depuis le "&amp;TEXT(M384,"dd/mm/yyyy")&amp;". Pouvez-vous nous indiquer la date de règlement prévue ? Si le paiement est déjà parti, merci de nous envoyer la preuve et ne tenez pas compte de ce message. "&amp;Paramètres!$B$11&amp;", "&amp;Paramètres!$B$12,IF(K384="En retard","Bonjour "&amp;D384&amp;", votre commande "&amp;A384&amp;" ("&amp;E384&amp;", "&amp;F384&amp;" pièces) prévue le "&amp;TEXT(I384,"dd/mm/yyyy")&amp;" a pris du retard. Nous vous confirmons la nouvelle date de livraison dans la journée. Toutes nos excuses pour ce contretemps. "&amp;Paramètres!$B$11&amp;", "&amp;Paramètres!$B$12,""))))</f>
        <v/>
      </c>
      <c r="T384" s="21" t="n"/>
      <c r="U384" s="26" t="n"/>
      <c r="V384" s="21" t="n"/>
    </row>
    <row r="385">
      <c r="A385" s="21" t="n"/>
      <c r="B385" s="26" t="n"/>
      <c r="C385" s="21" t="n"/>
      <c r="D385" s="25">
        <f>IF(C385="","",IFERROR(VLOOKUP(C385,Revendeurs!$A:$B,2,FALSE),"Code inconnu"))</f>
        <v/>
      </c>
      <c r="E385" s="21" t="n"/>
      <c r="F385" s="21" t="n"/>
      <c r="G385" s="22" t="n"/>
      <c r="H385" s="23">
        <f>IF(OR(F385="",G385=""),"",F385*G385)</f>
        <v/>
      </c>
      <c r="I385" s="26" t="n"/>
      <c r="J385" s="26" t="n"/>
      <c r="K385" s="25">
        <f>IF(B385="","",IF(J385&lt;&gt;"","Livrée",IF(I385="","À planifier",IF(Paramètres!$B$4&gt;I385+Paramètres!$B$8,"En retard","En cours"))))</f>
        <v/>
      </c>
      <c r="L385" s="25">
        <f>IF(K385="En retard",Paramètres!$B$4-I385,"")</f>
        <v/>
      </c>
      <c r="M385" s="27">
        <f>IF(OR(B385="",J385=""),"",J385+IFERROR(IF(VLOOKUP(C385,Revendeurs!$A:$G,7,FALSE)="",Paramètres!$B$9,VLOOKUP(C385,Revendeurs!$A:$G,7,FALSE)),Paramètres!$B$9))</f>
        <v/>
      </c>
      <c r="N385" s="22" t="n"/>
      <c r="O385" s="23">
        <f>IF(H385="","",H385-N385)</f>
        <v/>
      </c>
      <c r="P385" s="25">
        <f>IF(OR(M385="",O385=""),"",IF(O385&lt;=0,0,MAX(0,Paramètres!$B$4-M385)))</f>
        <v/>
      </c>
      <c r="Q385" s="25">
        <f>IF(H385="","",IF(O385&lt;=0,"Payée",IF(M385="","Pas encore livrée",IF(P385=0,"Non échue",IF(P385&gt;=Paramètres!$B$7,"Relance 3 : appel direction",IF(P385&gt;=Paramètres!$B$6,"Relance 2",IF(P385&gt;=Paramètres!$B$5,"Relance 1","Échue, relance à venir")))))))</f>
        <v/>
      </c>
      <c r="R385" s="25">
        <f>IF(B385="","",IF(U385=Paramètres!$B$4,"Relancé aujourd'hui",TRIM(IF(LEFT(Q385,7)="Relance",Q385&amp;" ","")&amp;IF(K385="En retard","· Prévenir du retard de livraison",""))))</f>
        <v/>
      </c>
      <c r="S385" s="28">
        <f>IF(B385="","",IF(LEFT(Q385,9)="Relance 3","Bonjour "&amp;D385&amp;", nous revenons vers vous au sujet de la commande "&amp;A385&amp;" du "&amp;TEXT(B385,"dd/mm/yyyy")&amp;" : "&amp;SUBSTITUTE(TEXT(O385,"#,##0"),","," ")&amp;" FCFA restent à régler depuis le "&amp;TEXT(M385,"dd/mm/yyyy")&amp;". Notre responsable souhaite vous appeler pour convenir ensemble d'une solution. Quel moment vous arrange cette semaine ? "&amp;Paramètres!$B$11&amp;", "&amp;Paramètres!$B$12,IF(LEFT(Q385,7)="Relance","Bonjour "&amp;D385&amp;", sauf erreur de notre part, la commande "&amp;A385&amp;" du "&amp;TEXT(B385,"dd/mm/yyyy")&amp;" ("&amp;E385&amp;") présente un reste à payer de "&amp;SUBSTITUTE(TEXT(O385,"#,##0"),","," ")&amp;" FCFA, échu depuis le "&amp;TEXT(M385,"dd/mm/yyyy")&amp;". Pouvez-vous nous indiquer la date de règlement prévue ? Si le paiement est déjà parti, merci de nous envoyer la preuve et ne tenez pas compte de ce message. "&amp;Paramètres!$B$11&amp;", "&amp;Paramètres!$B$12,IF(K385="En retard","Bonjour "&amp;D385&amp;", votre commande "&amp;A385&amp;" ("&amp;E385&amp;", "&amp;F385&amp;" pièces) prévue le "&amp;TEXT(I385,"dd/mm/yyyy")&amp;" a pris du retard. Nous vous confirmons la nouvelle date de livraison dans la journée. Toutes nos excuses pour ce contretemps. "&amp;Paramètres!$B$11&amp;", "&amp;Paramètres!$B$12,""))))</f>
        <v/>
      </c>
      <c r="T385" s="21" t="n"/>
      <c r="U385" s="26" t="n"/>
      <c r="V385" s="21" t="n"/>
    </row>
    <row r="386">
      <c r="A386" s="21" t="n"/>
      <c r="B386" s="26" t="n"/>
      <c r="C386" s="21" t="n"/>
      <c r="D386" s="25">
        <f>IF(C386="","",IFERROR(VLOOKUP(C386,Revendeurs!$A:$B,2,FALSE),"Code inconnu"))</f>
        <v/>
      </c>
      <c r="E386" s="21" t="n"/>
      <c r="F386" s="21" t="n"/>
      <c r="G386" s="22" t="n"/>
      <c r="H386" s="23">
        <f>IF(OR(F386="",G386=""),"",F386*G386)</f>
        <v/>
      </c>
      <c r="I386" s="26" t="n"/>
      <c r="J386" s="26" t="n"/>
      <c r="K386" s="25">
        <f>IF(B386="","",IF(J386&lt;&gt;"","Livrée",IF(I386="","À planifier",IF(Paramètres!$B$4&gt;I386+Paramètres!$B$8,"En retard","En cours"))))</f>
        <v/>
      </c>
      <c r="L386" s="25">
        <f>IF(K386="En retard",Paramètres!$B$4-I386,"")</f>
        <v/>
      </c>
      <c r="M386" s="27">
        <f>IF(OR(B386="",J386=""),"",J386+IFERROR(IF(VLOOKUP(C386,Revendeurs!$A:$G,7,FALSE)="",Paramètres!$B$9,VLOOKUP(C386,Revendeurs!$A:$G,7,FALSE)),Paramètres!$B$9))</f>
        <v/>
      </c>
      <c r="N386" s="22" t="n"/>
      <c r="O386" s="23">
        <f>IF(H386="","",H386-N386)</f>
        <v/>
      </c>
      <c r="P386" s="25">
        <f>IF(OR(M386="",O386=""),"",IF(O386&lt;=0,0,MAX(0,Paramètres!$B$4-M386)))</f>
        <v/>
      </c>
      <c r="Q386" s="25">
        <f>IF(H386="","",IF(O386&lt;=0,"Payée",IF(M386="","Pas encore livrée",IF(P386=0,"Non échue",IF(P386&gt;=Paramètres!$B$7,"Relance 3 : appel direction",IF(P386&gt;=Paramètres!$B$6,"Relance 2",IF(P386&gt;=Paramètres!$B$5,"Relance 1","Échue, relance à venir")))))))</f>
        <v/>
      </c>
      <c r="R386" s="25">
        <f>IF(B386="","",IF(U386=Paramètres!$B$4,"Relancé aujourd'hui",TRIM(IF(LEFT(Q386,7)="Relance",Q386&amp;" ","")&amp;IF(K386="En retard","· Prévenir du retard de livraison",""))))</f>
        <v/>
      </c>
      <c r="S386" s="28">
        <f>IF(B386="","",IF(LEFT(Q386,9)="Relance 3","Bonjour "&amp;D386&amp;", nous revenons vers vous au sujet de la commande "&amp;A386&amp;" du "&amp;TEXT(B386,"dd/mm/yyyy")&amp;" : "&amp;SUBSTITUTE(TEXT(O386,"#,##0"),","," ")&amp;" FCFA restent à régler depuis le "&amp;TEXT(M386,"dd/mm/yyyy")&amp;". Notre responsable souhaite vous appeler pour convenir ensemble d'une solution. Quel moment vous arrange cette semaine ? "&amp;Paramètres!$B$11&amp;", "&amp;Paramètres!$B$12,IF(LEFT(Q386,7)="Relance","Bonjour "&amp;D386&amp;", sauf erreur de notre part, la commande "&amp;A386&amp;" du "&amp;TEXT(B386,"dd/mm/yyyy")&amp;" ("&amp;E386&amp;") présente un reste à payer de "&amp;SUBSTITUTE(TEXT(O386,"#,##0"),","," ")&amp;" FCFA, échu depuis le "&amp;TEXT(M386,"dd/mm/yyyy")&amp;". Pouvez-vous nous indiquer la date de règlement prévue ? Si le paiement est déjà parti, merci de nous envoyer la preuve et ne tenez pas compte de ce message. "&amp;Paramètres!$B$11&amp;", "&amp;Paramètres!$B$12,IF(K386="En retard","Bonjour "&amp;D386&amp;", votre commande "&amp;A386&amp;" ("&amp;E386&amp;", "&amp;F386&amp;" pièces) prévue le "&amp;TEXT(I386,"dd/mm/yyyy")&amp;" a pris du retard. Nous vous confirmons la nouvelle date de livraison dans la journée. Toutes nos excuses pour ce contretemps. "&amp;Paramètres!$B$11&amp;", "&amp;Paramètres!$B$12,""))))</f>
        <v/>
      </c>
      <c r="T386" s="21" t="n"/>
      <c r="U386" s="26" t="n"/>
      <c r="V386" s="21" t="n"/>
    </row>
    <row r="387">
      <c r="A387" s="21" t="n"/>
      <c r="B387" s="26" t="n"/>
      <c r="C387" s="21" t="n"/>
      <c r="D387" s="25">
        <f>IF(C387="","",IFERROR(VLOOKUP(C387,Revendeurs!$A:$B,2,FALSE),"Code inconnu"))</f>
        <v/>
      </c>
      <c r="E387" s="21" t="n"/>
      <c r="F387" s="21" t="n"/>
      <c r="G387" s="22" t="n"/>
      <c r="H387" s="23">
        <f>IF(OR(F387="",G387=""),"",F387*G387)</f>
        <v/>
      </c>
      <c r="I387" s="26" t="n"/>
      <c r="J387" s="26" t="n"/>
      <c r="K387" s="25">
        <f>IF(B387="","",IF(J387&lt;&gt;"","Livrée",IF(I387="","À planifier",IF(Paramètres!$B$4&gt;I387+Paramètres!$B$8,"En retard","En cours"))))</f>
        <v/>
      </c>
      <c r="L387" s="25">
        <f>IF(K387="En retard",Paramètres!$B$4-I387,"")</f>
        <v/>
      </c>
      <c r="M387" s="27">
        <f>IF(OR(B387="",J387=""),"",J387+IFERROR(IF(VLOOKUP(C387,Revendeurs!$A:$G,7,FALSE)="",Paramètres!$B$9,VLOOKUP(C387,Revendeurs!$A:$G,7,FALSE)),Paramètres!$B$9))</f>
        <v/>
      </c>
      <c r="N387" s="22" t="n"/>
      <c r="O387" s="23">
        <f>IF(H387="","",H387-N387)</f>
        <v/>
      </c>
      <c r="P387" s="25">
        <f>IF(OR(M387="",O387=""),"",IF(O387&lt;=0,0,MAX(0,Paramètres!$B$4-M387)))</f>
        <v/>
      </c>
      <c r="Q387" s="25">
        <f>IF(H387="","",IF(O387&lt;=0,"Payée",IF(M387="","Pas encore livrée",IF(P387=0,"Non échue",IF(P387&gt;=Paramètres!$B$7,"Relance 3 : appel direction",IF(P387&gt;=Paramètres!$B$6,"Relance 2",IF(P387&gt;=Paramètres!$B$5,"Relance 1","Échue, relance à venir")))))))</f>
        <v/>
      </c>
      <c r="R387" s="25">
        <f>IF(B387="","",IF(U387=Paramètres!$B$4,"Relancé aujourd'hui",TRIM(IF(LEFT(Q387,7)="Relance",Q387&amp;" ","")&amp;IF(K387="En retard","· Prévenir du retard de livraison",""))))</f>
        <v/>
      </c>
      <c r="S387" s="28">
        <f>IF(B387="","",IF(LEFT(Q387,9)="Relance 3","Bonjour "&amp;D387&amp;", nous revenons vers vous au sujet de la commande "&amp;A387&amp;" du "&amp;TEXT(B387,"dd/mm/yyyy")&amp;" : "&amp;SUBSTITUTE(TEXT(O387,"#,##0"),","," ")&amp;" FCFA restent à régler depuis le "&amp;TEXT(M387,"dd/mm/yyyy")&amp;". Notre responsable souhaite vous appeler pour convenir ensemble d'une solution. Quel moment vous arrange cette semaine ? "&amp;Paramètres!$B$11&amp;", "&amp;Paramètres!$B$12,IF(LEFT(Q387,7)="Relance","Bonjour "&amp;D387&amp;", sauf erreur de notre part, la commande "&amp;A387&amp;" du "&amp;TEXT(B387,"dd/mm/yyyy")&amp;" ("&amp;E387&amp;") présente un reste à payer de "&amp;SUBSTITUTE(TEXT(O387,"#,##0"),","," ")&amp;" FCFA, échu depuis le "&amp;TEXT(M387,"dd/mm/yyyy")&amp;". Pouvez-vous nous indiquer la date de règlement prévue ? Si le paiement est déjà parti, merci de nous envoyer la preuve et ne tenez pas compte de ce message. "&amp;Paramètres!$B$11&amp;", "&amp;Paramètres!$B$12,IF(K387="En retard","Bonjour "&amp;D387&amp;", votre commande "&amp;A387&amp;" ("&amp;E387&amp;", "&amp;F387&amp;" pièces) prévue le "&amp;TEXT(I387,"dd/mm/yyyy")&amp;" a pris du retard. Nous vous confirmons la nouvelle date de livraison dans la journée. Toutes nos excuses pour ce contretemps. "&amp;Paramètres!$B$11&amp;", "&amp;Paramètres!$B$12,""))))</f>
        <v/>
      </c>
      <c r="T387" s="21" t="n"/>
      <c r="U387" s="26" t="n"/>
      <c r="V387" s="21" t="n"/>
    </row>
    <row r="388">
      <c r="A388" s="21" t="n"/>
      <c r="B388" s="26" t="n"/>
      <c r="C388" s="21" t="n"/>
      <c r="D388" s="25">
        <f>IF(C388="","",IFERROR(VLOOKUP(C388,Revendeurs!$A:$B,2,FALSE),"Code inconnu"))</f>
        <v/>
      </c>
      <c r="E388" s="21" t="n"/>
      <c r="F388" s="21" t="n"/>
      <c r="G388" s="22" t="n"/>
      <c r="H388" s="23">
        <f>IF(OR(F388="",G388=""),"",F388*G388)</f>
        <v/>
      </c>
      <c r="I388" s="26" t="n"/>
      <c r="J388" s="26" t="n"/>
      <c r="K388" s="25">
        <f>IF(B388="","",IF(J388&lt;&gt;"","Livrée",IF(I388="","À planifier",IF(Paramètres!$B$4&gt;I388+Paramètres!$B$8,"En retard","En cours"))))</f>
        <v/>
      </c>
      <c r="L388" s="25">
        <f>IF(K388="En retard",Paramètres!$B$4-I388,"")</f>
        <v/>
      </c>
      <c r="M388" s="27">
        <f>IF(OR(B388="",J388=""),"",J388+IFERROR(IF(VLOOKUP(C388,Revendeurs!$A:$G,7,FALSE)="",Paramètres!$B$9,VLOOKUP(C388,Revendeurs!$A:$G,7,FALSE)),Paramètres!$B$9))</f>
        <v/>
      </c>
      <c r="N388" s="22" t="n"/>
      <c r="O388" s="23">
        <f>IF(H388="","",H388-N388)</f>
        <v/>
      </c>
      <c r="P388" s="25">
        <f>IF(OR(M388="",O388=""),"",IF(O388&lt;=0,0,MAX(0,Paramètres!$B$4-M388)))</f>
        <v/>
      </c>
      <c r="Q388" s="25">
        <f>IF(H388="","",IF(O388&lt;=0,"Payée",IF(M388="","Pas encore livrée",IF(P388=0,"Non échue",IF(P388&gt;=Paramètres!$B$7,"Relance 3 : appel direction",IF(P388&gt;=Paramètres!$B$6,"Relance 2",IF(P388&gt;=Paramètres!$B$5,"Relance 1","Échue, relance à venir")))))))</f>
        <v/>
      </c>
      <c r="R388" s="25">
        <f>IF(B388="","",IF(U388=Paramètres!$B$4,"Relancé aujourd'hui",TRIM(IF(LEFT(Q388,7)="Relance",Q388&amp;" ","")&amp;IF(K388="En retard","· Prévenir du retard de livraison",""))))</f>
        <v/>
      </c>
      <c r="S388" s="28">
        <f>IF(B388="","",IF(LEFT(Q388,9)="Relance 3","Bonjour "&amp;D388&amp;", nous revenons vers vous au sujet de la commande "&amp;A388&amp;" du "&amp;TEXT(B388,"dd/mm/yyyy")&amp;" : "&amp;SUBSTITUTE(TEXT(O388,"#,##0"),","," ")&amp;" FCFA restent à régler depuis le "&amp;TEXT(M388,"dd/mm/yyyy")&amp;". Notre responsable souhaite vous appeler pour convenir ensemble d'une solution. Quel moment vous arrange cette semaine ? "&amp;Paramètres!$B$11&amp;", "&amp;Paramètres!$B$12,IF(LEFT(Q388,7)="Relance","Bonjour "&amp;D388&amp;", sauf erreur de notre part, la commande "&amp;A388&amp;" du "&amp;TEXT(B388,"dd/mm/yyyy")&amp;" ("&amp;E388&amp;") présente un reste à payer de "&amp;SUBSTITUTE(TEXT(O388,"#,##0"),","," ")&amp;" FCFA, échu depuis le "&amp;TEXT(M388,"dd/mm/yyyy")&amp;". Pouvez-vous nous indiquer la date de règlement prévue ? Si le paiement est déjà parti, merci de nous envoyer la preuve et ne tenez pas compte de ce message. "&amp;Paramètres!$B$11&amp;", "&amp;Paramètres!$B$12,IF(K388="En retard","Bonjour "&amp;D388&amp;", votre commande "&amp;A388&amp;" ("&amp;E388&amp;", "&amp;F388&amp;" pièces) prévue le "&amp;TEXT(I388,"dd/mm/yyyy")&amp;" a pris du retard. Nous vous confirmons la nouvelle date de livraison dans la journée. Toutes nos excuses pour ce contretemps. "&amp;Paramètres!$B$11&amp;", "&amp;Paramètres!$B$12,""))))</f>
        <v/>
      </c>
      <c r="T388" s="21" t="n"/>
      <c r="U388" s="26" t="n"/>
      <c r="V388" s="21" t="n"/>
    </row>
    <row r="389">
      <c r="A389" s="21" t="n"/>
      <c r="B389" s="26" t="n"/>
      <c r="C389" s="21" t="n"/>
      <c r="D389" s="25">
        <f>IF(C389="","",IFERROR(VLOOKUP(C389,Revendeurs!$A:$B,2,FALSE),"Code inconnu"))</f>
        <v/>
      </c>
      <c r="E389" s="21" t="n"/>
      <c r="F389" s="21" t="n"/>
      <c r="G389" s="22" t="n"/>
      <c r="H389" s="23">
        <f>IF(OR(F389="",G389=""),"",F389*G389)</f>
        <v/>
      </c>
      <c r="I389" s="26" t="n"/>
      <c r="J389" s="26" t="n"/>
      <c r="K389" s="25">
        <f>IF(B389="","",IF(J389&lt;&gt;"","Livrée",IF(I389="","À planifier",IF(Paramètres!$B$4&gt;I389+Paramètres!$B$8,"En retard","En cours"))))</f>
        <v/>
      </c>
      <c r="L389" s="25">
        <f>IF(K389="En retard",Paramètres!$B$4-I389,"")</f>
        <v/>
      </c>
      <c r="M389" s="27">
        <f>IF(OR(B389="",J389=""),"",J389+IFERROR(IF(VLOOKUP(C389,Revendeurs!$A:$G,7,FALSE)="",Paramètres!$B$9,VLOOKUP(C389,Revendeurs!$A:$G,7,FALSE)),Paramètres!$B$9))</f>
        <v/>
      </c>
      <c r="N389" s="22" t="n"/>
      <c r="O389" s="23">
        <f>IF(H389="","",H389-N389)</f>
        <v/>
      </c>
      <c r="P389" s="25">
        <f>IF(OR(M389="",O389=""),"",IF(O389&lt;=0,0,MAX(0,Paramètres!$B$4-M389)))</f>
        <v/>
      </c>
      <c r="Q389" s="25">
        <f>IF(H389="","",IF(O389&lt;=0,"Payée",IF(M389="","Pas encore livrée",IF(P389=0,"Non échue",IF(P389&gt;=Paramètres!$B$7,"Relance 3 : appel direction",IF(P389&gt;=Paramètres!$B$6,"Relance 2",IF(P389&gt;=Paramètres!$B$5,"Relance 1","Échue, relance à venir")))))))</f>
        <v/>
      </c>
      <c r="R389" s="25">
        <f>IF(B389="","",IF(U389=Paramètres!$B$4,"Relancé aujourd'hui",TRIM(IF(LEFT(Q389,7)="Relance",Q389&amp;" ","")&amp;IF(K389="En retard","· Prévenir du retard de livraison",""))))</f>
        <v/>
      </c>
      <c r="S389" s="28">
        <f>IF(B389="","",IF(LEFT(Q389,9)="Relance 3","Bonjour "&amp;D389&amp;", nous revenons vers vous au sujet de la commande "&amp;A389&amp;" du "&amp;TEXT(B389,"dd/mm/yyyy")&amp;" : "&amp;SUBSTITUTE(TEXT(O389,"#,##0"),","," ")&amp;" FCFA restent à régler depuis le "&amp;TEXT(M389,"dd/mm/yyyy")&amp;". Notre responsable souhaite vous appeler pour convenir ensemble d'une solution. Quel moment vous arrange cette semaine ? "&amp;Paramètres!$B$11&amp;", "&amp;Paramètres!$B$12,IF(LEFT(Q389,7)="Relance","Bonjour "&amp;D389&amp;", sauf erreur de notre part, la commande "&amp;A389&amp;" du "&amp;TEXT(B389,"dd/mm/yyyy")&amp;" ("&amp;E389&amp;") présente un reste à payer de "&amp;SUBSTITUTE(TEXT(O389,"#,##0"),","," ")&amp;" FCFA, échu depuis le "&amp;TEXT(M389,"dd/mm/yyyy")&amp;". Pouvez-vous nous indiquer la date de règlement prévue ? Si le paiement est déjà parti, merci de nous envoyer la preuve et ne tenez pas compte de ce message. "&amp;Paramètres!$B$11&amp;", "&amp;Paramètres!$B$12,IF(K389="En retard","Bonjour "&amp;D389&amp;", votre commande "&amp;A389&amp;" ("&amp;E389&amp;", "&amp;F389&amp;" pièces) prévue le "&amp;TEXT(I389,"dd/mm/yyyy")&amp;" a pris du retard. Nous vous confirmons la nouvelle date de livraison dans la journée. Toutes nos excuses pour ce contretemps. "&amp;Paramètres!$B$11&amp;", "&amp;Paramètres!$B$12,""))))</f>
        <v/>
      </c>
      <c r="T389" s="21" t="n"/>
      <c r="U389" s="26" t="n"/>
      <c r="V389" s="21" t="n"/>
    </row>
    <row r="390">
      <c r="A390" s="21" t="n"/>
      <c r="B390" s="26" t="n"/>
      <c r="C390" s="21" t="n"/>
      <c r="D390" s="25">
        <f>IF(C390="","",IFERROR(VLOOKUP(C390,Revendeurs!$A:$B,2,FALSE),"Code inconnu"))</f>
        <v/>
      </c>
      <c r="E390" s="21" t="n"/>
      <c r="F390" s="21" t="n"/>
      <c r="G390" s="22" t="n"/>
      <c r="H390" s="23">
        <f>IF(OR(F390="",G390=""),"",F390*G390)</f>
        <v/>
      </c>
      <c r="I390" s="26" t="n"/>
      <c r="J390" s="26" t="n"/>
      <c r="K390" s="25">
        <f>IF(B390="","",IF(J390&lt;&gt;"","Livrée",IF(I390="","À planifier",IF(Paramètres!$B$4&gt;I390+Paramètres!$B$8,"En retard","En cours"))))</f>
        <v/>
      </c>
      <c r="L390" s="25">
        <f>IF(K390="En retard",Paramètres!$B$4-I390,"")</f>
        <v/>
      </c>
      <c r="M390" s="27">
        <f>IF(OR(B390="",J390=""),"",J390+IFERROR(IF(VLOOKUP(C390,Revendeurs!$A:$G,7,FALSE)="",Paramètres!$B$9,VLOOKUP(C390,Revendeurs!$A:$G,7,FALSE)),Paramètres!$B$9))</f>
        <v/>
      </c>
      <c r="N390" s="22" t="n"/>
      <c r="O390" s="23">
        <f>IF(H390="","",H390-N390)</f>
        <v/>
      </c>
      <c r="P390" s="25">
        <f>IF(OR(M390="",O390=""),"",IF(O390&lt;=0,0,MAX(0,Paramètres!$B$4-M390)))</f>
        <v/>
      </c>
      <c r="Q390" s="25">
        <f>IF(H390="","",IF(O390&lt;=0,"Payée",IF(M390="","Pas encore livrée",IF(P390=0,"Non échue",IF(P390&gt;=Paramètres!$B$7,"Relance 3 : appel direction",IF(P390&gt;=Paramètres!$B$6,"Relance 2",IF(P390&gt;=Paramètres!$B$5,"Relance 1","Échue, relance à venir")))))))</f>
        <v/>
      </c>
      <c r="R390" s="25">
        <f>IF(B390="","",IF(U390=Paramètres!$B$4,"Relancé aujourd'hui",TRIM(IF(LEFT(Q390,7)="Relance",Q390&amp;" ","")&amp;IF(K390="En retard","· Prévenir du retard de livraison",""))))</f>
        <v/>
      </c>
      <c r="S390" s="28">
        <f>IF(B390="","",IF(LEFT(Q390,9)="Relance 3","Bonjour "&amp;D390&amp;", nous revenons vers vous au sujet de la commande "&amp;A390&amp;" du "&amp;TEXT(B390,"dd/mm/yyyy")&amp;" : "&amp;SUBSTITUTE(TEXT(O390,"#,##0"),","," ")&amp;" FCFA restent à régler depuis le "&amp;TEXT(M390,"dd/mm/yyyy")&amp;". Notre responsable souhaite vous appeler pour convenir ensemble d'une solution. Quel moment vous arrange cette semaine ? "&amp;Paramètres!$B$11&amp;", "&amp;Paramètres!$B$12,IF(LEFT(Q390,7)="Relance","Bonjour "&amp;D390&amp;", sauf erreur de notre part, la commande "&amp;A390&amp;" du "&amp;TEXT(B390,"dd/mm/yyyy")&amp;" ("&amp;E390&amp;") présente un reste à payer de "&amp;SUBSTITUTE(TEXT(O390,"#,##0"),","," ")&amp;" FCFA, échu depuis le "&amp;TEXT(M390,"dd/mm/yyyy")&amp;". Pouvez-vous nous indiquer la date de règlement prévue ? Si le paiement est déjà parti, merci de nous envoyer la preuve et ne tenez pas compte de ce message. "&amp;Paramètres!$B$11&amp;", "&amp;Paramètres!$B$12,IF(K390="En retard","Bonjour "&amp;D390&amp;", votre commande "&amp;A390&amp;" ("&amp;E390&amp;", "&amp;F390&amp;" pièces) prévue le "&amp;TEXT(I390,"dd/mm/yyyy")&amp;" a pris du retard. Nous vous confirmons la nouvelle date de livraison dans la journée. Toutes nos excuses pour ce contretemps. "&amp;Paramètres!$B$11&amp;", "&amp;Paramètres!$B$12,""))))</f>
        <v/>
      </c>
      <c r="T390" s="21" t="n"/>
      <c r="U390" s="26" t="n"/>
      <c r="V390" s="21" t="n"/>
    </row>
    <row r="391">
      <c r="A391" s="21" t="n"/>
      <c r="B391" s="26" t="n"/>
      <c r="C391" s="21" t="n"/>
      <c r="D391" s="25">
        <f>IF(C391="","",IFERROR(VLOOKUP(C391,Revendeurs!$A:$B,2,FALSE),"Code inconnu"))</f>
        <v/>
      </c>
      <c r="E391" s="21" t="n"/>
      <c r="F391" s="21" t="n"/>
      <c r="G391" s="22" t="n"/>
      <c r="H391" s="23">
        <f>IF(OR(F391="",G391=""),"",F391*G391)</f>
        <v/>
      </c>
      <c r="I391" s="26" t="n"/>
      <c r="J391" s="26" t="n"/>
      <c r="K391" s="25">
        <f>IF(B391="","",IF(J391&lt;&gt;"","Livrée",IF(I391="","À planifier",IF(Paramètres!$B$4&gt;I391+Paramètres!$B$8,"En retard","En cours"))))</f>
        <v/>
      </c>
      <c r="L391" s="25">
        <f>IF(K391="En retard",Paramètres!$B$4-I391,"")</f>
        <v/>
      </c>
      <c r="M391" s="27">
        <f>IF(OR(B391="",J391=""),"",J391+IFERROR(IF(VLOOKUP(C391,Revendeurs!$A:$G,7,FALSE)="",Paramètres!$B$9,VLOOKUP(C391,Revendeurs!$A:$G,7,FALSE)),Paramètres!$B$9))</f>
        <v/>
      </c>
      <c r="N391" s="22" t="n"/>
      <c r="O391" s="23">
        <f>IF(H391="","",H391-N391)</f>
        <v/>
      </c>
      <c r="P391" s="25">
        <f>IF(OR(M391="",O391=""),"",IF(O391&lt;=0,0,MAX(0,Paramètres!$B$4-M391)))</f>
        <v/>
      </c>
      <c r="Q391" s="25">
        <f>IF(H391="","",IF(O391&lt;=0,"Payée",IF(M391="","Pas encore livrée",IF(P391=0,"Non échue",IF(P391&gt;=Paramètres!$B$7,"Relance 3 : appel direction",IF(P391&gt;=Paramètres!$B$6,"Relance 2",IF(P391&gt;=Paramètres!$B$5,"Relance 1","Échue, relance à venir")))))))</f>
        <v/>
      </c>
      <c r="R391" s="25">
        <f>IF(B391="","",IF(U391=Paramètres!$B$4,"Relancé aujourd'hui",TRIM(IF(LEFT(Q391,7)="Relance",Q391&amp;" ","")&amp;IF(K391="En retard","· Prévenir du retard de livraison",""))))</f>
        <v/>
      </c>
      <c r="S391" s="28">
        <f>IF(B391="","",IF(LEFT(Q391,9)="Relance 3","Bonjour "&amp;D391&amp;", nous revenons vers vous au sujet de la commande "&amp;A391&amp;" du "&amp;TEXT(B391,"dd/mm/yyyy")&amp;" : "&amp;SUBSTITUTE(TEXT(O391,"#,##0"),","," ")&amp;" FCFA restent à régler depuis le "&amp;TEXT(M391,"dd/mm/yyyy")&amp;". Notre responsable souhaite vous appeler pour convenir ensemble d'une solution. Quel moment vous arrange cette semaine ? "&amp;Paramètres!$B$11&amp;", "&amp;Paramètres!$B$12,IF(LEFT(Q391,7)="Relance","Bonjour "&amp;D391&amp;", sauf erreur de notre part, la commande "&amp;A391&amp;" du "&amp;TEXT(B391,"dd/mm/yyyy")&amp;" ("&amp;E391&amp;") présente un reste à payer de "&amp;SUBSTITUTE(TEXT(O391,"#,##0"),","," ")&amp;" FCFA, échu depuis le "&amp;TEXT(M391,"dd/mm/yyyy")&amp;". Pouvez-vous nous indiquer la date de règlement prévue ? Si le paiement est déjà parti, merci de nous envoyer la preuve et ne tenez pas compte de ce message. "&amp;Paramètres!$B$11&amp;", "&amp;Paramètres!$B$12,IF(K391="En retard","Bonjour "&amp;D391&amp;", votre commande "&amp;A391&amp;" ("&amp;E391&amp;", "&amp;F391&amp;" pièces) prévue le "&amp;TEXT(I391,"dd/mm/yyyy")&amp;" a pris du retard. Nous vous confirmons la nouvelle date de livraison dans la journée. Toutes nos excuses pour ce contretemps. "&amp;Paramètres!$B$11&amp;", "&amp;Paramètres!$B$12,""))))</f>
        <v/>
      </c>
      <c r="T391" s="21" t="n"/>
      <c r="U391" s="26" t="n"/>
      <c r="V391" s="21" t="n"/>
    </row>
    <row r="392">
      <c r="A392" s="21" t="n"/>
      <c r="B392" s="26" t="n"/>
      <c r="C392" s="21" t="n"/>
      <c r="D392" s="25">
        <f>IF(C392="","",IFERROR(VLOOKUP(C392,Revendeurs!$A:$B,2,FALSE),"Code inconnu"))</f>
        <v/>
      </c>
      <c r="E392" s="21" t="n"/>
      <c r="F392" s="21" t="n"/>
      <c r="G392" s="22" t="n"/>
      <c r="H392" s="23">
        <f>IF(OR(F392="",G392=""),"",F392*G392)</f>
        <v/>
      </c>
      <c r="I392" s="26" t="n"/>
      <c r="J392" s="26" t="n"/>
      <c r="K392" s="25">
        <f>IF(B392="","",IF(J392&lt;&gt;"","Livrée",IF(I392="","À planifier",IF(Paramètres!$B$4&gt;I392+Paramètres!$B$8,"En retard","En cours"))))</f>
        <v/>
      </c>
      <c r="L392" s="25">
        <f>IF(K392="En retard",Paramètres!$B$4-I392,"")</f>
        <v/>
      </c>
      <c r="M392" s="27">
        <f>IF(OR(B392="",J392=""),"",J392+IFERROR(IF(VLOOKUP(C392,Revendeurs!$A:$G,7,FALSE)="",Paramètres!$B$9,VLOOKUP(C392,Revendeurs!$A:$G,7,FALSE)),Paramètres!$B$9))</f>
        <v/>
      </c>
      <c r="N392" s="22" t="n"/>
      <c r="O392" s="23">
        <f>IF(H392="","",H392-N392)</f>
        <v/>
      </c>
      <c r="P392" s="25">
        <f>IF(OR(M392="",O392=""),"",IF(O392&lt;=0,0,MAX(0,Paramètres!$B$4-M392)))</f>
        <v/>
      </c>
      <c r="Q392" s="25">
        <f>IF(H392="","",IF(O392&lt;=0,"Payée",IF(M392="","Pas encore livrée",IF(P392=0,"Non échue",IF(P392&gt;=Paramètres!$B$7,"Relance 3 : appel direction",IF(P392&gt;=Paramètres!$B$6,"Relance 2",IF(P392&gt;=Paramètres!$B$5,"Relance 1","Échue, relance à venir")))))))</f>
        <v/>
      </c>
      <c r="R392" s="25">
        <f>IF(B392="","",IF(U392=Paramètres!$B$4,"Relancé aujourd'hui",TRIM(IF(LEFT(Q392,7)="Relance",Q392&amp;" ","")&amp;IF(K392="En retard","· Prévenir du retard de livraison",""))))</f>
        <v/>
      </c>
      <c r="S392" s="28">
        <f>IF(B392="","",IF(LEFT(Q392,9)="Relance 3","Bonjour "&amp;D392&amp;", nous revenons vers vous au sujet de la commande "&amp;A392&amp;" du "&amp;TEXT(B392,"dd/mm/yyyy")&amp;" : "&amp;SUBSTITUTE(TEXT(O392,"#,##0"),","," ")&amp;" FCFA restent à régler depuis le "&amp;TEXT(M392,"dd/mm/yyyy")&amp;". Notre responsable souhaite vous appeler pour convenir ensemble d'une solution. Quel moment vous arrange cette semaine ? "&amp;Paramètres!$B$11&amp;", "&amp;Paramètres!$B$12,IF(LEFT(Q392,7)="Relance","Bonjour "&amp;D392&amp;", sauf erreur de notre part, la commande "&amp;A392&amp;" du "&amp;TEXT(B392,"dd/mm/yyyy")&amp;" ("&amp;E392&amp;") présente un reste à payer de "&amp;SUBSTITUTE(TEXT(O392,"#,##0"),","," ")&amp;" FCFA, échu depuis le "&amp;TEXT(M392,"dd/mm/yyyy")&amp;". Pouvez-vous nous indiquer la date de règlement prévue ? Si le paiement est déjà parti, merci de nous envoyer la preuve et ne tenez pas compte de ce message. "&amp;Paramètres!$B$11&amp;", "&amp;Paramètres!$B$12,IF(K392="En retard","Bonjour "&amp;D392&amp;", votre commande "&amp;A392&amp;" ("&amp;E392&amp;", "&amp;F392&amp;" pièces) prévue le "&amp;TEXT(I392,"dd/mm/yyyy")&amp;" a pris du retard. Nous vous confirmons la nouvelle date de livraison dans la journée. Toutes nos excuses pour ce contretemps. "&amp;Paramètres!$B$11&amp;", "&amp;Paramètres!$B$12,""))))</f>
        <v/>
      </c>
      <c r="T392" s="21" t="n"/>
      <c r="U392" s="26" t="n"/>
      <c r="V392" s="21" t="n"/>
    </row>
    <row r="393">
      <c r="A393" s="21" t="n"/>
      <c r="B393" s="26" t="n"/>
      <c r="C393" s="21" t="n"/>
      <c r="D393" s="25">
        <f>IF(C393="","",IFERROR(VLOOKUP(C393,Revendeurs!$A:$B,2,FALSE),"Code inconnu"))</f>
        <v/>
      </c>
      <c r="E393" s="21" t="n"/>
      <c r="F393" s="21" t="n"/>
      <c r="G393" s="22" t="n"/>
      <c r="H393" s="23">
        <f>IF(OR(F393="",G393=""),"",F393*G393)</f>
        <v/>
      </c>
      <c r="I393" s="26" t="n"/>
      <c r="J393" s="26" t="n"/>
      <c r="K393" s="25">
        <f>IF(B393="","",IF(J393&lt;&gt;"","Livrée",IF(I393="","À planifier",IF(Paramètres!$B$4&gt;I393+Paramètres!$B$8,"En retard","En cours"))))</f>
        <v/>
      </c>
      <c r="L393" s="25">
        <f>IF(K393="En retard",Paramètres!$B$4-I393,"")</f>
        <v/>
      </c>
      <c r="M393" s="27">
        <f>IF(OR(B393="",J393=""),"",J393+IFERROR(IF(VLOOKUP(C393,Revendeurs!$A:$G,7,FALSE)="",Paramètres!$B$9,VLOOKUP(C393,Revendeurs!$A:$G,7,FALSE)),Paramètres!$B$9))</f>
        <v/>
      </c>
      <c r="N393" s="22" t="n"/>
      <c r="O393" s="23">
        <f>IF(H393="","",H393-N393)</f>
        <v/>
      </c>
      <c r="P393" s="25">
        <f>IF(OR(M393="",O393=""),"",IF(O393&lt;=0,0,MAX(0,Paramètres!$B$4-M393)))</f>
        <v/>
      </c>
      <c r="Q393" s="25">
        <f>IF(H393="","",IF(O393&lt;=0,"Payée",IF(M393="","Pas encore livrée",IF(P393=0,"Non échue",IF(P393&gt;=Paramètres!$B$7,"Relance 3 : appel direction",IF(P393&gt;=Paramètres!$B$6,"Relance 2",IF(P393&gt;=Paramètres!$B$5,"Relance 1","Échue, relance à venir")))))))</f>
        <v/>
      </c>
      <c r="R393" s="25">
        <f>IF(B393="","",IF(U393=Paramètres!$B$4,"Relancé aujourd'hui",TRIM(IF(LEFT(Q393,7)="Relance",Q393&amp;" ","")&amp;IF(K393="En retard","· Prévenir du retard de livraison",""))))</f>
        <v/>
      </c>
      <c r="S393" s="28">
        <f>IF(B393="","",IF(LEFT(Q393,9)="Relance 3","Bonjour "&amp;D393&amp;", nous revenons vers vous au sujet de la commande "&amp;A393&amp;" du "&amp;TEXT(B393,"dd/mm/yyyy")&amp;" : "&amp;SUBSTITUTE(TEXT(O393,"#,##0"),","," ")&amp;" FCFA restent à régler depuis le "&amp;TEXT(M393,"dd/mm/yyyy")&amp;". Notre responsable souhaite vous appeler pour convenir ensemble d'une solution. Quel moment vous arrange cette semaine ? "&amp;Paramètres!$B$11&amp;", "&amp;Paramètres!$B$12,IF(LEFT(Q393,7)="Relance","Bonjour "&amp;D393&amp;", sauf erreur de notre part, la commande "&amp;A393&amp;" du "&amp;TEXT(B393,"dd/mm/yyyy")&amp;" ("&amp;E393&amp;") présente un reste à payer de "&amp;SUBSTITUTE(TEXT(O393,"#,##0"),","," ")&amp;" FCFA, échu depuis le "&amp;TEXT(M393,"dd/mm/yyyy")&amp;". Pouvez-vous nous indiquer la date de règlement prévue ? Si le paiement est déjà parti, merci de nous envoyer la preuve et ne tenez pas compte de ce message. "&amp;Paramètres!$B$11&amp;", "&amp;Paramètres!$B$12,IF(K393="En retard","Bonjour "&amp;D393&amp;", votre commande "&amp;A393&amp;" ("&amp;E393&amp;", "&amp;F393&amp;" pièces) prévue le "&amp;TEXT(I393,"dd/mm/yyyy")&amp;" a pris du retard. Nous vous confirmons la nouvelle date de livraison dans la journée. Toutes nos excuses pour ce contretemps. "&amp;Paramètres!$B$11&amp;", "&amp;Paramètres!$B$12,""))))</f>
        <v/>
      </c>
      <c r="T393" s="21" t="n"/>
      <c r="U393" s="26" t="n"/>
      <c r="V393" s="21" t="n"/>
    </row>
    <row r="394">
      <c r="A394" s="21" t="n"/>
      <c r="B394" s="26" t="n"/>
      <c r="C394" s="21" t="n"/>
      <c r="D394" s="25">
        <f>IF(C394="","",IFERROR(VLOOKUP(C394,Revendeurs!$A:$B,2,FALSE),"Code inconnu"))</f>
        <v/>
      </c>
      <c r="E394" s="21" t="n"/>
      <c r="F394" s="21" t="n"/>
      <c r="G394" s="22" t="n"/>
      <c r="H394" s="23">
        <f>IF(OR(F394="",G394=""),"",F394*G394)</f>
        <v/>
      </c>
      <c r="I394" s="26" t="n"/>
      <c r="J394" s="26" t="n"/>
      <c r="K394" s="25">
        <f>IF(B394="","",IF(J394&lt;&gt;"","Livrée",IF(I394="","À planifier",IF(Paramètres!$B$4&gt;I394+Paramètres!$B$8,"En retard","En cours"))))</f>
        <v/>
      </c>
      <c r="L394" s="25">
        <f>IF(K394="En retard",Paramètres!$B$4-I394,"")</f>
        <v/>
      </c>
      <c r="M394" s="27">
        <f>IF(OR(B394="",J394=""),"",J394+IFERROR(IF(VLOOKUP(C394,Revendeurs!$A:$G,7,FALSE)="",Paramètres!$B$9,VLOOKUP(C394,Revendeurs!$A:$G,7,FALSE)),Paramètres!$B$9))</f>
        <v/>
      </c>
      <c r="N394" s="22" t="n"/>
      <c r="O394" s="23">
        <f>IF(H394="","",H394-N394)</f>
        <v/>
      </c>
      <c r="P394" s="25">
        <f>IF(OR(M394="",O394=""),"",IF(O394&lt;=0,0,MAX(0,Paramètres!$B$4-M394)))</f>
        <v/>
      </c>
      <c r="Q394" s="25">
        <f>IF(H394="","",IF(O394&lt;=0,"Payée",IF(M394="","Pas encore livrée",IF(P394=0,"Non échue",IF(P394&gt;=Paramètres!$B$7,"Relance 3 : appel direction",IF(P394&gt;=Paramètres!$B$6,"Relance 2",IF(P394&gt;=Paramètres!$B$5,"Relance 1","Échue, relance à venir")))))))</f>
        <v/>
      </c>
      <c r="R394" s="25">
        <f>IF(B394="","",IF(U394=Paramètres!$B$4,"Relancé aujourd'hui",TRIM(IF(LEFT(Q394,7)="Relance",Q394&amp;" ","")&amp;IF(K394="En retard","· Prévenir du retard de livraison",""))))</f>
        <v/>
      </c>
      <c r="S394" s="28">
        <f>IF(B394="","",IF(LEFT(Q394,9)="Relance 3","Bonjour "&amp;D394&amp;", nous revenons vers vous au sujet de la commande "&amp;A394&amp;" du "&amp;TEXT(B394,"dd/mm/yyyy")&amp;" : "&amp;SUBSTITUTE(TEXT(O394,"#,##0"),","," ")&amp;" FCFA restent à régler depuis le "&amp;TEXT(M394,"dd/mm/yyyy")&amp;". Notre responsable souhaite vous appeler pour convenir ensemble d'une solution. Quel moment vous arrange cette semaine ? "&amp;Paramètres!$B$11&amp;", "&amp;Paramètres!$B$12,IF(LEFT(Q394,7)="Relance","Bonjour "&amp;D394&amp;", sauf erreur de notre part, la commande "&amp;A394&amp;" du "&amp;TEXT(B394,"dd/mm/yyyy")&amp;" ("&amp;E394&amp;") présente un reste à payer de "&amp;SUBSTITUTE(TEXT(O394,"#,##0"),","," ")&amp;" FCFA, échu depuis le "&amp;TEXT(M394,"dd/mm/yyyy")&amp;". Pouvez-vous nous indiquer la date de règlement prévue ? Si le paiement est déjà parti, merci de nous envoyer la preuve et ne tenez pas compte de ce message. "&amp;Paramètres!$B$11&amp;", "&amp;Paramètres!$B$12,IF(K394="En retard","Bonjour "&amp;D394&amp;", votre commande "&amp;A394&amp;" ("&amp;E394&amp;", "&amp;F394&amp;" pièces) prévue le "&amp;TEXT(I394,"dd/mm/yyyy")&amp;" a pris du retard. Nous vous confirmons la nouvelle date de livraison dans la journée. Toutes nos excuses pour ce contretemps. "&amp;Paramètres!$B$11&amp;", "&amp;Paramètres!$B$12,""))))</f>
        <v/>
      </c>
      <c r="T394" s="21" t="n"/>
      <c r="U394" s="26" t="n"/>
      <c r="V394" s="21" t="n"/>
    </row>
    <row r="395">
      <c r="A395" s="21" t="n"/>
      <c r="B395" s="26" t="n"/>
      <c r="C395" s="21" t="n"/>
      <c r="D395" s="25">
        <f>IF(C395="","",IFERROR(VLOOKUP(C395,Revendeurs!$A:$B,2,FALSE),"Code inconnu"))</f>
        <v/>
      </c>
      <c r="E395" s="21" t="n"/>
      <c r="F395" s="21" t="n"/>
      <c r="G395" s="22" t="n"/>
      <c r="H395" s="23">
        <f>IF(OR(F395="",G395=""),"",F395*G395)</f>
        <v/>
      </c>
      <c r="I395" s="26" t="n"/>
      <c r="J395" s="26" t="n"/>
      <c r="K395" s="25">
        <f>IF(B395="","",IF(J395&lt;&gt;"","Livrée",IF(I395="","À planifier",IF(Paramètres!$B$4&gt;I395+Paramètres!$B$8,"En retard","En cours"))))</f>
        <v/>
      </c>
      <c r="L395" s="25">
        <f>IF(K395="En retard",Paramètres!$B$4-I395,"")</f>
        <v/>
      </c>
      <c r="M395" s="27">
        <f>IF(OR(B395="",J395=""),"",J395+IFERROR(IF(VLOOKUP(C395,Revendeurs!$A:$G,7,FALSE)="",Paramètres!$B$9,VLOOKUP(C395,Revendeurs!$A:$G,7,FALSE)),Paramètres!$B$9))</f>
        <v/>
      </c>
      <c r="N395" s="22" t="n"/>
      <c r="O395" s="23">
        <f>IF(H395="","",H395-N395)</f>
        <v/>
      </c>
      <c r="P395" s="25">
        <f>IF(OR(M395="",O395=""),"",IF(O395&lt;=0,0,MAX(0,Paramètres!$B$4-M395)))</f>
        <v/>
      </c>
      <c r="Q395" s="25">
        <f>IF(H395="","",IF(O395&lt;=0,"Payée",IF(M395="","Pas encore livrée",IF(P395=0,"Non échue",IF(P395&gt;=Paramètres!$B$7,"Relance 3 : appel direction",IF(P395&gt;=Paramètres!$B$6,"Relance 2",IF(P395&gt;=Paramètres!$B$5,"Relance 1","Échue, relance à venir")))))))</f>
        <v/>
      </c>
      <c r="R395" s="25">
        <f>IF(B395="","",IF(U395=Paramètres!$B$4,"Relancé aujourd'hui",TRIM(IF(LEFT(Q395,7)="Relance",Q395&amp;" ","")&amp;IF(K395="En retard","· Prévenir du retard de livraison",""))))</f>
        <v/>
      </c>
      <c r="S395" s="28">
        <f>IF(B395="","",IF(LEFT(Q395,9)="Relance 3","Bonjour "&amp;D395&amp;", nous revenons vers vous au sujet de la commande "&amp;A395&amp;" du "&amp;TEXT(B395,"dd/mm/yyyy")&amp;" : "&amp;SUBSTITUTE(TEXT(O395,"#,##0"),","," ")&amp;" FCFA restent à régler depuis le "&amp;TEXT(M395,"dd/mm/yyyy")&amp;". Notre responsable souhaite vous appeler pour convenir ensemble d'une solution. Quel moment vous arrange cette semaine ? "&amp;Paramètres!$B$11&amp;", "&amp;Paramètres!$B$12,IF(LEFT(Q395,7)="Relance","Bonjour "&amp;D395&amp;", sauf erreur de notre part, la commande "&amp;A395&amp;" du "&amp;TEXT(B395,"dd/mm/yyyy")&amp;" ("&amp;E395&amp;") présente un reste à payer de "&amp;SUBSTITUTE(TEXT(O395,"#,##0"),","," ")&amp;" FCFA, échu depuis le "&amp;TEXT(M395,"dd/mm/yyyy")&amp;". Pouvez-vous nous indiquer la date de règlement prévue ? Si le paiement est déjà parti, merci de nous envoyer la preuve et ne tenez pas compte de ce message. "&amp;Paramètres!$B$11&amp;", "&amp;Paramètres!$B$12,IF(K395="En retard","Bonjour "&amp;D395&amp;", votre commande "&amp;A395&amp;" ("&amp;E395&amp;", "&amp;F395&amp;" pièces) prévue le "&amp;TEXT(I395,"dd/mm/yyyy")&amp;" a pris du retard. Nous vous confirmons la nouvelle date de livraison dans la journée. Toutes nos excuses pour ce contretemps. "&amp;Paramètres!$B$11&amp;", "&amp;Paramètres!$B$12,""))))</f>
        <v/>
      </c>
      <c r="T395" s="21" t="n"/>
      <c r="U395" s="26" t="n"/>
      <c r="V395" s="21" t="n"/>
    </row>
    <row r="396">
      <c r="A396" s="21" t="n"/>
      <c r="B396" s="26" t="n"/>
      <c r="C396" s="21" t="n"/>
      <c r="D396" s="25">
        <f>IF(C396="","",IFERROR(VLOOKUP(C396,Revendeurs!$A:$B,2,FALSE),"Code inconnu"))</f>
        <v/>
      </c>
      <c r="E396" s="21" t="n"/>
      <c r="F396" s="21" t="n"/>
      <c r="G396" s="22" t="n"/>
      <c r="H396" s="23">
        <f>IF(OR(F396="",G396=""),"",F396*G396)</f>
        <v/>
      </c>
      <c r="I396" s="26" t="n"/>
      <c r="J396" s="26" t="n"/>
      <c r="K396" s="25">
        <f>IF(B396="","",IF(J396&lt;&gt;"","Livrée",IF(I396="","À planifier",IF(Paramètres!$B$4&gt;I396+Paramètres!$B$8,"En retard","En cours"))))</f>
        <v/>
      </c>
      <c r="L396" s="25">
        <f>IF(K396="En retard",Paramètres!$B$4-I396,"")</f>
        <v/>
      </c>
      <c r="M396" s="27">
        <f>IF(OR(B396="",J396=""),"",J396+IFERROR(IF(VLOOKUP(C396,Revendeurs!$A:$G,7,FALSE)="",Paramètres!$B$9,VLOOKUP(C396,Revendeurs!$A:$G,7,FALSE)),Paramètres!$B$9))</f>
        <v/>
      </c>
      <c r="N396" s="22" t="n"/>
      <c r="O396" s="23">
        <f>IF(H396="","",H396-N396)</f>
        <v/>
      </c>
      <c r="P396" s="25">
        <f>IF(OR(M396="",O396=""),"",IF(O396&lt;=0,0,MAX(0,Paramètres!$B$4-M396)))</f>
        <v/>
      </c>
      <c r="Q396" s="25">
        <f>IF(H396="","",IF(O396&lt;=0,"Payée",IF(M396="","Pas encore livrée",IF(P396=0,"Non échue",IF(P396&gt;=Paramètres!$B$7,"Relance 3 : appel direction",IF(P396&gt;=Paramètres!$B$6,"Relance 2",IF(P396&gt;=Paramètres!$B$5,"Relance 1","Échue, relance à venir")))))))</f>
        <v/>
      </c>
      <c r="R396" s="25">
        <f>IF(B396="","",IF(U396=Paramètres!$B$4,"Relancé aujourd'hui",TRIM(IF(LEFT(Q396,7)="Relance",Q396&amp;" ","")&amp;IF(K396="En retard","· Prévenir du retard de livraison",""))))</f>
        <v/>
      </c>
      <c r="S396" s="28">
        <f>IF(B396="","",IF(LEFT(Q396,9)="Relance 3","Bonjour "&amp;D396&amp;", nous revenons vers vous au sujet de la commande "&amp;A396&amp;" du "&amp;TEXT(B396,"dd/mm/yyyy")&amp;" : "&amp;SUBSTITUTE(TEXT(O396,"#,##0"),","," ")&amp;" FCFA restent à régler depuis le "&amp;TEXT(M396,"dd/mm/yyyy")&amp;". Notre responsable souhaite vous appeler pour convenir ensemble d'une solution. Quel moment vous arrange cette semaine ? "&amp;Paramètres!$B$11&amp;", "&amp;Paramètres!$B$12,IF(LEFT(Q396,7)="Relance","Bonjour "&amp;D396&amp;", sauf erreur de notre part, la commande "&amp;A396&amp;" du "&amp;TEXT(B396,"dd/mm/yyyy")&amp;" ("&amp;E396&amp;") présente un reste à payer de "&amp;SUBSTITUTE(TEXT(O396,"#,##0"),","," ")&amp;" FCFA, échu depuis le "&amp;TEXT(M396,"dd/mm/yyyy")&amp;". Pouvez-vous nous indiquer la date de règlement prévue ? Si le paiement est déjà parti, merci de nous envoyer la preuve et ne tenez pas compte de ce message. "&amp;Paramètres!$B$11&amp;", "&amp;Paramètres!$B$12,IF(K396="En retard","Bonjour "&amp;D396&amp;", votre commande "&amp;A396&amp;" ("&amp;E396&amp;", "&amp;F396&amp;" pièces) prévue le "&amp;TEXT(I396,"dd/mm/yyyy")&amp;" a pris du retard. Nous vous confirmons la nouvelle date de livraison dans la journée. Toutes nos excuses pour ce contretemps. "&amp;Paramètres!$B$11&amp;", "&amp;Paramètres!$B$12,""))))</f>
        <v/>
      </c>
      <c r="T396" s="21" t="n"/>
      <c r="U396" s="26" t="n"/>
      <c r="V396" s="21" t="n"/>
    </row>
    <row r="397">
      <c r="A397" s="21" t="n"/>
      <c r="B397" s="26" t="n"/>
      <c r="C397" s="21" t="n"/>
      <c r="D397" s="25">
        <f>IF(C397="","",IFERROR(VLOOKUP(C397,Revendeurs!$A:$B,2,FALSE),"Code inconnu"))</f>
        <v/>
      </c>
      <c r="E397" s="21" t="n"/>
      <c r="F397" s="21" t="n"/>
      <c r="G397" s="22" t="n"/>
      <c r="H397" s="23">
        <f>IF(OR(F397="",G397=""),"",F397*G397)</f>
        <v/>
      </c>
      <c r="I397" s="26" t="n"/>
      <c r="J397" s="26" t="n"/>
      <c r="K397" s="25">
        <f>IF(B397="","",IF(J397&lt;&gt;"","Livrée",IF(I397="","À planifier",IF(Paramètres!$B$4&gt;I397+Paramètres!$B$8,"En retard","En cours"))))</f>
        <v/>
      </c>
      <c r="L397" s="25">
        <f>IF(K397="En retard",Paramètres!$B$4-I397,"")</f>
        <v/>
      </c>
      <c r="M397" s="27">
        <f>IF(OR(B397="",J397=""),"",J397+IFERROR(IF(VLOOKUP(C397,Revendeurs!$A:$G,7,FALSE)="",Paramètres!$B$9,VLOOKUP(C397,Revendeurs!$A:$G,7,FALSE)),Paramètres!$B$9))</f>
        <v/>
      </c>
      <c r="N397" s="22" t="n"/>
      <c r="O397" s="23">
        <f>IF(H397="","",H397-N397)</f>
        <v/>
      </c>
      <c r="P397" s="25">
        <f>IF(OR(M397="",O397=""),"",IF(O397&lt;=0,0,MAX(0,Paramètres!$B$4-M397)))</f>
        <v/>
      </c>
      <c r="Q397" s="25">
        <f>IF(H397="","",IF(O397&lt;=0,"Payée",IF(M397="","Pas encore livrée",IF(P397=0,"Non échue",IF(P397&gt;=Paramètres!$B$7,"Relance 3 : appel direction",IF(P397&gt;=Paramètres!$B$6,"Relance 2",IF(P397&gt;=Paramètres!$B$5,"Relance 1","Échue, relance à venir")))))))</f>
        <v/>
      </c>
      <c r="R397" s="25">
        <f>IF(B397="","",IF(U397=Paramètres!$B$4,"Relancé aujourd'hui",TRIM(IF(LEFT(Q397,7)="Relance",Q397&amp;" ","")&amp;IF(K397="En retard","· Prévenir du retard de livraison",""))))</f>
        <v/>
      </c>
      <c r="S397" s="28">
        <f>IF(B397="","",IF(LEFT(Q397,9)="Relance 3","Bonjour "&amp;D397&amp;", nous revenons vers vous au sujet de la commande "&amp;A397&amp;" du "&amp;TEXT(B397,"dd/mm/yyyy")&amp;" : "&amp;SUBSTITUTE(TEXT(O397,"#,##0"),","," ")&amp;" FCFA restent à régler depuis le "&amp;TEXT(M397,"dd/mm/yyyy")&amp;". Notre responsable souhaite vous appeler pour convenir ensemble d'une solution. Quel moment vous arrange cette semaine ? "&amp;Paramètres!$B$11&amp;", "&amp;Paramètres!$B$12,IF(LEFT(Q397,7)="Relance","Bonjour "&amp;D397&amp;", sauf erreur de notre part, la commande "&amp;A397&amp;" du "&amp;TEXT(B397,"dd/mm/yyyy")&amp;" ("&amp;E397&amp;") présente un reste à payer de "&amp;SUBSTITUTE(TEXT(O397,"#,##0"),","," ")&amp;" FCFA, échu depuis le "&amp;TEXT(M397,"dd/mm/yyyy")&amp;". Pouvez-vous nous indiquer la date de règlement prévue ? Si le paiement est déjà parti, merci de nous envoyer la preuve et ne tenez pas compte de ce message. "&amp;Paramètres!$B$11&amp;", "&amp;Paramètres!$B$12,IF(K397="En retard","Bonjour "&amp;D397&amp;", votre commande "&amp;A397&amp;" ("&amp;E397&amp;", "&amp;F397&amp;" pièces) prévue le "&amp;TEXT(I397,"dd/mm/yyyy")&amp;" a pris du retard. Nous vous confirmons la nouvelle date de livraison dans la journée. Toutes nos excuses pour ce contretemps. "&amp;Paramètres!$B$11&amp;", "&amp;Paramètres!$B$12,""))))</f>
        <v/>
      </c>
      <c r="T397" s="21" t="n"/>
      <c r="U397" s="26" t="n"/>
      <c r="V397" s="21" t="n"/>
    </row>
    <row r="398">
      <c r="A398" s="21" t="n"/>
      <c r="B398" s="26" t="n"/>
      <c r="C398" s="21" t="n"/>
      <c r="D398" s="25">
        <f>IF(C398="","",IFERROR(VLOOKUP(C398,Revendeurs!$A:$B,2,FALSE),"Code inconnu"))</f>
        <v/>
      </c>
      <c r="E398" s="21" t="n"/>
      <c r="F398" s="21" t="n"/>
      <c r="G398" s="22" t="n"/>
      <c r="H398" s="23">
        <f>IF(OR(F398="",G398=""),"",F398*G398)</f>
        <v/>
      </c>
      <c r="I398" s="26" t="n"/>
      <c r="J398" s="26" t="n"/>
      <c r="K398" s="25">
        <f>IF(B398="","",IF(J398&lt;&gt;"","Livrée",IF(I398="","À planifier",IF(Paramètres!$B$4&gt;I398+Paramètres!$B$8,"En retard","En cours"))))</f>
        <v/>
      </c>
      <c r="L398" s="25">
        <f>IF(K398="En retard",Paramètres!$B$4-I398,"")</f>
        <v/>
      </c>
      <c r="M398" s="27">
        <f>IF(OR(B398="",J398=""),"",J398+IFERROR(IF(VLOOKUP(C398,Revendeurs!$A:$G,7,FALSE)="",Paramètres!$B$9,VLOOKUP(C398,Revendeurs!$A:$G,7,FALSE)),Paramètres!$B$9))</f>
        <v/>
      </c>
      <c r="N398" s="22" t="n"/>
      <c r="O398" s="23">
        <f>IF(H398="","",H398-N398)</f>
        <v/>
      </c>
      <c r="P398" s="25">
        <f>IF(OR(M398="",O398=""),"",IF(O398&lt;=0,0,MAX(0,Paramètres!$B$4-M398)))</f>
        <v/>
      </c>
      <c r="Q398" s="25">
        <f>IF(H398="","",IF(O398&lt;=0,"Payée",IF(M398="","Pas encore livrée",IF(P398=0,"Non échue",IF(P398&gt;=Paramètres!$B$7,"Relance 3 : appel direction",IF(P398&gt;=Paramètres!$B$6,"Relance 2",IF(P398&gt;=Paramètres!$B$5,"Relance 1","Échue, relance à venir")))))))</f>
        <v/>
      </c>
      <c r="R398" s="25">
        <f>IF(B398="","",IF(U398=Paramètres!$B$4,"Relancé aujourd'hui",TRIM(IF(LEFT(Q398,7)="Relance",Q398&amp;" ","")&amp;IF(K398="En retard","· Prévenir du retard de livraison",""))))</f>
        <v/>
      </c>
      <c r="S398" s="28">
        <f>IF(B398="","",IF(LEFT(Q398,9)="Relance 3","Bonjour "&amp;D398&amp;", nous revenons vers vous au sujet de la commande "&amp;A398&amp;" du "&amp;TEXT(B398,"dd/mm/yyyy")&amp;" : "&amp;SUBSTITUTE(TEXT(O398,"#,##0"),","," ")&amp;" FCFA restent à régler depuis le "&amp;TEXT(M398,"dd/mm/yyyy")&amp;". Notre responsable souhaite vous appeler pour convenir ensemble d'une solution. Quel moment vous arrange cette semaine ? "&amp;Paramètres!$B$11&amp;", "&amp;Paramètres!$B$12,IF(LEFT(Q398,7)="Relance","Bonjour "&amp;D398&amp;", sauf erreur de notre part, la commande "&amp;A398&amp;" du "&amp;TEXT(B398,"dd/mm/yyyy")&amp;" ("&amp;E398&amp;") présente un reste à payer de "&amp;SUBSTITUTE(TEXT(O398,"#,##0"),","," ")&amp;" FCFA, échu depuis le "&amp;TEXT(M398,"dd/mm/yyyy")&amp;". Pouvez-vous nous indiquer la date de règlement prévue ? Si le paiement est déjà parti, merci de nous envoyer la preuve et ne tenez pas compte de ce message. "&amp;Paramètres!$B$11&amp;", "&amp;Paramètres!$B$12,IF(K398="En retard","Bonjour "&amp;D398&amp;", votre commande "&amp;A398&amp;" ("&amp;E398&amp;", "&amp;F398&amp;" pièces) prévue le "&amp;TEXT(I398,"dd/mm/yyyy")&amp;" a pris du retard. Nous vous confirmons la nouvelle date de livraison dans la journée. Toutes nos excuses pour ce contretemps. "&amp;Paramètres!$B$11&amp;", "&amp;Paramètres!$B$12,""))))</f>
        <v/>
      </c>
      <c r="T398" s="21" t="n"/>
      <c r="U398" s="26" t="n"/>
      <c r="V398" s="21" t="n"/>
    </row>
    <row r="399">
      <c r="A399" s="21" t="n"/>
      <c r="B399" s="26" t="n"/>
      <c r="C399" s="21" t="n"/>
      <c r="D399" s="25">
        <f>IF(C399="","",IFERROR(VLOOKUP(C399,Revendeurs!$A:$B,2,FALSE),"Code inconnu"))</f>
        <v/>
      </c>
      <c r="E399" s="21" t="n"/>
      <c r="F399" s="21" t="n"/>
      <c r="G399" s="22" t="n"/>
      <c r="H399" s="23">
        <f>IF(OR(F399="",G399=""),"",F399*G399)</f>
        <v/>
      </c>
      <c r="I399" s="26" t="n"/>
      <c r="J399" s="26" t="n"/>
      <c r="K399" s="25">
        <f>IF(B399="","",IF(J399&lt;&gt;"","Livrée",IF(I399="","À planifier",IF(Paramètres!$B$4&gt;I399+Paramètres!$B$8,"En retard","En cours"))))</f>
        <v/>
      </c>
      <c r="L399" s="25">
        <f>IF(K399="En retard",Paramètres!$B$4-I399,"")</f>
        <v/>
      </c>
      <c r="M399" s="27">
        <f>IF(OR(B399="",J399=""),"",J399+IFERROR(IF(VLOOKUP(C399,Revendeurs!$A:$G,7,FALSE)="",Paramètres!$B$9,VLOOKUP(C399,Revendeurs!$A:$G,7,FALSE)),Paramètres!$B$9))</f>
        <v/>
      </c>
      <c r="N399" s="22" t="n"/>
      <c r="O399" s="23">
        <f>IF(H399="","",H399-N399)</f>
        <v/>
      </c>
      <c r="P399" s="25">
        <f>IF(OR(M399="",O399=""),"",IF(O399&lt;=0,0,MAX(0,Paramètres!$B$4-M399)))</f>
        <v/>
      </c>
      <c r="Q399" s="25">
        <f>IF(H399="","",IF(O399&lt;=0,"Payée",IF(M399="","Pas encore livrée",IF(P399=0,"Non échue",IF(P399&gt;=Paramètres!$B$7,"Relance 3 : appel direction",IF(P399&gt;=Paramètres!$B$6,"Relance 2",IF(P399&gt;=Paramètres!$B$5,"Relance 1","Échue, relance à venir")))))))</f>
        <v/>
      </c>
      <c r="R399" s="25">
        <f>IF(B399="","",IF(U399=Paramètres!$B$4,"Relancé aujourd'hui",TRIM(IF(LEFT(Q399,7)="Relance",Q399&amp;" ","")&amp;IF(K399="En retard","· Prévenir du retard de livraison",""))))</f>
        <v/>
      </c>
      <c r="S399" s="28">
        <f>IF(B399="","",IF(LEFT(Q399,9)="Relance 3","Bonjour "&amp;D399&amp;", nous revenons vers vous au sujet de la commande "&amp;A399&amp;" du "&amp;TEXT(B399,"dd/mm/yyyy")&amp;" : "&amp;SUBSTITUTE(TEXT(O399,"#,##0"),","," ")&amp;" FCFA restent à régler depuis le "&amp;TEXT(M399,"dd/mm/yyyy")&amp;". Notre responsable souhaite vous appeler pour convenir ensemble d'une solution. Quel moment vous arrange cette semaine ? "&amp;Paramètres!$B$11&amp;", "&amp;Paramètres!$B$12,IF(LEFT(Q399,7)="Relance","Bonjour "&amp;D399&amp;", sauf erreur de notre part, la commande "&amp;A399&amp;" du "&amp;TEXT(B399,"dd/mm/yyyy")&amp;" ("&amp;E399&amp;") présente un reste à payer de "&amp;SUBSTITUTE(TEXT(O399,"#,##0"),","," ")&amp;" FCFA, échu depuis le "&amp;TEXT(M399,"dd/mm/yyyy")&amp;". Pouvez-vous nous indiquer la date de règlement prévue ? Si le paiement est déjà parti, merci de nous envoyer la preuve et ne tenez pas compte de ce message. "&amp;Paramètres!$B$11&amp;", "&amp;Paramètres!$B$12,IF(K399="En retard","Bonjour "&amp;D399&amp;", votre commande "&amp;A399&amp;" ("&amp;E399&amp;", "&amp;F399&amp;" pièces) prévue le "&amp;TEXT(I399,"dd/mm/yyyy")&amp;" a pris du retard. Nous vous confirmons la nouvelle date de livraison dans la journée. Toutes nos excuses pour ce contretemps. "&amp;Paramètres!$B$11&amp;", "&amp;Paramètres!$B$12,""))))</f>
        <v/>
      </c>
      <c r="T399" s="21" t="n"/>
      <c r="U399" s="26" t="n"/>
      <c r="V399" s="21" t="n"/>
    </row>
    <row r="400">
      <c r="A400" s="21" t="n"/>
      <c r="B400" s="26" t="n"/>
      <c r="C400" s="21" t="n"/>
      <c r="D400" s="25">
        <f>IF(C400="","",IFERROR(VLOOKUP(C400,Revendeurs!$A:$B,2,FALSE),"Code inconnu"))</f>
        <v/>
      </c>
      <c r="E400" s="21" t="n"/>
      <c r="F400" s="21" t="n"/>
      <c r="G400" s="22" t="n"/>
      <c r="H400" s="23">
        <f>IF(OR(F400="",G400=""),"",F400*G400)</f>
        <v/>
      </c>
      <c r="I400" s="26" t="n"/>
      <c r="J400" s="26" t="n"/>
      <c r="K400" s="25">
        <f>IF(B400="","",IF(J400&lt;&gt;"","Livrée",IF(I400="","À planifier",IF(Paramètres!$B$4&gt;I400+Paramètres!$B$8,"En retard","En cours"))))</f>
        <v/>
      </c>
      <c r="L400" s="25">
        <f>IF(K400="En retard",Paramètres!$B$4-I400,"")</f>
        <v/>
      </c>
      <c r="M400" s="27">
        <f>IF(OR(B400="",J400=""),"",J400+IFERROR(IF(VLOOKUP(C400,Revendeurs!$A:$G,7,FALSE)="",Paramètres!$B$9,VLOOKUP(C400,Revendeurs!$A:$G,7,FALSE)),Paramètres!$B$9))</f>
        <v/>
      </c>
      <c r="N400" s="22" t="n"/>
      <c r="O400" s="23">
        <f>IF(H400="","",H400-N400)</f>
        <v/>
      </c>
      <c r="P400" s="25">
        <f>IF(OR(M400="",O400=""),"",IF(O400&lt;=0,0,MAX(0,Paramètres!$B$4-M400)))</f>
        <v/>
      </c>
      <c r="Q400" s="25">
        <f>IF(H400="","",IF(O400&lt;=0,"Payée",IF(M400="","Pas encore livrée",IF(P400=0,"Non échue",IF(P400&gt;=Paramètres!$B$7,"Relance 3 : appel direction",IF(P400&gt;=Paramètres!$B$6,"Relance 2",IF(P400&gt;=Paramètres!$B$5,"Relance 1","Échue, relance à venir")))))))</f>
        <v/>
      </c>
      <c r="R400" s="25">
        <f>IF(B400="","",IF(U400=Paramètres!$B$4,"Relancé aujourd'hui",TRIM(IF(LEFT(Q400,7)="Relance",Q400&amp;" ","")&amp;IF(K400="En retard","· Prévenir du retard de livraison",""))))</f>
        <v/>
      </c>
      <c r="S400" s="28">
        <f>IF(B400="","",IF(LEFT(Q400,9)="Relance 3","Bonjour "&amp;D400&amp;", nous revenons vers vous au sujet de la commande "&amp;A400&amp;" du "&amp;TEXT(B400,"dd/mm/yyyy")&amp;" : "&amp;SUBSTITUTE(TEXT(O400,"#,##0"),","," ")&amp;" FCFA restent à régler depuis le "&amp;TEXT(M400,"dd/mm/yyyy")&amp;". Notre responsable souhaite vous appeler pour convenir ensemble d'une solution. Quel moment vous arrange cette semaine ? "&amp;Paramètres!$B$11&amp;", "&amp;Paramètres!$B$12,IF(LEFT(Q400,7)="Relance","Bonjour "&amp;D400&amp;", sauf erreur de notre part, la commande "&amp;A400&amp;" du "&amp;TEXT(B400,"dd/mm/yyyy")&amp;" ("&amp;E400&amp;") présente un reste à payer de "&amp;SUBSTITUTE(TEXT(O400,"#,##0"),","," ")&amp;" FCFA, échu depuis le "&amp;TEXT(M400,"dd/mm/yyyy")&amp;". Pouvez-vous nous indiquer la date de règlement prévue ? Si le paiement est déjà parti, merci de nous envoyer la preuve et ne tenez pas compte de ce message. "&amp;Paramètres!$B$11&amp;", "&amp;Paramètres!$B$12,IF(K400="En retard","Bonjour "&amp;D400&amp;", votre commande "&amp;A400&amp;" ("&amp;E400&amp;", "&amp;F400&amp;" pièces) prévue le "&amp;TEXT(I400,"dd/mm/yyyy")&amp;" a pris du retard. Nous vous confirmons la nouvelle date de livraison dans la journée. Toutes nos excuses pour ce contretemps. "&amp;Paramètres!$B$11&amp;", "&amp;Paramètres!$B$12,""))))</f>
        <v/>
      </c>
      <c r="T400" s="21" t="n"/>
      <c r="U400" s="26" t="n"/>
      <c r="V400" s="21" t="n"/>
    </row>
    <row r="401">
      <c r="A401" s="21" t="n"/>
      <c r="B401" s="26" t="n"/>
      <c r="C401" s="21" t="n"/>
      <c r="D401" s="25">
        <f>IF(C401="","",IFERROR(VLOOKUP(C401,Revendeurs!$A:$B,2,FALSE),"Code inconnu"))</f>
        <v/>
      </c>
      <c r="E401" s="21" t="n"/>
      <c r="F401" s="21" t="n"/>
      <c r="G401" s="22" t="n"/>
      <c r="H401" s="23">
        <f>IF(OR(F401="",G401=""),"",F401*G401)</f>
        <v/>
      </c>
      <c r="I401" s="26" t="n"/>
      <c r="J401" s="26" t="n"/>
      <c r="K401" s="25">
        <f>IF(B401="","",IF(J401&lt;&gt;"","Livrée",IF(I401="","À planifier",IF(Paramètres!$B$4&gt;I401+Paramètres!$B$8,"En retard","En cours"))))</f>
        <v/>
      </c>
      <c r="L401" s="25">
        <f>IF(K401="En retard",Paramètres!$B$4-I401,"")</f>
        <v/>
      </c>
      <c r="M401" s="27">
        <f>IF(OR(B401="",J401=""),"",J401+IFERROR(IF(VLOOKUP(C401,Revendeurs!$A:$G,7,FALSE)="",Paramètres!$B$9,VLOOKUP(C401,Revendeurs!$A:$G,7,FALSE)),Paramètres!$B$9))</f>
        <v/>
      </c>
      <c r="N401" s="22" t="n"/>
      <c r="O401" s="23">
        <f>IF(H401="","",H401-N401)</f>
        <v/>
      </c>
      <c r="P401" s="25">
        <f>IF(OR(M401="",O401=""),"",IF(O401&lt;=0,0,MAX(0,Paramètres!$B$4-M401)))</f>
        <v/>
      </c>
      <c r="Q401" s="25">
        <f>IF(H401="","",IF(O401&lt;=0,"Payée",IF(M401="","Pas encore livrée",IF(P401=0,"Non échue",IF(P401&gt;=Paramètres!$B$7,"Relance 3 : appel direction",IF(P401&gt;=Paramètres!$B$6,"Relance 2",IF(P401&gt;=Paramètres!$B$5,"Relance 1","Échue, relance à venir")))))))</f>
        <v/>
      </c>
      <c r="R401" s="25">
        <f>IF(B401="","",IF(U401=Paramètres!$B$4,"Relancé aujourd'hui",TRIM(IF(LEFT(Q401,7)="Relance",Q401&amp;" ","")&amp;IF(K401="En retard","· Prévenir du retard de livraison",""))))</f>
        <v/>
      </c>
      <c r="S401" s="28">
        <f>IF(B401="","",IF(LEFT(Q401,9)="Relance 3","Bonjour "&amp;D401&amp;", nous revenons vers vous au sujet de la commande "&amp;A401&amp;" du "&amp;TEXT(B401,"dd/mm/yyyy")&amp;" : "&amp;SUBSTITUTE(TEXT(O401,"#,##0"),","," ")&amp;" FCFA restent à régler depuis le "&amp;TEXT(M401,"dd/mm/yyyy")&amp;". Notre responsable souhaite vous appeler pour convenir ensemble d'une solution. Quel moment vous arrange cette semaine ? "&amp;Paramètres!$B$11&amp;", "&amp;Paramètres!$B$12,IF(LEFT(Q401,7)="Relance","Bonjour "&amp;D401&amp;", sauf erreur de notre part, la commande "&amp;A401&amp;" du "&amp;TEXT(B401,"dd/mm/yyyy")&amp;" ("&amp;E401&amp;") présente un reste à payer de "&amp;SUBSTITUTE(TEXT(O401,"#,##0"),","," ")&amp;" FCFA, échu depuis le "&amp;TEXT(M401,"dd/mm/yyyy")&amp;". Pouvez-vous nous indiquer la date de règlement prévue ? Si le paiement est déjà parti, merci de nous envoyer la preuve et ne tenez pas compte de ce message. "&amp;Paramètres!$B$11&amp;", "&amp;Paramètres!$B$12,IF(K401="En retard","Bonjour "&amp;D401&amp;", votre commande "&amp;A401&amp;" ("&amp;E401&amp;", "&amp;F401&amp;" pièces) prévue le "&amp;TEXT(I401,"dd/mm/yyyy")&amp;" a pris du retard. Nous vous confirmons la nouvelle date de livraison dans la journée. Toutes nos excuses pour ce contretemps. "&amp;Paramètres!$B$11&amp;", "&amp;Paramètres!$B$12,""))))</f>
        <v/>
      </c>
      <c r="T401" s="21" t="n"/>
      <c r="U401" s="26" t="n"/>
      <c r="V401" s="21" t="n"/>
    </row>
    <row r="402">
      <c r="A402" s="21" t="n"/>
      <c r="B402" s="26" t="n"/>
      <c r="C402" s="21" t="n"/>
      <c r="D402" s="25">
        <f>IF(C402="","",IFERROR(VLOOKUP(C402,Revendeurs!$A:$B,2,FALSE),"Code inconnu"))</f>
        <v/>
      </c>
      <c r="E402" s="21" t="n"/>
      <c r="F402" s="21" t="n"/>
      <c r="G402" s="22" t="n"/>
      <c r="H402" s="23">
        <f>IF(OR(F402="",G402=""),"",F402*G402)</f>
        <v/>
      </c>
      <c r="I402" s="26" t="n"/>
      <c r="J402" s="26" t="n"/>
      <c r="K402" s="25">
        <f>IF(B402="","",IF(J402&lt;&gt;"","Livrée",IF(I402="","À planifier",IF(Paramètres!$B$4&gt;I402+Paramètres!$B$8,"En retard","En cours"))))</f>
        <v/>
      </c>
      <c r="L402" s="25">
        <f>IF(K402="En retard",Paramètres!$B$4-I402,"")</f>
        <v/>
      </c>
      <c r="M402" s="27">
        <f>IF(OR(B402="",J402=""),"",J402+IFERROR(IF(VLOOKUP(C402,Revendeurs!$A:$G,7,FALSE)="",Paramètres!$B$9,VLOOKUP(C402,Revendeurs!$A:$G,7,FALSE)),Paramètres!$B$9))</f>
        <v/>
      </c>
      <c r="N402" s="22" t="n"/>
      <c r="O402" s="23">
        <f>IF(H402="","",H402-N402)</f>
        <v/>
      </c>
      <c r="P402" s="25">
        <f>IF(OR(M402="",O402=""),"",IF(O402&lt;=0,0,MAX(0,Paramètres!$B$4-M402)))</f>
        <v/>
      </c>
      <c r="Q402" s="25">
        <f>IF(H402="","",IF(O402&lt;=0,"Payée",IF(M402="","Pas encore livrée",IF(P402=0,"Non échue",IF(P402&gt;=Paramètres!$B$7,"Relance 3 : appel direction",IF(P402&gt;=Paramètres!$B$6,"Relance 2",IF(P402&gt;=Paramètres!$B$5,"Relance 1","Échue, relance à venir")))))))</f>
        <v/>
      </c>
      <c r="R402" s="25">
        <f>IF(B402="","",IF(U402=Paramètres!$B$4,"Relancé aujourd'hui",TRIM(IF(LEFT(Q402,7)="Relance",Q402&amp;" ","")&amp;IF(K402="En retard","· Prévenir du retard de livraison",""))))</f>
        <v/>
      </c>
      <c r="S402" s="28">
        <f>IF(B402="","",IF(LEFT(Q402,9)="Relance 3","Bonjour "&amp;D402&amp;", nous revenons vers vous au sujet de la commande "&amp;A402&amp;" du "&amp;TEXT(B402,"dd/mm/yyyy")&amp;" : "&amp;SUBSTITUTE(TEXT(O402,"#,##0"),","," ")&amp;" FCFA restent à régler depuis le "&amp;TEXT(M402,"dd/mm/yyyy")&amp;". Notre responsable souhaite vous appeler pour convenir ensemble d'une solution. Quel moment vous arrange cette semaine ? "&amp;Paramètres!$B$11&amp;", "&amp;Paramètres!$B$12,IF(LEFT(Q402,7)="Relance","Bonjour "&amp;D402&amp;", sauf erreur de notre part, la commande "&amp;A402&amp;" du "&amp;TEXT(B402,"dd/mm/yyyy")&amp;" ("&amp;E402&amp;") présente un reste à payer de "&amp;SUBSTITUTE(TEXT(O402,"#,##0"),","," ")&amp;" FCFA, échu depuis le "&amp;TEXT(M402,"dd/mm/yyyy")&amp;". Pouvez-vous nous indiquer la date de règlement prévue ? Si le paiement est déjà parti, merci de nous envoyer la preuve et ne tenez pas compte de ce message. "&amp;Paramètres!$B$11&amp;", "&amp;Paramètres!$B$12,IF(K402="En retard","Bonjour "&amp;D402&amp;", votre commande "&amp;A402&amp;" ("&amp;E402&amp;", "&amp;F402&amp;" pièces) prévue le "&amp;TEXT(I402,"dd/mm/yyyy")&amp;" a pris du retard. Nous vous confirmons la nouvelle date de livraison dans la journée. Toutes nos excuses pour ce contretemps. "&amp;Paramètres!$B$11&amp;", "&amp;Paramètres!$B$12,""))))</f>
        <v/>
      </c>
      <c r="T402" s="21" t="n"/>
      <c r="U402" s="26" t="n"/>
      <c r="V402" s="21" t="n"/>
    </row>
    <row r="403">
      <c r="A403" s="21" t="n"/>
      <c r="B403" s="26" t="n"/>
      <c r="C403" s="21" t="n"/>
      <c r="D403" s="25">
        <f>IF(C403="","",IFERROR(VLOOKUP(C403,Revendeurs!$A:$B,2,FALSE),"Code inconnu"))</f>
        <v/>
      </c>
      <c r="E403" s="21" t="n"/>
      <c r="F403" s="21" t="n"/>
      <c r="G403" s="22" t="n"/>
      <c r="H403" s="23">
        <f>IF(OR(F403="",G403=""),"",F403*G403)</f>
        <v/>
      </c>
      <c r="I403" s="26" t="n"/>
      <c r="J403" s="26" t="n"/>
      <c r="K403" s="25">
        <f>IF(B403="","",IF(J403&lt;&gt;"","Livrée",IF(I403="","À planifier",IF(Paramètres!$B$4&gt;I403+Paramètres!$B$8,"En retard","En cours"))))</f>
        <v/>
      </c>
      <c r="L403" s="25">
        <f>IF(K403="En retard",Paramètres!$B$4-I403,"")</f>
        <v/>
      </c>
      <c r="M403" s="27">
        <f>IF(OR(B403="",J403=""),"",J403+IFERROR(IF(VLOOKUP(C403,Revendeurs!$A:$G,7,FALSE)="",Paramètres!$B$9,VLOOKUP(C403,Revendeurs!$A:$G,7,FALSE)),Paramètres!$B$9))</f>
        <v/>
      </c>
      <c r="N403" s="22" t="n"/>
      <c r="O403" s="23">
        <f>IF(H403="","",H403-N403)</f>
        <v/>
      </c>
      <c r="P403" s="25">
        <f>IF(OR(M403="",O403=""),"",IF(O403&lt;=0,0,MAX(0,Paramètres!$B$4-M403)))</f>
        <v/>
      </c>
      <c r="Q403" s="25">
        <f>IF(H403="","",IF(O403&lt;=0,"Payée",IF(M403="","Pas encore livrée",IF(P403=0,"Non échue",IF(P403&gt;=Paramètres!$B$7,"Relance 3 : appel direction",IF(P403&gt;=Paramètres!$B$6,"Relance 2",IF(P403&gt;=Paramètres!$B$5,"Relance 1","Échue, relance à venir")))))))</f>
        <v/>
      </c>
      <c r="R403" s="25">
        <f>IF(B403="","",IF(U403=Paramètres!$B$4,"Relancé aujourd'hui",TRIM(IF(LEFT(Q403,7)="Relance",Q403&amp;" ","")&amp;IF(K403="En retard","· Prévenir du retard de livraison",""))))</f>
        <v/>
      </c>
      <c r="S403" s="28">
        <f>IF(B403="","",IF(LEFT(Q403,9)="Relance 3","Bonjour "&amp;D403&amp;", nous revenons vers vous au sujet de la commande "&amp;A403&amp;" du "&amp;TEXT(B403,"dd/mm/yyyy")&amp;" : "&amp;SUBSTITUTE(TEXT(O403,"#,##0"),","," ")&amp;" FCFA restent à régler depuis le "&amp;TEXT(M403,"dd/mm/yyyy")&amp;". Notre responsable souhaite vous appeler pour convenir ensemble d'une solution. Quel moment vous arrange cette semaine ? "&amp;Paramètres!$B$11&amp;", "&amp;Paramètres!$B$12,IF(LEFT(Q403,7)="Relance","Bonjour "&amp;D403&amp;", sauf erreur de notre part, la commande "&amp;A403&amp;" du "&amp;TEXT(B403,"dd/mm/yyyy")&amp;" ("&amp;E403&amp;") présente un reste à payer de "&amp;SUBSTITUTE(TEXT(O403,"#,##0"),","," ")&amp;" FCFA, échu depuis le "&amp;TEXT(M403,"dd/mm/yyyy")&amp;". Pouvez-vous nous indiquer la date de règlement prévue ? Si le paiement est déjà parti, merci de nous envoyer la preuve et ne tenez pas compte de ce message. "&amp;Paramètres!$B$11&amp;", "&amp;Paramètres!$B$12,IF(K403="En retard","Bonjour "&amp;D403&amp;", votre commande "&amp;A403&amp;" ("&amp;E403&amp;", "&amp;F403&amp;" pièces) prévue le "&amp;TEXT(I403,"dd/mm/yyyy")&amp;" a pris du retard. Nous vous confirmons la nouvelle date de livraison dans la journée. Toutes nos excuses pour ce contretemps. "&amp;Paramètres!$B$11&amp;", "&amp;Paramètres!$B$12,""))))</f>
        <v/>
      </c>
      <c r="T403" s="21" t="n"/>
      <c r="U403" s="26" t="n"/>
      <c r="V403" s="21" t="n"/>
    </row>
    <row r="404">
      <c r="A404" s="21" t="n"/>
      <c r="B404" s="26" t="n"/>
      <c r="C404" s="21" t="n"/>
      <c r="D404" s="25">
        <f>IF(C404="","",IFERROR(VLOOKUP(C404,Revendeurs!$A:$B,2,FALSE),"Code inconnu"))</f>
        <v/>
      </c>
      <c r="E404" s="21" t="n"/>
      <c r="F404" s="21" t="n"/>
      <c r="G404" s="22" t="n"/>
      <c r="H404" s="23">
        <f>IF(OR(F404="",G404=""),"",F404*G404)</f>
        <v/>
      </c>
      <c r="I404" s="26" t="n"/>
      <c r="J404" s="26" t="n"/>
      <c r="K404" s="25">
        <f>IF(B404="","",IF(J404&lt;&gt;"","Livrée",IF(I404="","À planifier",IF(Paramètres!$B$4&gt;I404+Paramètres!$B$8,"En retard","En cours"))))</f>
        <v/>
      </c>
      <c r="L404" s="25">
        <f>IF(K404="En retard",Paramètres!$B$4-I404,"")</f>
        <v/>
      </c>
      <c r="M404" s="27">
        <f>IF(OR(B404="",J404=""),"",J404+IFERROR(IF(VLOOKUP(C404,Revendeurs!$A:$G,7,FALSE)="",Paramètres!$B$9,VLOOKUP(C404,Revendeurs!$A:$G,7,FALSE)),Paramètres!$B$9))</f>
        <v/>
      </c>
      <c r="N404" s="22" t="n"/>
      <c r="O404" s="23">
        <f>IF(H404="","",H404-N404)</f>
        <v/>
      </c>
      <c r="P404" s="25">
        <f>IF(OR(M404="",O404=""),"",IF(O404&lt;=0,0,MAX(0,Paramètres!$B$4-M404)))</f>
        <v/>
      </c>
      <c r="Q404" s="25">
        <f>IF(H404="","",IF(O404&lt;=0,"Payée",IF(M404="","Pas encore livrée",IF(P404=0,"Non échue",IF(P404&gt;=Paramètres!$B$7,"Relance 3 : appel direction",IF(P404&gt;=Paramètres!$B$6,"Relance 2",IF(P404&gt;=Paramètres!$B$5,"Relance 1","Échue, relance à venir")))))))</f>
        <v/>
      </c>
      <c r="R404" s="25">
        <f>IF(B404="","",IF(U404=Paramètres!$B$4,"Relancé aujourd'hui",TRIM(IF(LEFT(Q404,7)="Relance",Q404&amp;" ","")&amp;IF(K404="En retard","· Prévenir du retard de livraison",""))))</f>
        <v/>
      </c>
      <c r="S404" s="28">
        <f>IF(B404="","",IF(LEFT(Q404,9)="Relance 3","Bonjour "&amp;D404&amp;", nous revenons vers vous au sujet de la commande "&amp;A404&amp;" du "&amp;TEXT(B404,"dd/mm/yyyy")&amp;" : "&amp;SUBSTITUTE(TEXT(O404,"#,##0"),","," ")&amp;" FCFA restent à régler depuis le "&amp;TEXT(M404,"dd/mm/yyyy")&amp;". Notre responsable souhaite vous appeler pour convenir ensemble d'une solution. Quel moment vous arrange cette semaine ? "&amp;Paramètres!$B$11&amp;", "&amp;Paramètres!$B$12,IF(LEFT(Q404,7)="Relance","Bonjour "&amp;D404&amp;", sauf erreur de notre part, la commande "&amp;A404&amp;" du "&amp;TEXT(B404,"dd/mm/yyyy")&amp;" ("&amp;E404&amp;") présente un reste à payer de "&amp;SUBSTITUTE(TEXT(O404,"#,##0"),","," ")&amp;" FCFA, échu depuis le "&amp;TEXT(M404,"dd/mm/yyyy")&amp;". Pouvez-vous nous indiquer la date de règlement prévue ? Si le paiement est déjà parti, merci de nous envoyer la preuve et ne tenez pas compte de ce message. "&amp;Paramètres!$B$11&amp;", "&amp;Paramètres!$B$12,IF(K404="En retard","Bonjour "&amp;D404&amp;", votre commande "&amp;A404&amp;" ("&amp;E404&amp;", "&amp;F404&amp;" pièces) prévue le "&amp;TEXT(I404,"dd/mm/yyyy")&amp;" a pris du retard. Nous vous confirmons la nouvelle date de livraison dans la journée. Toutes nos excuses pour ce contretemps. "&amp;Paramètres!$B$11&amp;", "&amp;Paramètres!$B$12,""))))</f>
        <v/>
      </c>
      <c r="T404" s="21" t="n"/>
      <c r="U404" s="26" t="n"/>
      <c r="V404" s="21" t="n"/>
    </row>
    <row r="405">
      <c r="A405" s="21" t="n"/>
      <c r="B405" s="26" t="n"/>
      <c r="C405" s="21" t="n"/>
      <c r="D405" s="25">
        <f>IF(C405="","",IFERROR(VLOOKUP(C405,Revendeurs!$A:$B,2,FALSE),"Code inconnu"))</f>
        <v/>
      </c>
      <c r="E405" s="21" t="n"/>
      <c r="F405" s="21" t="n"/>
      <c r="G405" s="22" t="n"/>
      <c r="H405" s="23">
        <f>IF(OR(F405="",G405=""),"",F405*G405)</f>
        <v/>
      </c>
      <c r="I405" s="26" t="n"/>
      <c r="J405" s="26" t="n"/>
      <c r="K405" s="25">
        <f>IF(B405="","",IF(J405&lt;&gt;"","Livrée",IF(I405="","À planifier",IF(Paramètres!$B$4&gt;I405+Paramètres!$B$8,"En retard","En cours"))))</f>
        <v/>
      </c>
      <c r="L405" s="25">
        <f>IF(K405="En retard",Paramètres!$B$4-I405,"")</f>
        <v/>
      </c>
      <c r="M405" s="27">
        <f>IF(OR(B405="",J405=""),"",J405+IFERROR(IF(VLOOKUP(C405,Revendeurs!$A:$G,7,FALSE)="",Paramètres!$B$9,VLOOKUP(C405,Revendeurs!$A:$G,7,FALSE)),Paramètres!$B$9))</f>
        <v/>
      </c>
      <c r="N405" s="22" t="n"/>
      <c r="O405" s="23">
        <f>IF(H405="","",H405-N405)</f>
        <v/>
      </c>
      <c r="P405" s="25">
        <f>IF(OR(M405="",O405=""),"",IF(O405&lt;=0,0,MAX(0,Paramètres!$B$4-M405)))</f>
        <v/>
      </c>
      <c r="Q405" s="25">
        <f>IF(H405="","",IF(O405&lt;=0,"Payée",IF(M405="","Pas encore livrée",IF(P405=0,"Non échue",IF(P405&gt;=Paramètres!$B$7,"Relance 3 : appel direction",IF(P405&gt;=Paramètres!$B$6,"Relance 2",IF(P405&gt;=Paramètres!$B$5,"Relance 1","Échue, relance à venir")))))))</f>
        <v/>
      </c>
      <c r="R405" s="25">
        <f>IF(B405="","",IF(U405=Paramètres!$B$4,"Relancé aujourd'hui",TRIM(IF(LEFT(Q405,7)="Relance",Q405&amp;" ","")&amp;IF(K405="En retard","· Prévenir du retard de livraison",""))))</f>
        <v/>
      </c>
      <c r="S405" s="28">
        <f>IF(B405="","",IF(LEFT(Q405,9)="Relance 3","Bonjour "&amp;D405&amp;", nous revenons vers vous au sujet de la commande "&amp;A405&amp;" du "&amp;TEXT(B405,"dd/mm/yyyy")&amp;" : "&amp;SUBSTITUTE(TEXT(O405,"#,##0"),","," ")&amp;" FCFA restent à régler depuis le "&amp;TEXT(M405,"dd/mm/yyyy")&amp;". Notre responsable souhaite vous appeler pour convenir ensemble d'une solution. Quel moment vous arrange cette semaine ? "&amp;Paramètres!$B$11&amp;", "&amp;Paramètres!$B$12,IF(LEFT(Q405,7)="Relance","Bonjour "&amp;D405&amp;", sauf erreur de notre part, la commande "&amp;A405&amp;" du "&amp;TEXT(B405,"dd/mm/yyyy")&amp;" ("&amp;E405&amp;") présente un reste à payer de "&amp;SUBSTITUTE(TEXT(O405,"#,##0"),","," ")&amp;" FCFA, échu depuis le "&amp;TEXT(M405,"dd/mm/yyyy")&amp;". Pouvez-vous nous indiquer la date de règlement prévue ? Si le paiement est déjà parti, merci de nous envoyer la preuve et ne tenez pas compte de ce message. "&amp;Paramètres!$B$11&amp;", "&amp;Paramètres!$B$12,IF(K405="En retard","Bonjour "&amp;D405&amp;", votre commande "&amp;A405&amp;" ("&amp;E405&amp;", "&amp;F405&amp;" pièces) prévue le "&amp;TEXT(I405,"dd/mm/yyyy")&amp;" a pris du retard. Nous vous confirmons la nouvelle date de livraison dans la journée. Toutes nos excuses pour ce contretemps. "&amp;Paramètres!$B$11&amp;", "&amp;Paramètres!$B$12,""))))</f>
        <v/>
      </c>
      <c r="T405" s="21" t="n"/>
      <c r="U405" s="26" t="n"/>
      <c r="V405" s="21" t="n"/>
    </row>
    <row r="406">
      <c r="A406" s="21" t="n"/>
      <c r="B406" s="26" t="n"/>
      <c r="C406" s="21" t="n"/>
      <c r="D406" s="25">
        <f>IF(C406="","",IFERROR(VLOOKUP(C406,Revendeurs!$A:$B,2,FALSE),"Code inconnu"))</f>
        <v/>
      </c>
      <c r="E406" s="21" t="n"/>
      <c r="F406" s="21" t="n"/>
      <c r="G406" s="22" t="n"/>
      <c r="H406" s="23">
        <f>IF(OR(F406="",G406=""),"",F406*G406)</f>
        <v/>
      </c>
      <c r="I406" s="26" t="n"/>
      <c r="J406" s="26" t="n"/>
      <c r="K406" s="25">
        <f>IF(B406="","",IF(J406&lt;&gt;"","Livrée",IF(I406="","À planifier",IF(Paramètres!$B$4&gt;I406+Paramètres!$B$8,"En retard","En cours"))))</f>
        <v/>
      </c>
      <c r="L406" s="25">
        <f>IF(K406="En retard",Paramètres!$B$4-I406,"")</f>
        <v/>
      </c>
      <c r="M406" s="27">
        <f>IF(OR(B406="",J406=""),"",J406+IFERROR(IF(VLOOKUP(C406,Revendeurs!$A:$G,7,FALSE)="",Paramètres!$B$9,VLOOKUP(C406,Revendeurs!$A:$G,7,FALSE)),Paramètres!$B$9))</f>
        <v/>
      </c>
      <c r="N406" s="22" t="n"/>
      <c r="O406" s="23">
        <f>IF(H406="","",H406-N406)</f>
        <v/>
      </c>
      <c r="P406" s="25">
        <f>IF(OR(M406="",O406=""),"",IF(O406&lt;=0,0,MAX(0,Paramètres!$B$4-M406)))</f>
        <v/>
      </c>
      <c r="Q406" s="25">
        <f>IF(H406="","",IF(O406&lt;=0,"Payée",IF(M406="","Pas encore livrée",IF(P406=0,"Non échue",IF(P406&gt;=Paramètres!$B$7,"Relance 3 : appel direction",IF(P406&gt;=Paramètres!$B$6,"Relance 2",IF(P406&gt;=Paramètres!$B$5,"Relance 1","Échue, relance à venir")))))))</f>
        <v/>
      </c>
      <c r="R406" s="25">
        <f>IF(B406="","",IF(U406=Paramètres!$B$4,"Relancé aujourd'hui",TRIM(IF(LEFT(Q406,7)="Relance",Q406&amp;" ","")&amp;IF(K406="En retard","· Prévenir du retard de livraison",""))))</f>
        <v/>
      </c>
      <c r="S406" s="28">
        <f>IF(B406="","",IF(LEFT(Q406,9)="Relance 3","Bonjour "&amp;D406&amp;", nous revenons vers vous au sujet de la commande "&amp;A406&amp;" du "&amp;TEXT(B406,"dd/mm/yyyy")&amp;" : "&amp;SUBSTITUTE(TEXT(O406,"#,##0"),","," ")&amp;" FCFA restent à régler depuis le "&amp;TEXT(M406,"dd/mm/yyyy")&amp;". Notre responsable souhaite vous appeler pour convenir ensemble d'une solution. Quel moment vous arrange cette semaine ? "&amp;Paramètres!$B$11&amp;", "&amp;Paramètres!$B$12,IF(LEFT(Q406,7)="Relance","Bonjour "&amp;D406&amp;", sauf erreur de notre part, la commande "&amp;A406&amp;" du "&amp;TEXT(B406,"dd/mm/yyyy")&amp;" ("&amp;E406&amp;") présente un reste à payer de "&amp;SUBSTITUTE(TEXT(O406,"#,##0"),","," ")&amp;" FCFA, échu depuis le "&amp;TEXT(M406,"dd/mm/yyyy")&amp;". Pouvez-vous nous indiquer la date de règlement prévue ? Si le paiement est déjà parti, merci de nous envoyer la preuve et ne tenez pas compte de ce message. "&amp;Paramètres!$B$11&amp;", "&amp;Paramètres!$B$12,IF(K406="En retard","Bonjour "&amp;D406&amp;", votre commande "&amp;A406&amp;" ("&amp;E406&amp;", "&amp;F406&amp;" pièces) prévue le "&amp;TEXT(I406,"dd/mm/yyyy")&amp;" a pris du retard. Nous vous confirmons la nouvelle date de livraison dans la journée. Toutes nos excuses pour ce contretemps. "&amp;Paramètres!$B$11&amp;", "&amp;Paramètres!$B$12,""))))</f>
        <v/>
      </c>
      <c r="T406" s="21" t="n"/>
      <c r="U406" s="26" t="n"/>
      <c r="V406" s="21" t="n"/>
    </row>
    <row r="407">
      <c r="A407" s="21" t="n"/>
      <c r="B407" s="26" t="n"/>
      <c r="C407" s="21" t="n"/>
      <c r="D407" s="25">
        <f>IF(C407="","",IFERROR(VLOOKUP(C407,Revendeurs!$A:$B,2,FALSE),"Code inconnu"))</f>
        <v/>
      </c>
      <c r="E407" s="21" t="n"/>
      <c r="F407" s="21" t="n"/>
      <c r="G407" s="22" t="n"/>
      <c r="H407" s="23">
        <f>IF(OR(F407="",G407=""),"",F407*G407)</f>
        <v/>
      </c>
      <c r="I407" s="26" t="n"/>
      <c r="J407" s="26" t="n"/>
      <c r="K407" s="25">
        <f>IF(B407="","",IF(J407&lt;&gt;"","Livrée",IF(I407="","À planifier",IF(Paramètres!$B$4&gt;I407+Paramètres!$B$8,"En retard","En cours"))))</f>
        <v/>
      </c>
      <c r="L407" s="25">
        <f>IF(K407="En retard",Paramètres!$B$4-I407,"")</f>
        <v/>
      </c>
      <c r="M407" s="27">
        <f>IF(OR(B407="",J407=""),"",J407+IFERROR(IF(VLOOKUP(C407,Revendeurs!$A:$G,7,FALSE)="",Paramètres!$B$9,VLOOKUP(C407,Revendeurs!$A:$G,7,FALSE)),Paramètres!$B$9))</f>
        <v/>
      </c>
      <c r="N407" s="22" t="n"/>
      <c r="O407" s="23">
        <f>IF(H407="","",H407-N407)</f>
        <v/>
      </c>
      <c r="P407" s="25">
        <f>IF(OR(M407="",O407=""),"",IF(O407&lt;=0,0,MAX(0,Paramètres!$B$4-M407)))</f>
        <v/>
      </c>
      <c r="Q407" s="25">
        <f>IF(H407="","",IF(O407&lt;=0,"Payée",IF(M407="","Pas encore livrée",IF(P407=0,"Non échue",IF(P407&gt;=Paramètres!$B$7,"Relance 3 : appel direction",IF(P407&gt;=Paramètres!$B$6,"Relance 2",IF(P407&gt;=Paramètres!$B$5,"Relance 1","Échue, relance à venir")))))))</f>
        <v/>
      </c>
      <c r="R407" s="25">
        <f>IF(B407="","",IF(U407=Paramètres!$B$4,"Relancé aujourd'hui",TRIM(IF(LEFT(Q407,7)="Relance",Q407&amp;" ","")&amp;IF(K407="En retard","· Prévenir du retard de livraison",""))))</f>
        <v/>
      </c>
      <c r="S407" s="28">
        <f>IF(B407="","",IF(LEFT(Q407,9)="Relance 3","Bonjour "&amp;D407&amp;", nous revenons vers vous au sujet de la commande "&amp;A407&amp;" du "&amp;TEXT(B407,"dd/mm/yyyy")&amp;" : "&amp;SUBSTITUTE(TEXT(O407,"#,##0"),","," ")&amp;" FCFA restent à régler depuis le "&amp;TEXT(M407,"dd/mm/yyyy")&amp;". Notre responsable souhaite vous appeler pour convenir ensemble d'une solution. Quel moment vous arrange cette semaine ? "&amp;Paramètres!$B$11&amp;", "&amp;Paramètres!$B$12,IF(LEFT(Q407,7)="Relance","Bonjour "&amp;D407&amp;", sauf erreur de notre part, la commande "&amp;A407&amp;" du "&amp;TEXT(B407,"dd/mm/yyyy")&amp;" ("&amp;E407&amp;") présente un reste à payer de "&amp;SUBSTITUTE(TEXT(O407,"#,##0"),","," ")&amp;" FCFA, échu depuis le "&amp;TEXT(M407,"dd/mm/yyyy")&amp;". Pouvez-vous nous indiquer la date de règlement prévue ? Si le paiement est déjà parti, merci de nous envoyer la preuve et ne tenez pas compte de ce message. "&amp;Paramètres!$B$11&amp;", "&amp;Paramètres!$B$12,IF(K407="En retard","Bonjour "&amp;D407&amp;", votre commande "&amp;A407&amp;" ("&amp;E407&amp;", "&amp;F407&amp;" pièces) prévue le "&amp;TEXT(I407,"dd/mm/yyyy")&amp;" a pris du retard. Nous vous confirmons la nouvelle date de livraison dans la journée. Toutes nos excuses pour ce contretemps. "&amp;Paramètres!$B$11&amp;", "&amp;Paramètres!$B$12,""))))</f>
        <v/>
      </c>
      <c r="T407" s="21" t="n"/>
      <c r="U407" s="26" t="n"/>
      <c r="V407" s="21" t="n"/>
    </row>
    <row r="408">
      <c r="A408" s="21" t="n"/>
      <c r="B408" s="26" t="n"/>
      <c r="C408" s="21" t="n"/>
      <c r="D408" s="25">
        <f>IF(C408="","",IFERROR(VLOOKUP(C408,Revendeurs!$A:$B,2,FALSE),"Code inconnu"))</f>
        <v/>
      </c>
      <c r="E408" s="21" t="n"/>
      <c r="F408" s="21" t="n"/>
      <c r="G408" s="22" t="n"/>
      <c r="H408" s="23">
        <f>IF(OR(F408="",G408=""),"",F408*G408)</f>
        <v/>
      </c>
      <c r="I408" s="26" t="n"/>
      <c r="J408" s="26" t="n"/>
      <c r="K408" s="25">
        <f>IF(B408="","",IF(J408&lt;&gt;"","Livrée",IF(I408="","À planifier",IF(Paramètres!$B$4&gt;I408+Paramètres!$B$8,"En retard","En cours"))))</f>
        <v/>
      </c>
      <c r="L408" s="25">
        <f>IF(K408="En retard",Paramètres!$B$4-I408,"")</f>
        <v/>
      </c>
      <c r="M408" s="27">
        <f>IF(OR(B408="",J408=""),"",J408+IFERROR(IF(VLOOKUP(C408,Revendeurs!$A:$G,7,FALSE)="",Paramètres!$B$9,VLOOKUP(C408,Revendeurs!$A:$G,7,FALSE)),Paramètres!$B$9))</f>
        <v/>
      </c>
      <c r="N408" s="22" t="n"/>
      <c r="O408" s="23">
        <f>IF(H408="","",H408-N408)</f>
        <v/>
      </c>
      <c r="P408" s="25">
        <f>IF(OR(M408="",O408=""),"",IF(O408&lt;=0,0,MAX(0,Paramètres!$B$4-M408)))</f>
        <v/>
      </c>
      <c r="Q408" s="25">
        <f>IF(H408="","",IF(O408&lt;=0,"Payée",IF(M408="","Pas encore livrée",IF(P408=0,"Non échue",IF(P408&gt;=Paramètres!$B$7,"Relance 3 : appel direction",IF(P408&gt;=Paramètres!$B$6,"Relance 2",IF(P408&gt;=Paramètres!$B$5,"Relance 1","Échue, relance à venir")))))))</f>
        <v/>
      </c>
      <c r="R408" s="25">
        <f>IF(B408="","",IF(U408=Paramètres!$B$4,"Relancé aujourd'hui",TRIM(IF(LEFT(Q408,7)="Relance",Q408&amp;" ","")&amp;IF(K408="En retard","· Prévenir du retard de livraison",""))))</f>
        <v/>
      </c>
      <c r="S408" s="28">
        <f>IF(B408="","",IF(LEFT(Q408,9)="Relance 3","Bonjour "&amp;D408&amp;", nous revenons vers vous au sujet de la commande "&amp;A408&amp;" du "&amp;TEXT(B408,"dd/mm/yyyy")&amp;" : "&amp;SUBSTITUTE(TEXT(O408,"#,##0"),","," ")&amp;" FCFA restent à régler depuis le "&amp;TEXT(M408,"dd/mm/yyyy")&amp;". Notre responsable souhaite vous appeler pour convenir ensemble d'une solution. Quel moment vous arrange cette semaine ? "&amp;Paramètres!$B$11&amp;", "&amp;Paramètres!$B$12,IF(LEFT(Q408,7)="Relance","Bonjour "&amp;D408&amp;", sauf erreur de notre part, la commande "&amp;A408&amp;" du "&amp;TEXT(B408,"dd/mm/yyyy")&amp;" ("&amp;E408&amp;") présente un reste à payer de "&amp;SUBSTITUTE(TEXT(O408,"#,##0"),","," ")&amp;" FCFA, échu depuis le "&amp;TEXT(M408,"dd/mm/yyyy")&amp;". Pouvez-vous nous indiquer la date de règlement prévue ? Si le paiement est déjà parti, merci de nous envoyer la preuve et ne tenez pas compte de ce message. "&amp;Paramètres!$B$11&amp;", "&amp;Paramètres!$B$12,IF(K408="En retard","Bonjour "&amp;D408&amp;", votre commande "&amp;A408&amp;" ("&amp;E408&amp;", "&amp;F408&amp;" pièces) prévue le "&amp;TEXT(I408,"dd/mm/yyyy")&amp;" a pris du retard. Nous vous confirmons la nouvelle date de livraison dans la journée. Toutes nos excuses pour ce contretemps. "&amp;Paramètres!$B$11&amp;", "&amp;Paramètres!$B$12,""))))</f>
        <v/>
      </c>
      <c r="T408" s="21" t="n"/>
      <c r="U408" s="26" t="n"/>
      <c r="V408" s="21" t="n"/>
    </row>
    <row r="409">
      <c r="A409" s="21" t="n"/>
      <c r="B409" s="26" t="n"/>
      <c r="C409" s="21" t="n"/>
      <c r="D409" s="25">
        <f>IF(C409="","",IFERROR(VLOOKUP(C409,Revendeurs!$A:$B,2,FALSE),"Code inconnu"))</f>
        <v/>
      </c>
      <c r="E409" s="21" t="n"/>
      <c r="F409" s="21" t="n"/>
      <c r="G409" s="22" t="n"/>
      <c r="H409" s="23">
        <f>IF(OR(F409="",G409=""),"",F409*G409)</f>
        <v/>
      </c>
      <c r="I409" s="26" t="n"/>
      <c r="J409" s="26" t="n"/>
      <c r="K409" s="25">
        <f>IF(B409="","",IF(J409&lt;&gt;"","Livrée",IF(I409="","À planifier",IF(Paramètres!$B$4&gt;I409+Paramètres!$B$8,"En retard","En cours"))))</f>
        <v/>
      </c>
      <c r="L409" s="25">
        <f>IF(K409="En retard",Paramètres!$B$4-I409,"")</f>
        <v/>
      </c>
      <c r="M409" s="27">
        <f>IF(OR(B409="",J409=""),"",J409+IFERROR(IF(VLOOKUP(C409,Revendeurs!$A:$G,7,FALSE)="",Paramètres!$B$9,VLOOKUP(C409,Revendeurs!$A:$G,7,FALSE)),Paramètres!$B$9))</f>
        <v/>
      </c>
      <c r="N409" s="22" t="n"/>
      <c r="O409" s="23">
        <f>IF(H409="","",H409-N409)</f>
        <v/>
      </c>
      <c r="P409" s="25">
        <f>IF(OR(M409="",O409=""),"",IF(O409&lt;=0,0,MAX(0,Paramètres!$B$4-M409)))</f>
        <v/>
      </c>
      <c r="Q409" s="25">
        <f>IF(H409="","",IF(O409&lt;=0,"Payée",IF(M409="","Pas encore livrée",IF(P409=0,"Non échue",IF(P409&gt;=Paramètres!$B$7,"Relance 3 : appel direction",IF(P409&gt;=Paramètres!$B$6,"Relance 2",IF(P409&gt;=Paramètres!$B$5,"Relance 1","Échue, relance à venir")))))))</f>
        <v/>
      </c>
      <c r="R409" s="25">
        <f>IF(B409="","",IF(U409=Paramètres!$B$4,"Relancé aujourd'hui",TRIM(IF(LEFT(Q409,7)="Relance",Q409&amp;" ","")&amp;IF(K409="En retard","· Prévenir du retard de livraison",""))))</f>
        <v/>
      </c>
      <c r="S409" s="28">
        <f>IF(B409="","",IF(LEFT(Q409,9)="Relance 3","Bonjour "&amp;D409&amp;", nous revenons vers vous au sujet de la commande "&amp;A409&amp;" du "&amp;TEXT(B409,"dd/mm/yyyy")&amp;" : "&amp;SUBSTITUTE(TEXT(O409,"#,##0"),","," ")&amp;" FCFA restent à régler depuis le "&amp;TEXT(M409,"dd/mm/yyyy")&amp;". Notre responsable souhaite vous appeler pour convenir ensemble d'une solution. Quel moment vous arrange cette semaine ? "&amp;Paramètres!$B$11&amp;", "&amp;Paramètres!$B$12,IF(LEFT(Q409,7)="Relance","Bonjour "&amp;D409&amp;", sauf erreur de notre part, la commande "&amp;A409&amp;" du "&amp;TEXT(B409,"dd/mm/yyyy")&amp;" ("&amp;E409&amp;") présente un reste à payer de "&amp;SUBSTITUTE(TEXT(O409,"#,##0"),","," ")&amp;" FCFA, échu depuis le "&amp;TEXT(M409,"dd/mm/yyyy")&amp;". Pouvez-vous nous indiquer la date de règlement prévue ? Si le paiement est déjà parti, merci de nous envoyer la preuve et ne tenez pas compte de ce message. "&amp;Paramètres!$B$11&amp;", "&amp;Paramètres!$B$12,IF(K409="En retard","Bonjour "&amp;D409&amp;", votre commande "&amp;A409&amp;" ("&amp;E409&amp;", "&amp;F409&amp;" pièces) prévue le "&amp;TEXT(I409,"dd/mm/yyyy")&amp;" a pris du retard. Nous vous confirmons la nouvelle date de livraison dans la journée. Toutes nos excuses pour ce contretemps. "&amp;Paramètres!$B$11&amp;", "&amp;Paramètres!$B$12,""))))</f>
        <v/>
      </c>
      <c r="T409" s="21" t="n"/>
      <c r="U409" s="26" t="n"/>
      <c r="V409" s="21" t="n"/>
    </row>
    <row r="410">
      <c r="A410" s="21" t="n"/>
      <c r="B410" s="26" t="n"/>
      <c r="C410" s="21" t="n"/>
      <c r="D410" s="25">
        <f>IF(C410="","",IFERROR(VLOOKUP(C410,Revendeurs!$A:$B,2,FALSE),"Code inconnu"))</f>
        <v/>
      </c>
      <c r="E410" s="21" t="n"/>
      <c r="F410" s="21" t="n"/>
      <c r="G410" s="22" t="n"/>
      <c r="H410" s="23">
        <f>IF(OR(F410="",G410=""),"",F410*G410)</f>
        <v/>
      </c>
      <c r="I410" s="26" t="n"/>
      <c r="J410" s="26" t="n"/>
      <c r="K410" s="25">
        <f>IF(B410="","",IF(J410&lt;&gt;"","Livrée",IF(I410="","À planifier",IF(Paramètres!$B$4&gt;I410+Paramètres!$B$8,"En retard","En cours"))))</f>
        <v/>
      </c>
      <c r="L410" s="25">
        <f>IF(K410="En retard",Paramètres!$B$4-I410,"")</f>
        <v/>
      </c>
      <c r="M410" s="27">
        <f>IF(OR(B410="",J410=""),"",J410+IFERROR(IF(VLOOKUP(C410,Revendeurs!$A:$G,7,FALSE)="",Paramètres!$B$9,VLOOKUP(C410,Revendeurs!$A:$G,7,FALSE)),Paramètres!$B$9))</f>
        <v/>
      </c>
      <c r="N410" s="22" t="n"/>
      <c r="O410" s="23">
        <f>IF(H410="","",H410-N410)</f>
        <v/>
      </c>
      <c r="P410" s="25">
        <f>IF(OR(M410="",O410=""),"",IF(O410&lt;=0,0,MAX(0,Paramètres!$B$4-M410)))</f>
        <v/>
      </c>
      <c r="Q410" s="25">
        <f>IF(H410="","",IF(O410&lt;=0,"Payée",IF(M410="","Pas encore livrée",IF(P410=0,"Non échue",IF(P410&gt;=Paramètres!$B$7,"Relance 3 : appel direction",IF(P410&gt;=Paramètres!$B$6,"Relance 2",IF(P410&gt;=Paramètres!$B$5,"Relance 1","Échue, relance à venir")))))))</f>
        <v/>
      </c>
      <c r="R410" s="25">
        <f>IF(B410="","",IF(U410=Paramètres!$B$4,"Relancé aujourd'hui",TRIM(IF(LEFT(Q410,7)="Relance",Q410&amp;" ","")&amp;IF(K410="En retard","· Prévenir du retard de livraison",""))))</f>
        <v/>
      </c>
      <c r="S410" s="28">
        <f>IF(B410="","",IF(LEFT(Q410,9)="Relance 3","Bonjour "&amp;D410&amp;", nous revenons vers vous au sujet de la commande "&amp;A410&amp;" du "&amp;TEXT(B410,"dd/mm/yyyy")&amp;" : "&amp;SUBSTITUTE(TEXT(O410,"#,##0"),","," ")&amp;" FCFA restent à régler depuis le "&amp;TEXT(M410,"dd/mm/yyyy")&amp;". Notre responsable souhaite vous appeler pour convenir ensemble d'une solution. Quel moment vous arrange cette semaine ? "&amp;Paramètres!$B$11&amp;", "&amp;Paramètres!$B$12,IF(LEFT(Q410,7)="Relance","Bonjour "&amp;D410&amp;", sauf erreur de notre part, la commande "&amp;A410&amp;" du "&amp;TEXT(B410,"dd/mm/yyyy")&amp;" ("&amp;E410&amp;") présente un reste à payer de "&amp;SUBSTITUTE(TEXT(O410,"#,##0"),","," ")&amp;" FCFA, échu depuis le "&amp;TEXT(M410,"dd/mm/yyyy")&amp;". Pouvez-vous nous indiquer la date de règlement prévue ? Si le paiement est déjà parti, merci de nous envoyer la preuve et ne tenez pas compte de ce message. "&amp;Paramètres!$B$11&amp;", "&amp;Paramètres!$B$12,IF(K410="En retard","Bonjour "&amp;D410&amp;", votre commande "&amp;A410&amp;" ("&amp;E410&amp;", "&amp;F410&amp;" pièces) prévue le "&amp;TEXT(I410,"dd/mm/yyyy")&amp;" a pris du retard. Nous vous confirmons la nouvelle date de livraison dans la journée. Toutes nos excuses pour ce contretemps. "&amp;Paramètres!$B$11&amp;", "&amp;Paramètres!$B$12,""))))</f>
        <v/>
      </c>
      <c r="T410" s="21" t="n"/>
      <c r="U410" s="26" t="n"/>
      <c r="V410" s="21" t="n"/>
    </row>
    <row r="411">
      <c r="A411" s="21" t="n"/>
      <c r="B411" s="26" t="n"/>
      <c r="C411" s="21" t="n"/>
      <c r="D411" s="25">
        <f>IF(C411="","",IFERROR(VLOOKUP(C411,Revendeurs!$A:$B,2,FALSE),"Code inconnu"))</f>
        <v/>
      </c>
      <c r="E411" s="21" t="n"/>
      <c r="F411" s="21" t="n"/>
      <c r="G411" s="22" t="n"/>
      <c r="H411" s="23">
        <f>IF(OR(F411="",G411=""),"",F411*G411)</f>
        <v/>
      </c>
      <c r="I411" s="26" t="n"/>
      <c r="J411" s="26" t="n"/>
      <c r="K411" s="25">
        <f>IF(B411="","",IF(J411&lt;&gt;"","Livrée",IF(I411="","À planifier",IF(Paramètres!$B$4&gt;I411+Paramètres!$B$8,"En retard","En cours"))))</f>
        <v/>
      </c>
      <c r="L411" s="25">
        <f>IF(K411="En retard",Paramètres!$B$4-I411,"")</f>
        <v/>
      </c>
      <c r="M411" s="27">
        <f>IF(OR(B411="",J411=""),"",J411+IFERROR(IF(VLOOKUP(C411,Revendeurs!$A:$G,7,FALSE)="",Paramètres!$B$9,VLOOKUP(C411,Revendeurs!$A:$G,7,FALSE)),Paramètres!$B$9))</f>
        <v/>
      </c>
      <c r="N411" s="22" t="n"/>
      <c r="O411" s="23">
        <f>IF(H411="","",H411-N411)</f>
        <v/>
      </c>
      <c r="P411" s="25">
        <f>IF(OR(M411="",O411=""),"",IF(O411&lt;=0,0,MAX(0,Paramètres!$B$4-M411)))</f>
        <v/>
      </c>
      <c r="Q411" s="25">
        <f>IF(H411="","",IF(O411&lt;=0,"Payée",IF(M411="","Pas encore livrée",IF(P411=0,"Non échue",IF(P411&gt;=Paramètres!$B$7,"Relance 3 : appel direction",IF(P411&gt;=Paramètres!$B$6,"Relance 2",IF(P411&gt;=Paramètres!$B$5,"Relance 1","Échue, relance à venir")))))))</f>
        <v/>
      </c>
      <c r="R411" s="25">
        <f>IF(B411="","",IF(U411=Paramètres!$B$4,"Relancé aujourd'hui",TRIM(IF(LEFT(Q411,7)="Relance",Q411&amp;" ","")&amp;IF(K411="En retard","· Prévenir du retard de livraison",""))))</f>
        <v/>
      </c>
      <c r="S411" s="28">
        <f>IF(B411="","",IF(LEFT(Q411,9)="Relance 3","Bonjour "&amp;D411&amp;", nous revenons vers vous au sujet de la commande "&amp;A411&amp;" du "&amp;TEXT(B411,"dd/mm/yyyy")&amp;" : "&amp;SUBSTITUTE(TEXT(O411,"#,##0"),","," ")&amp;" FCFA restent à régler depuis le "&amp;TEXT(M411,"dd/mm/yyyy")&amp;". Notre responsable souhaite vous appeler pour convenir ensemble d'une solution. Quel moment vous arrange cette semaine ? "&amp;Paramètres!$B$11&amp;", "&amp;Paramètres!$B$12,IF(LEFT(Q411,7)="Relance","Bonjour "&amp;D411&amp;", sauf erreur de notre part, la commande "&amp;A411&amp;" du "&amp;TEXT(B411,"dd/mm/yyyy")&amp;" ("&amp;E411&amp;") présente un reste à payer de "&amp;SUBSTITUTE(TEXT(O411,"#,##0"),","," ")&amp;" FCFA, échu depuis le "&amp;TEXT(M411,"dd/mm/yyyy")&amp;". Pouvez-vous nous indiquer la date de règlement prévue ? Si le paiement est déjà parti, merci de nous envoyer la preuve et ne tenez pas compte de ce message. "&amp;Paramètres!$B$11&amp;", "&amp;Paramètres!$B$12,IF(K411="En retard","Bonjour "&amp;D411&amp;", votre commande "&amp;A411&amp;" ("&amp;E411&amp;", "&amp;F411&amp;" pièces) prévue le "&amp;TEXT(I411,"dd/mm/yyyy")&amp;" a pris du retard. Nous vous confirmons la nouvelle date de livraison dans la journée. Toutes nos excuses pour ce contretemps. "&amp;Paramètres!$B$11&amp;", "&amp;Paramètres!$B$12,""))))</f>
        <v/>
      </c>
      <c r="T411" s="21" t="n"/>
      <c r="U411" s="26" t="n"/>
      <c r="V411" s="21" t="n"/>
    </row>
    <row r="412">
      <c r="A412" s="21" t="n"/>
      <c r="B412" s="26" t="n"/>
      <c r="C412" s="21" t="n"/>
      <c r="D412" s="25">
        <f>IF(C412="","",IFERROR(VLOOKUP(C412,Revendeurs!$A:$B,2,FALSE),"Code inconnu"))</f>
        <v/>
      </c>
      <c r="E412" s="21" t="n"/>
      <c r="F412" s="21" t="n"/>
      <c r="G412" s="22" t="n"/>
      <c r="H412" s="23">
        <f>IF(OR(F412="",G412=""),"",F412*G412)</f>
        <v/>
      </c>
      <c r="I412" s="26" t="n"/>
      <c r="J412" s="26" t="n"/>
      <c r="K412" s="25">
        <f>IF(B412="","",IF(J412&lt;&gt;"","Livrée",IF(I412="","À planifier",IF(Paramètres!$B$4&gt;I412+Paramètres!$B$8,"En retard","En cours"))))</f>
        <v/>
      </c>
      <c r="L412" s="25">
        <f>IF(K412="En retard",Paramètres!$B$4-I412,"")</f>
        <v/>
      </c>
      <c r="M412" s="27">
        <f>IF(OR(B412="",J412=""),"",J412+IFERROR(IF(VLOOKUP(C412,Revendeurs!$A:$G,7,FALSE)="",Paramètres!$B$9,VLOOKUP(C412,Revendeurs!$A:$G,7,FALSE)),Paramètres!$B$9))</f>
        <v/>
      </c>
      <c r="N412" s="22" t="n"/>
      <c r="O412" s="23">
        <f>IF(H412="","",H412-N412)</f>
        <v/>
      </c>
      <c r="P412" s="25">
        <f>IF(OR(M412="",O412=""),"",IF(O412&lt;=0,0,MAX(0,Paramètres!$B$4-M412)))</f>
        <v/>
      </c>
      <c r="Q412" s="25">
        <f>IF(H412="","",IF(O412&lt;=0,"Payée",IF(M412="","Pas encore livrée",IF(P412=0,"Non échue",IF(P412&gt;=Paramètres!$B$7,"Relance 3 : appel direction",IF(P412&gt;=Paramètres!$B$6,"Relance 2",IF(P412&gt;=Paramètres!$B$5,"Relance 1","Échue, relance à venir")))))))</f>
        <v/>
      </c>
      <c r="R412" s="25">
        <f>IF(B412="","",IF(U412=Paramètres!$B$4,"Relancé aujourd'hui",TRIM(IF(LEFT(Q412,7)="Relance",Q412&amp;" ","")&amp;IF(K412="En retard","· Prévenir du retard de livraison",""))))</f>
        <v/>
      </c>
      <c r="S412" s="28">
        <f>IF(B412="","",IF(LEFT(Q412,9)="Relance 3","Bonjour "&amp;D412&amp;", nous revenons vers vous au sujet de la commande "&amp;A412&amp;" du "&amp;TEXT(B412,"dd/mm/yyyy")&amp;" : "&amp;SUBSTITUTE(TEXT(O412,"#,##0"),","," ")&amp;" FCFA restent à régler depuis le "&amp;TEXT(M412,"dd/mm/yyyy")&amp;". Notre responsable souhaite vous appeler pour convenir ensemble d'une solution. Quel moment vous arrange cette semaine ? "&amp;Paramètres!$B$11&amp;", "&amp;Paramètres!$B$12,IF(LEFT(Q412,7)="Relance","Bonjour "&amp;D412&amp;", sauf erreur de notre part, la commande "&amp;A412&amp;" du "&amp;TEXT(B412,"dd/mm/yyyy")&amp;" ("&amp;E412&amp;") présente un reste à payer de "&amp;SUBSTITUTE(TEXT(O412,"#,##0"),","," ")&amp;" FCFA, échu depuis le "&amp;TEXT(M412,"dd/mm/yyyy")&amp;". Pouvez-vous nous indiquer la date de règlement prévue ? Si le paiement est déjà parti, merci de nous envoyer la preuve et ne tenez pas compte de ce message. "&amp;Paramètres!$B$11&amp;", "&amp;Paramètres!$B$12,IF(K412="En retard","Bonjour "&amp;D412&amp;", votre commande "&amp;A412&amp;" ("&amp;E412&amp;", "&amp;F412&amp;" pièces) prévue le "&amp;TEXT(I412,"dd/mm/yyyy")&amp;" a pris du retard. Nous vous confirmons la nouvelle date de livraison dans la journée. Toutes nos excuses pour ce contretemps. "&amp;Paramètres!$B$11&amp;", "&amp;Paramètres!$B$12,""))))</f>
        <v/>
      </c>
      <c r="T412" s="21" t="n"/>
      <c r="U412" s="26" t="n"/>
      <c r="V412" s="21" t="n"/>
    </row>
    <row r="413">
      <c r="A413" s="21" t="n"/>
      <c r="B413" s="26" t="n"/>
      <c r="C413" s="21" t="n"/>
      <c r="D413" s="25">
        <f>IF(C413="","",IFERROR(VLOOKUP(C413,Revendeurs!$A:$B,2,FALSE),"Code inconnu"))</f>
        <v/>
      </c>
      <c r="E413" s="21" t="n"/>
      <c r="F413" s="21" t="n"/>
      <c r="G413" s="22" t="n"/>
      <c r="H413" s="23">
        <f>IF(OR(F413="",G413=""),"",F413*G413)</f>
        <v/>
      </c>
      <c r="I413" s="26" t="n"/>
      <c r="J413" s="26" t="n"/>
      <c r="K413" s="25">
        <f>IF(B413="","",IF(J413&lt;&gt;"","Livrée",IF(I413="","À planifier",IF(Paramètres!$B$4&gt;I413+Paramètres!$B$8,"En retard","En cours"))))</f>
        <v/>
      </c>
      <c r="L413" s="25">
        <f>IF(K413="En retard",Paramètres!$B$4-I413,"")</f>
        <v/>
      </c>
      <c r="M413" s="27">
        <f>IF(OR(B413="",J413=""),"",J413+IFERROR(IF(VLOOKUP(C413,Revendeurs!$A:$G,7,FALSE)="",Paramètres!$B$9,VLOOKUP(C413,Revendeurs!$A:$G,7,FALSE)),Paramètres!$B$9))</f>
        <v/>
      </c>
      <c r="N413" s="22" t="n"/>
      <c r="O413" s="23">
        <f>IF(H413="","",H413-N413)</f>
        <v/>
      </c>
      <c r="P413" s="25">
        <f>IF(OR(M413="",O413=""),"",IF(O413&lt;=0,0,MAX(0,Paramètres!$B$4-M413)))</f>
        <v/>
      </c>
      <c r="Q413" s="25">
        <f>IF(H413="","",IF(O413&lt;=0,"Payée",IF(M413="","Pas encore livrée",IF(P413=0,"Non échue",IF(P413&gt;=Paramètres!$B$7,"Relance 3 : appel direction",IF(P413&gt;=Paramètres!$B$6,"Relance 2",IF(P413&gt;=Paramètres!$B$5,"Relance 1","Échue, relance à venir")))))))</f>
        <v/>
      </c>
      <c r="R413" s="25">
        <f>IF(B413="","",IF(U413=Paramètres!$B$4,"Relancé aujourd'hui",TRIM(IF(LEFT(Q413,7)="Relance",Q413&amp;" ","")&amp;IF(K413="En retard","· Prévenir du retard de livraison",""))))</f>
        <v/>
      </c>
      <c r="S413" s="28">
        <f>IF(B413="","",IF(LEFT(Q413,9)="Relance 3","Bonjour "&amp;D413&amp;", nous revenons vers vous au sujet de la commande "&amp;A413&amp;" du "&amp;TEXT(B413,"dd/mm/yyyy")&amp;" : "&amp;SUBSTITUTE(TEXT(O413,"#,##0"),","," ")&amp;" FCFA restent à régler depuis le "&amp;TEXT(M413,"dd/mm/yyyy")&amp;". Notre responsable souhaite vous appeler pour convenir ensemble d'une solution. Quel moment vous arrange cette semaine ? "&amp;Paramètres!$B$11&amp;", "&amp;Paramètres!$B$12,IF(LEFT(Q413,7)="Relance","Bonjour "&amp;D413&amp;", sauf erreur de notre part, la commande "&amp;A413&amp;" du "&amp;TEXT(B413,"dd/mm/yyyy")&amp;" ("&amp;E413&amp;") présente un reste à payer de "&amp;SUBSTITUTE(TEXT(O413,"#,##0"),","," ")&amp;" FCFA, échu depuis le "&amp;TEXT(M413,"dd/mm/yyyy")&amp;". Pouvez-vous nous indiquer la date de règlement prévue ? Si le paiement est déjà parti, merci de nous envoyer la preuve et ne tenez pas compte de ce message. "&amp;Paramètres!$B$11&amp;", "&amp;Paramètres!$B$12,IF(K413="En retard","Bonjour "&amp;D413&amp;", votre commande "&amp;A413&amp;" ("&amp;E413&amp;", "&amp;F413&amp;" pièces) prévue le "&amp;TEXT(I413,"dd/mm/yyyy")&amp;" a pris du retard. Nous vous confirmons la nouvelle date de livraison dans la journée. Toutes nos excuses pour ce contretemps. "&amp;Paramètres!$B$11&amp;", "&amp;Paramètres!$B$12,""))))</f>
        <v/>
      </c>
      <c r="T413" s="21" t="n"/>
      <c r="U413" s="26" t="n"/>
      <c r="V413" s="21" t="n"/>
    </row>
    <row r="414">
      <c r="A414" s="21" t="n"/>
      <c r="B414" s="26" t="n"/>
      <c r="C414" s="21" t="n"/>
      <c r="D414" s="25">
        <f>IF(C414="","",IFERROR(VLOOKUP(C414,Revendeurs!$A:$B,2,FALSE),"Code inconnu"))</f>
        <v/>
      </c>
      <c r="E414" s="21" t="n"/>
      <c r="F414" s="21" t="n"/>
      <c r="G414" s="22" t="n"/>
      <c r="H414" s="23">
        <f>IF(OR(F414="",G414=""),"",F414*G414)</f>
        <v/>
      </c>
      <c r="I414" s="26" t="n"/>
      <c r="J414" s="26" t="n"/>
      <c r="K414" s="25">
        <f>IF(B414="","",IF(J414&lt;&gt;"","Livrée",IF(I414="","À planifier",IF(Paramètres!$B$4&gt;I414+Paramètres!$B$8,"En retard","En cours"))))</f>
        <v/>
      </c>
      <c r="L414" s="25">
        <f>IF(K414="En retard",Paramètres!$B$4-I414,"")</f>
        <v/>
      </c>
      <c r="M414" s="27">
        <f>IF(OR(B414="",J414=""),"",J414+IFERROR(IF(VLOOKUP(C414,Revendeurs!$A:$G,7,FALSE)="",Paramètres!$B$9,VLOOKUP(C414,Revendeurs!$A:$G,7,FALSE)),Paramètres!$B$9))</f>
        <v/>
      </c>
      <c r="N414" s="22" t="n"/>
      <c r="O414" s="23">
        <f>IF(H414="","",H414-N414)</f>
        <v/>
      </c>
      <c r="P414" s="25">
        <f>IF(OR(M414="",O414=""),"",IF(O414&lt;=0,0,MAX(0,Paramètres!$B$4-M414)))</f>
        <v/>
      </c>
      <c r="Q414" s="25">
        <f>IF(H414="","",IF(O414&lt;=0,"Payée",IF(M414="","Pas encore livrée",IF(P414=0,"Non échue",IF(P414&gt;=Paramètres!$B$7,"Relance 3 : appel direction",IF(P414&gt;=Paramètres!$B$6,"Relance 2",IF(P414&gt;=Paramètres!$B$5,"Relance 1","Échue, relance à venir")))))))</f>
        <v/>
      </c>
      <c r="R414" s="25">
        <f>IF(B414="","",IF(U414=Paramètres!$B$4,"Relancé aujourd'hui",TRIM(IF(LEFT(Q414,7)="Relance",Q414&amp;" ","")&amp;IF(K414="En retard","· Prévenir du retard de livraison",""))))</f>
        <v/>
      </c>
      <c r="S414" s="28">
        <f>IF(B414="","",IF(LEFT(Q414,9)="Relance 3","Bonjour "&amp;D414&amp;", nous revenons vers vous au sujet de la commande "&amp;A414&amp;" du "&amp;TEXT(B414,"dd/mm/yyyy")&amp;" : "&amp;SUBSTITUTE(TEXT(O414,"#,##0"),","," ")&amp;" FCFA restent à régler depuis le "&amp;TEXT(M414,"dd/mm/yyyy")&amp;". Notre responsable souhaite vous appeler pour convenir ensemble d'une solution. Quel moment vous arrange cette semaine ? "&amp;Paramètres!$B$11&amp;", "&amp;Paramètres!$B$12,IF(LEFT(Q414,7)="Relance","Bonjour "&amp;D414&amp;", sauf erreur de notre part, la commande "&amp;A414&amp;" du "&amp;TEXT(B414,"dd/mm/yyyy")&amp;" ("&amp;E414&amp;") présente un reste à payer de "&amp;SUBSTITUTE(TEXT(O414,"#,##0"),","," ")&amp;" FCFA, échu depuis le "&amp;TEXT(M414,"dd/mm/yyyy")&amp;". Pouvez-vous nous indiquer la date de règlement prévue ? Si le paiement est déjà parti, merci de nous envoyer la preuve et ne tenez pas compte de ce message. "&amp;Paramètres!$B$11&amp;", "&amp;Paramètres!$B$12,IF(K414="En retard","Bonjour "&amp;D414&amp;", votre commande "&amp;A414&amp;" ("&amp;E414&amp;", "&amp;F414&amp;" pièces) prévue le "&amp;TEXT(I414,"dd/mm/yyyy")&amp;" a pris du retard. Nous vous confirmons la nouvelle date de livraison dans la journée. Toutes nos excuses pour ce contretemps. "&amp;Paramètres!$B$11&amp;", "&amp;Paramètres!$B$12,""))))</f>
        <v/>
      </c>
      <c r="T414" s="21" t="n"/>
      <c r="U414" s="26" t="n"/>
      <c r="V414" s="21" t="n"/>
    </row>
    <row r="415">
      <c r="A415" s="21" t="n"/>
      <c r="B415" s="26" t="n"/>
      <c r="C415" s="21" t="n"/>
      <c r="D415" s="25">
        <f>IF(C415="","",IFERROR(VLOOKUP(C415,Revendeurs!$A:$B,2,FALSE),"Code inconnu"))</f>
        <v/>
      </c>
      <c r="E415" s="21" t="n"/>
      <c r="F415" s="21" t="n"/>
      <c r="G415" s="22" t="n"/>
      <c r="H415" s="23">
        <f>IF(OR(F415="",G415=""),"",F415*G415)</f>
        <v/>
      </c>
      <c r="I415" s="26" t="n"/>
      <c r="J415" s="26" t="n"/>
      <c r="K415" s="25">
        <f>IF(B415="","",IF(J415&lt;&gt;"","Livrée",IF(I415="","À planifier",IF(Paramètres!$B$4&gt;I415+Paramètres!$B$8,"En retard","En cours"))))</f>
        <v/>
      </c>
      <c r="L415" s="25">
        <f>IF(K415="En retard",Paramètres!$B$4-I415,"")</f>
        <v/>
      </c>
      <c r="M415" s="27">
        <f>IF(OR(B415="",J415=""),"",J415+IFERROR(IF(VLOOKUP(C415,Revendeurs!$A:$G,7,FALSE)="",Paramètres!$B$9,VLOOKUP(C415,Revendeurs!$A:$G,7,FALSE)),Paramètres!$B$9))</f>
        <v/>
      </c>
      <c r="N415" s="22" t="n"/>
      <c r="O415" s="23">
        <f>IF(H415="","",H415-N415)</f>
        <v/>
      </c>
      <c r="P415" s="25">
        <f>IF(OR(M415="",O415=""),"",IF(O415&lt;=0,0,MAX(0,Paramètres!$B$4-M415)))</f>
        <v/>
      </c>
      <c r="Q415" s="25">
        <f>IF(H415="","",IF(O415&lt;=0,"Payée",IF(M415="","Pas encore livrée",IF(P415=0,"Non échue",IF(P415&gt;=Paramètres!$B$7,"Relance 3 : appel direction",IF(P415&gt;=Paramètres!$B$6,"Relance 2",IF(P415&gt;=Paramètres!$B$5,"Relance 1","Échue, relance à venir")))))))</f>
        <v/>
      </c>
      <c r="R415" s="25">
        <f>IF(B415="","",IF(U415=Paramètres!$B$4,"Relancé aujourd'hui",TRIM(IF(LEFT(Q415,7)="Relance",Q415&amp;" ","")&amp;IF(K415="En retard","· Prévenir du retard de livraison",""))))</f>
        <v/>
      </c>
      <c r="S415" s="28">
        <f>IF(B415="","",IF(LEFT(Q415,9)="Relance 3","Bonjour "&amp;D415&amp;", nous revenons vers vous au sujet de la commande "&amp;A415&amp;" du "&amp;TEXT(B415,"dd/mm/yyyy")&amp;" : "&amp;SUBSTITUTE(TEXT(O415,"#,##0"),","," ")&amp;" FCFA restent à régler depuis le "&amp;TEXT(M415,"dd/mm/yyyy")&amp;". Notre responsable souhaite vous appeler pour convenir ensemble d'une solution. Quel moment vous arrange cette semaine ? "&amp;Paramètres!$B$11&amp;", "&amp;Paramètres!$B$12,IF(LEFT(Q415,7)="Relance","Bonjour "&amp;D415&amp;", sauf erreur de notre part, la commande "&amp;A415&amp;" du "&amp;TEXT(B415,"dd/mm/yyyy")&amp;" ("&amp;E415&amp;") présente un reste à payer de "&amp;SUBSTITUTE(TEXT(O415,"#,##0"),","," ")&amp;" FCFA, échu depuis le "&amp;TEXT(M415,"dd/mm/yyyy")&amp;". Pouvez-vous nous indiquer la date de règlement prévue ? Si le paiement est déjà parti, merci de nous envoyer la preuve et ne tenez pas compte de ce message. "&amp;Paramètres!$B$11&amp;", "&amp;Paramètres!$B$12,IF(K415="En retard","Bonjour "&amp;D415&amp;", votre commande "&amp;A415&amp;" ("&amp;E415&amp;", "&amp;F415&amp;" pièces) prévue le "&amp;TEXT(I415,"dd/mm/yyyy")&amp;" a pris du retard. Nous vous confirmons la nouvelle date de livraison dans la journée. Toutes nos excuses pour ce contretemps. "&amp;Paramètres!$B$11&amp;", "&amp;Paramètres!$B$12,""))))</f>
        <v/>
      </c>
      <c r="T415" s="21" t="n"/>
      <c r="U415" s="26" t="n"/>
      <c r="V415" s="21" t="n"/>
    </row>
    <row r="416">
      <c r="A416" s="21" t="n"/>
      <c r="B416" s="26" t="n"/>
      <c r="C416" s="21" t="n"/>
      <c r="D416" s="25">
        <f>IF(C416="","",IFERROR(VLOOKUP(C416,Revendeurs!$A:$B,2,FALSE),"Code inconnu"))</f>
        <v/>
      </c>
      <c r="E416" s="21" t="n"/>
      <c r="F416" s="21" t="n"/>
      <c r="G416" s="22" t="n"/>
      <c r="H416" s="23">
        <f>IF(OR(F416="",G416=""),"",F416*G416)</f>
        <v/>
      </c>
      <c r="I416" s="26" t="n"/>
      <c r="J416" s="26" t="n"/>
      <c r="K416" s="25">
        <f>IF(B416="","",IF(J416&lt;&gt;"","Livrée",IF(I416="","À planifier",IF(Paramètres!$B$4&gt;I416+Paramètres!$B$8,"En retard","En cours"))))</f>
        <v/>
      </c>
      <c r="L416" s="25">
        <f>IF(K416="En retard",Paramètres!$B$4-I416,"")</f>
        <v/>
      </c>
      <c r="M416" s="27">
        <f>IF(OR(B416="",J416=""),"",J416+IFERROR(IF(VLOOKUP(C416,Revendeurs!$A:$G,7,FALSE)="",Paramètres!$B$9,VLOOKUP(C416,Revendeurs!$A:$G,7,FALSE)),Paramètres!$B$9))</f>
        <v/>
      </c>
      <c r="N416" s="22" t="n"/>
      <c r="O416" s="23">
        <f>IF(H416="","",H416-N416)</f>
        <v/>
      </c>
      <c r="P416" s="25">
        <f>IF(OR(M416="",O416=""),"",IF(O416&lt;=0,0,MAX(0,Paramètres!$B$4-M416)))</f>
        <v/>
      </c>
      <c r="Q416" s="25">
        <f>IF(H416="","",IF(O416&lt;=0,"Payée",IF(M416="","Pas encore livrée",IF(P416=0,"Non échue",IF(P416&gt;=Paramètres!$B$7,"Relance 3 : appel direction",IF(P416&gt;=Paramètres!$B$6,"Relance 2",IF(P416&gt;=Paramètres!$B$5,"Relance 1","Échue, relance à venir")))))))</f>
        <v/>
      </c>
      <c r="R416" s="25">
        <f>IF(B416="","",IF(U416=Paramètres!$B$4,"Relancé aujourd'hui",TRIM(IF(LEFT(Q416,7)="Relance",Q416&amp;" ","")&amp;IF(K416="En retard","· Prévenir du retard de livraison",""))))</f>
        <v/>
      </c>
      <c r="S416" s="28">
        <f>IF(B416="","",IF(LEFT(Q416,9)="Relance 3","Bonjour "&amp;D416&amp;", nous revenons vers vous au sujet de la commande "&amp;A416&amp;" du "&amp;TEXT(B416,"dd/mm/yyyy")&amp;" : "&amp;SUBSTITUTE(TEXT(O416,"#,##0"),","," ")&amp;" FCFA restent à régler depuis le "&amp;TEXT(M416,"dd/mm/yyyy")&amp;". Notre responsable souhaite vous appeler pour convenir ensemble d'une solution. Quel moment vous arrange cette semaine ? "&amp;Paramètres!$B$11&amp;", "&amp;Paramètres!$B$12,IF(LEFT(Q416,7)="Relance","Bonjour "&amp;D416&amp;", sauf erreur de notre part, la commande "&amp;A416&amp;" du "&amp;TEXT(B416,"dd/mm/yyyy")&amp;" ("&amp;E416&amp;") présente un reste à payer de "&amp;SUBSTITUTE(TEXT(O416,"#,##0"),","," ")&amp;" FCFA, échu depuis le "&amp;TEXT(M416,"dd/mm/yyyy")&amp;". Pouvez-vous nous indiquer la date de règlement prévue ? Si le paiement est déjà parti, merci de nous envoyer la preuve et ne tenez pas compte de ce message. "&amp;Paramètres!$B$11&amp;", "&amp;Paramètres!$B$12,IF(K416="En retard","Bonjour "&amp;D416&amp;", votre commande "&amp;A416&amp;" ("&amp;E416&amp;", "&amp;F416&amp;" pièces) prévue le "&amp;TEXT(I416,"dd/mm/yyyy")&amp;" a pris du retard. Nous vous confirmons la nouvelle date de livraison dans la journée. Toutes nos excuses pour ce contretemps. "&amp;Paramètres!$B$11&amp;", "&amp;Paramètres!$B$12,""))))</f>
        <v/>
      </c>
      <c r="T416" s="21" t="n"/>
      <c r="U416" s="26" t="n"/>
      <c r="V416" s="21" t="n"/>
    </row>
    <row r="417">
      <c r="A417" s="21" t="n"/>
      <c r="B417" s="26" t="n"/>
      <c r="C417" s="21" t="n"/>
      <c r="D417" s="25">
        <f>IF(C417="","",IFERROR(VLOOKUP(C417,Revendeurs!$A:$B,2,FALSE),"Code inconnu"))</f>
        <v/>
      </c>
      <c r="E417" s="21" t="n"/>
      <c r="F417" s="21" t="n"/>
      <c r="G417" s="22" t="n"/>
      <c r="H417" s="23">
        <f>IF(OR(F417="",G417=""),"",F417*G417)</f>
        <v/>
      </c>
      <c r="I417" s="26" t="n"/>
      <c r="J417" s="26" t="n"/>
      <c r="K417" s="25">
        <f>IF(B417="","",IF(J417&lt;&gt;"","Livrée",IF(I417="","À planifier",IF(Paramètres!$B$4&gt;I417+Paramètres!$B$8,"En retard","En cours"))))</f>
        <v/>
      </c>
      <c r="L417" s="25">
        <f>IF(K417="En retard",Paramètres!$B$4-I417,"")</f>
        <v/>
      </c>
      <c r="M417" s="27">
        <f>IF(OR(B417="",J417=""),"",J417+IFERROR(IF(VLOOKUP(C417,Revendeurs!$A:$G,7,FALSE)="",Paramètres!$B$9,VLOOKUP(C417,Revendeurs!$A:$G,7,FALSE)),Paramètres!$B$9))</f>
        <v/>
      </c>
      <c r="N417" s="22" t="n"/>
      <c r="O417" s="23">
        <f>IF(H417="","",H417-N417)</f>
        <v/>
      </c>
      <c r="P417" s="25">
        <f>IF(OR(M417="",O417=""),"",IF(O417&lt;=0,0,MAX(0,Paramètres!$B$4-M417)))</f>
        <v/>
      </c>
      <c r="Q417" s="25">
        <f>IF(H417="","",IF(O417&lt;=0,"Payée",IF(M417="","Pas encore livrée",IF(P417=0,"Non échue",IF(P417&gt;=Paramètres!$B$7,"Relance 3 : appel direction",IF(P417&gt;=Paramètres!$B$6,"Relance 2",IF(P417&gt;=Paramètres!$B$5,"Relance 1","Échue, relance à venir")))))))</f>
        <v/>
      </c>
      <c r="R417" s="25">
        <f>IF(B417="","",IF(U417=Paramètres!$B$4,"Relancé aujourd'hui",TRIM(IF(LEFT(Q417,7)="Relance",Q417&amp;" ","")&amp;IF(K417="En retard","· Prévenir du retard de livraison",""))))</f>
        <v/>
      </c>
      <c r="S417" s="28">
        <f>IF(B417="","",IF(LEFT(Q417,9)="Relance 3","Bonjour "&amp;D417&amp;", nous revenons vers vous au sujet de la commande "&amp;A417&amp;" du "&amp;TEXT(B417,"dd/mm/yyyy")&amp;" : "&amp;SUBSTITUTE(TEXT(O417,"#,##0"),","," ")&amp;" FCFA restent à régler depuis le "&amp;TEXT(M417,"dd/mm/yyyy")&amp;". Notre responsable souhaite vous appeler pour convenir ensemble d'une solution. Quel moment vous arrange cette semaine ? "&amp;Paramètres!$B$11&amp;", "&amp;Paramètres!$B$12,IF(LEFT(Q417,7)="Relance","Bonjour "&amp;D417&amp;", sauf erreur de notre part, la commande "&amp;A417&amp;" du "&amp;TEXT(B417,"dd/mm/yyyy")&amp;" ("&amp;E417&amp;") présente un reste à payer de "&amp;SUBSTITUTE(TEXT(O417,"#,##0"),","," ")&amp;" FCFA, échu depuis le "&amp;TEXT(M417,"dd/mm/yyyy")&amp;". Pouvez-vous nous indiquer la date de règlement prévue ? Si le paiement est déjà parti, merci de nous envoyer la preuve et ne tenez pas compte de ce message. "&amp;Paramètres!$B$11&amp;", "&amp;Paramètres!$B$12,IF(K417="En retard","Bonjour "&amp;D417&amp;", votre commande "&amp;A417&amp;" ("&amp;E417&amp;", "&amp;F417&amp;" pièces) prévue le "&amp;TEXT(I417,"dd/mm/yyyy")&amp;" a pris du retard. Nous vous confirmons la nouvelle date de livraison dans la journée. Toutes nos excuses pour ce contretemps. "&amp;Paramètres!$B$11&amp;", "&amp;Paramètres!$B$12,""))))</f>
        <v/>
      </c>
      <c r="T417" s="21" t="n"/>
      <c r="U417" s="26" t="n"/>
      <c r="V417" s="21" t="n"/>
    </row>
    <row r="418">
      <c r="A418" s="21" t="n"/>
      <c r="B418" s="26" t="n"/>
      <c r="C418" s="21" t="n"/>
      <c r="D418" s="25">
        <f>IF(C418="","",IFERROR(VLOOKUP(C418,Revendeurs!$A:$B,2,FALSE),"Code inconnu"))</f>
        <v/>
      </c>
      <c r="E418" s="21" t="n"/>
      <c r="F418" s="21" t="n"/>
      <c r="G418" s="22" t="n"/>
      <c r="H418" s="23">
        <f>IF(OR(F418="",G418=""),"",F418*G418)</f>
        <v/>
      </c>
      <c r="I418" s="26" t="n"/>
      <c r="J418" s="26" t="n"/>
      <c r="K418" s="25">
        <f>IF(B418="","",IF(J418&lt;&gt;"","Livrée",IF(I418="","À planifier",IF(Paramètres!$B$4&gt;I418+Paramètres!$B$8,"En retard","En cours"))))</f>
        <v/>
      </c>
      <c r="L418" s="25">
        <f>IF(K418="En retard",Paramètres!$B$4-I418,"")</f>
        <v/>
      </c>
      <c r="M418" s="27">
        <f>IF(OR(B418="",J418=""),"",J418+IFERROR(IF(VLOOKUP(C418,Revendeurs!$A:$G,7,FALSE)="",Paramètres!$B$9,VLOOKUP(C418,Revendeurs!$A:$G,7,FALSE)),Paramètres!$B$9))</f>
        <v/>
      </c>
      <c r="N418" s="22" t="n"/>
      <c r="O418" s="23">
        <f>IF(H418="","",H418-N418)</f>
        <v/>
      </c>
      <c r="P418" s="25">
        <f>IF(OR(M418="",O418=""),"",IF(O418&lt;=0,0,MAX(0,Paramètres!$B$4-M418)))</f>
        <v/>
      </c>
      <c r="Q418" s="25">
        <f>IF(H418="","",IF(O418&lt;=0,"Payée",IF(M418="","Pas encore livrée",IF(P418=0,"Non échue",IF(P418&gt;=Paramètres!$B$7,"Relance 3 : appel direction",IF(P418&gt;=Paramètres!$B$6,"Relance 2",IF(P418&gt;=Paramètres!$B$5,"Relance 1","Échue, relance à venir")))))))</f>
        <v/>
      </c>
      <c r="R418" s="25">
        <f>IF(B418="","",IF(U418=Paramètres!$B$4,"Relancé aujourd'hui",TRIM(IF(LEFT(Q418,7)="Relance",Q418&amp;" ","")&amp;IF(K418="En retard","· Prévenir du retard de livraison",""))))</f>
        <v/>
      </c>
      <c r="S418" s="28">
        <f>IF(B418="","",IF(LEFT(Q418,9)="Relance 3","Bonjour "&amp;D418&amp;", nous revenons vers vous au sujet de la commande "&amp;A418&amp;" du "&amp;TEXT(B418,"dd/mm/yyyy")&amp;" : "&amp;SUBSTITUTE(TEXT(O418,"#,##0"),","," ")&amp;" FCFA restent à régler depuis le "&amp;TEXT(M418,"dd/mm/yyyy")&amp;". Notre responsable souhaite vous appeler pour convenir ensemble d'une solution. Quel moment vous arrange cette semaine ? "&amp;Paramètres!$B$11&amp;", "&amp;Paramètres!$B$12,IF(LEFT(Q418,7)="Relance","Bonjour "&amp;D418&amp;", sauf erreur de notre part, la commande "&amp;A418&amp;" du "&amp;TEXT(B418,"dd/mm/yyyy")&amp;" ("&amp;E418&amp;") présente un reste à payer de "&amp;SUBSTITUTE(TEXT(O418,"#,##0"),","," ")&amp;" FCFA, échu depuis le "&amp;TEXT(M418,"dd/mm/yyyy")&amp;". Pouvez-vous nous indiquer la date de règlement prévue ? Si le paiement est déjà parti, merci de nous envoyer la preuve et ne tenez pas compte de ce message. "&amp;Paramètres!$B$11&amp;", "&amp;Paramètres!$B$12,IF(K418="En retard","Bonjour "&amp;D418&amp;", votre commande "&amp;A418&amp;" ("&amp;E418&amp;", "&amp;F418&amp;" pièces) prévue le "&amp;TEXT(I418,"dd/mm/yyyy")&amp;" a pris du retard. Nous vous confirmons la nouvelle date de livraison dans la journée. Toutes nos excuses pour ce contretemps. "&amp;Paramètres!$B$11&amp;", "&amp;Paramètres!$B$12,""))))</f>
        <v/>
      </c>
      <c r="T418" s="21" t="n"/>
      <c r="U418" s="26" t="n"/>
      <c r="V418" s="21" t="n"/>
    </row>
    <row r="419">
      <c r="A419" s="21" t="n"/>
      <c r="B419" s="26" t="n"/>
      <c r="C419" s="21" t="n"/>
      <c r="D419" s="25">
        <f>IF(C419="","",IFERROR(VLOOKUP(C419,Revendeurs!$A:$B,2,FALSE),"Code inconnu"))</f>
        <v/>
      </c>
      <c r="E419" s="21" t="n"/>
      <c r="F419" s="21" t="n"/>
      <c r="G419" s="22" t="n"/>
      <c r="H419" s="23">
        <f>IF(OR(F419="",G419=""),"",F419*G419)</f>
        <v/>
      </c>
      <c r="I419" s="26" t="n"/>
      <c r="J419" s="26" t="n"/>
      <c r="K419" s="25">
        <f>IF(B419="","",IF(J419&lt;&gt;"","Livrée",IF(I419="","À planifier",IF(Paramètres!$B$4&gt;I419+Paramètres!$B$8,"En retard","En cours"))))</f>
        <v/>
      </c>
      <c r="L419" s="25">
        <f>IF(K419="En retard",Paramètres!$B$4-I419,"")</f>
        <v/>
      </c>
      <c r="M419" s="27">
        <f>IF(OR(B419="",J419=""),"",J419+IFERROR(IF(VLOOKUP(C419,Revendeurs!$A:$G,7,FALSE)="",Paramètres!$B$9,VLOOKUP(C419,Revendeurs!$A:$G,7,FALSE)),Paramètres!$B$9))</f>
        <v/>
      </c>
      <c r="N419" s="22" t="n"/>
      <c r="O419" s="23">
        <f>IF(H419="","",H419-N419)</f>
        <v/>
      </c>
      <c r="P419" s="25">
        <f>IF(OR(M419="",O419=""),"",IF(O419&lt;=0,0,MAX(0,Paramètres!$B$4-M419)))</f>
        <v/>
      </c>
      <c r="Q419" s="25">
        <f>IF(H419="","",IF(O419&lt;=0,"Payée",IF(M419="","Pas encore livrée",IF(P419=0,"Non échue",IF(P419&gt;=Paramètres!$B$7,"Relance 3 : appel direction",IF(P419&gt;=Paramètres!$B$6,"Relance 2",IF(P419&gt;=Paramètres!$B$5,"Relance 1","Échue, relance à venir")))))))</f>
        <v/>
      </c>
      <c r="R419" s="25">
        <f>IF(B419="","",IF(U419=Paramètres!$B$4,"Relancé aujourd'hui",TRIM(IF(LEFT(Q419,7)="Relance",Q419&amp;" ","")&amp;IF(K419="En retard","· Prévenir du retard de livraison",""))))</f>
        <v/>
      </c>
      <c r="S419" s="28">
        <f>IF(B419="","",IF(LEFT(Q419,9)="Relance 3","Bonjour "&amp;D419&amp;", nous revenons vers vous au sujet de la commande "&amp;A419&amp;" du "&amp;TEXT(B419,"dd/mm/yyyy")&amp;" : "&amp;SUBSTITUTE(TEXT(O419,"#,##0"),","," ")&amp;" FCFA restent à régler depuis le "&amp;TEXT(M419,"dd/mm/yyyy")&amp;". Notre responsable souhaite vous appeler pour convenir ensemble d'une solution. Quel moment vous arrange cette semaine ? "&amp;Paramètres!$B$11&amp;", "&amp;Paramètres!$B$12,IF(LEFT(Q419,7)="Relance","Bonjour "&amp;D419&amp;", sauf erreur de notre part, la commande "&amp;A419&amp;" du "&amp;TEXT(B419,"dd/mm/yyyy")&amp;" ("&amp;E419&amp;") présente un reste à payer de "&amp;SUBSTITUTE(TEXT(O419,"#,##0"),","," ")&amp;" FCFA, échu depuis le "&amp;TEXT(M419,"dd/mm/yyyy")&amp;". Pouvez-vous nous indiquer la date de règlement prévue ? Si le paiement est déjà parti, merci de nous envoyer la preuve et ne tenez pas compte de ce message. "&amp;Paramètres!$B$11&amp;", "&amp;Paramètres!$B$12,IF(K419="En retard","Bonjour "&amp;D419&amp;", votre commande "&amp;A419&amp;" ("&amp;E419&amp;", "&amp;F419&amp;" pièces) prévue le "&amp;TEXT(I419,"dd/mm/yyyy")&amp;" a pris du retard. Nous vous confirmons la nouvelle date de livraison dans la journée. Toutes nos excuses pour ce contretemps. "&amp;Paramètres!$B$11&amp;", "&amp;Paramètres!$B$12,""))))</f>
        <v/>
      </c>
      <c r="T419" s="21" t="n"/>
      <c r="U419" s="26" t="n"/>
      <c r="V419" s="21" t="n"/>
    </row>
    <row r="420">
      <c r="A420" s="21" t="n"/>
      <c r="B420" s="26" t="n"/>
      <c r="C420" s="21" t="n"/>
      <c r="D420" s="25">
        <f>IF(C420="","",IFERROR(VLOOKUP(C420,Revendeurs!$A:$B,2,FALSE),"Code inconnu"))</f>
        <v/>
      </c>
      <c r="E420" s="21" t="n"/>
      <c r="F420" s="21" t="n"/>
      <c r="G420" s="22" t="n"/>
      <c r="H420" s="23">
        <f>IF(OR(F420="",G420=""),"",F420*G420)</f>
        <v/>
      </c>
      <c r="I420" s="26" t="n"/>
      <c r="J420" s="26" t="n"/>
      <c r="K420" s="25">
        <f>IF(B420="","",IF(J420&lt;&gt;"","Livrée",IF(I420="","À planifier",IF(Paramètres!$B$4&gt;I420+Paramètres!$B$8,"En retard","En cours"))))</f>
        <v/>
      </c>
      <c r="L420" s="25">
        <f>IF(K420="En retard",Paramètres!$B$4-I420,"")</f>
        <v/>
      </c>
      <c r="M420" s="27">
        <f>IF(OR(B420="",J420=""),"",J420+IFERROR(IF(VLOOKUP(C420,Revendeurs!$A:$G,7,FALSE)="",Paramètres!$B$9,VLOOKUP(C420,Revendeurs!$A:$G,7,FALSE)),Paramètres!$B$9))</f>
        <v/>
      </c>
      <c r="N420" s="22" t="n"/>
      <c r="O420" s="23">
        <f>IF(H420="","",H420-N420)</f>
        <v/>
      </c>
      <c r="P420" s="25">
        <f>IF(OR(M420="",O420=""),"",IF(O420&lt;=0,0,MAX(0,Paramètres!$B$4-M420)))</f>
        <v/>
      </c>
      <c r="Q420" s="25">
        <f>IF(H420="","",IF(O420&lt;=0,"Payée",IF(M420="","Pas encore livrée",IF(P420=0,"Non échue",IF(P420&gt;=Paramètres!$B$7,"Relance 3 : appel direction",IF(P420&gt;=Paramètres!$B$6,"Relance 2",IF(P420&gt;=Paramètres!$B$5,"Relance 1","Échue, relance à venir")))))))</f>
        <v/>
      </c>
      <c r="R420" s="25">
        <f>IF(B420="","",IF(U420=Paramètres!$B$4,"Relancé aujourd'hui",TRIM(IF(LEFT(Q420,7)="Relance",Q420&amp;" ","")&amp;IF(K420="En retard","· Prévenir du retard de livraison",""))))</f>
        <v/>
      </c>
      <c r="S420" s="28">
        <f>IF(B420="","",IF(LEFT(Q420,9)="Relance 3","Bonjour "&amp;D420&amp;", nous revenons vers vous au sujet de la commande "&amp;A420&amp;" du "&amp;TEXT(B420,"dd/mm/yyyy")&amp;" : "&amp;SUBSTITUTE(TEXT(O420,"#,##0"),","," ")&amp;" FCFA restent à régler depuis le "&amp;TEXT(M420,"dd/mm/yyyy")&amp;". Notre responsable souhaite vous appeler pour convenir ensemble d'une solution. Quel moment vous arrange cette semaine ? "&amp;Paramètres!$B$11&amp;", "&amp;Paramètres!$B$12,IF(LEFT(Q420,7)="Relance","Bonjour "&amp;D420&amp;", sauf erreur de notre part, la commande "&amp;A420&amp;" du "&amp;TEXT(B420,"dd/mm/yyyy")&amp;" ("&amp;E420&amp;") présente un reste à payer de "&amp;SUBSTITUTE(TEXT(O420,"#,##0"),","," ")&amp;" FCFA, échu depuis le "&amp;TEXT(M420,"dd/mm/yyyy")&amp;". Pouvez-vous nous indiquer la date de règlement prévue ? Si le paiement est déjà parti, merci de nous envoyer la preuve et ne tenez pas compte de ce message. "&amp;Paramètres!$B$11&amp;", "&amp;Paramètres!$B$12,IF(K420="En retard","Bonjour "&amp;D420&amp;", votre commande "&amp;A420&amp;" ("&amp;E420&amp;", "&amp;F420&amp;" pièces) prévue le "&amp;TEXT(I420,"dd/mm/yyyy")&amp;" a pris du retard. Nous vous confirmons la nouvelle date de livraison dans la journée. Toutes nos excuses pour ce contretemps. "&amp;Paramètres!$B$11&amp;", "&amp;Paramètres!$B$12,""))))</f>
        <v/>
      </c>
      <c r="T420" s="21" t="n"/>
      <c r="U420" s="26" t="n"/>
      <c r="V420" s="21" t="n"/>
    </row>
    <row r="421">
      <c r="A421" s="21" t="n"/>
      <c r="B421" s="26" t="n"/>
      <c r="C421" s="21" t="n"/>
      <c r="D421" s="25">
        <f>IF(C421="","",IFERROR(VLOOKUP(C421,Revendeurs!$A:$B,2,FALSE),"Code inconnu"))</f>
        <v/>
      </c>
      <c r="E421" s="21" t="n"/>
      <c r="F421" s="21" t="n"/>
      <c r="G421" s="22" t="n"/>
      <c r="H421" s="23">
        <f>IF(OR(F421="",G421=""),"",F421*G421)</f>
        <v/>
      </c>
      <c r="I421" s="26" t="n"/>
      <c r="J421" s="26" t="n"/>
      <c r="K421" s="25">
        <f>IF(B421="","",IF(J421&lt;&gt;"","Livrée",IF(I421="","À planifier",IF(Paramètres!$B$4&gt;I421+Paramètres!$B$8,"En retard","En cours"))))</f>
        <v/>
      </c>
      <c r="L421" s="25">
        <f>IF(K421="En retard",Paramètres!$B$4-I421,"")</f>
        <v/>
      </c>
      <c r="M421" s="27">
        <f>IF(OR(B421="",J421=""),"",J421+IFERROR(IF(VLOOKUP(C421,Revendeurs!$A:$G,7,FALSE)="",Paramètres!$B$9,VLOOKUP(C421,Revendeurs!$A:$G,7,FALSE)),Paramètres!$B$9))</f>
        <v/>
      </c>
      <c r="N421" s="22" t="n"/>
      <c r="O421" s="23">
        <f>IF(H421="","",H421-N421)</f>
        <v/>
      </c>
      <c r="P421" s="25">
        <f>IF(OR(M421="",O421=""),"",IF(O421&lt;=0,0,MAX(0,Paramètres!$B$4-M421)))</f>
        <v/>
      </c>
      <c r="Q421" s="25">
        <f>IF(H421="","",IF(O421&lt;=0,"Payée",IF(M421="","Pas encore livrée",IF(P421=0,"Non échue",IF(P421&gt;=Paramètres!$B$7,"Relance 3 : appel direction",IF(P421&gt;=Paramètres!$B$6,"Relance 2",IF(P421&gt;=Paramètres!$B$5,"Relance 1","Échue, relance à venir")))))))</f>
        <v/>
      </c>
      <c r="R421" s="25">
        <f>IF(B421="","",IF(U421=Paramètres!$B$4,"Relancé aujourd'hui",TRIM(IF(LEFT(Q421,7)="Relance",Q421&amp;" ","")&amp;IF(K421="En retard","· Prévenir du retard de livraison",""))))</f>
        <v/>
      </c>
      <c r="S421" s="28">
        <f>IF(B421="","",IF(LEFT(Q421,9)="Relance 3","Bonjour "&amp;D421&amp;", nous revenons vers vous au sujet de la commande "&amp;A421&amp;" du "&amp;TEXT(B421,"dd/mm/yyyy")&amp;" : "&amp;SUBSTITUTE(TEXT(O421,"#,##0"),","," ")&amp;" FCFA restent à régler depuis le "&amp;TEXT(M421,"dd/mm/yyyy")&amp;". Notre responsable souhaite vous appeler pour convenir ensemble d'une solution. Quel moment vous arrange cette semaine ? "&amp;Paramètres!$B$11&amp;", "&amp;Paramètres!$B$12,IF(LEFT(Q421,7)="Relance","Bonjour "&amp;D421&amp;", sauf erreur de notre part, la commande "&amp;A421&amp;" du "&amp;TEXT(B421,"dd/mm/yyyy")&amp;" ("&amp;E421&amp;") présente un reste à payer de "&amp;SUBSTITUTE(TEXT(O421,"#,##0"),","," ")&amp;" FCFA, échu depuis le "&amp;TEXT(M421,"dd/mm/yyyy")&amp;". Pouvez-vous nous indiquer la date de règlement prévue ? Si le paiement est déjà parti, merci de nous envoyer la preuve et ne tenez pas compte de ce message. "&amp;Paramètres!$B$11&amp;", "&amp;Paramètres!$B$12,IF(K421="En retard","Bonjour "&amp;D421&amp;", votre commande "&amp;A421&amp;" ("&amp;E421&amp;", "&amp;F421&amp;" pièces) prévue le "&amp;TEXT(I421,"dd/mm/yyyy")&amp;" a pris du retard. Nous vous confirmons la nouvelle date de livraison dans la journée. Toutes nos excuses pour ce contretemps. "&amp;Paramètres!$B$11&amp;", "&amp;Paramètres!$B$12,""))))</f>
        <v/>
      </c>
      <c r="T421" s="21" t="n"/>
      <c r="U421" s="26" t="n"/>
      <c r="V421" s="21" t="n"/>
    </row>
    <row r="422">
      <c r="A422" s="21" t="n"/>
      <c r="B422" s="26" t="n"/>
      <c r="C422" s="21" t="n"/>
      <c r="D422" s="25">
        <f>IF(C422="","",IFERROR(VLOOKUP(C422,Revendeurs!$A:$B,2,FALSE),"Code inconnu"))</f>
        <v/>
      </c>
      <c r="E422" s="21" t="n"/>
      <c r="F422" s="21" t="n"/>
      <c r="G422" s="22" t="n"/>
      <c r="H422" s="23">
        <f>IF(OR(F422="",G422=""),"",F422*G422)</f>
        <v/>
      </c>
      <c r="I422" s="26" t="n"/>
      <c r="J422" s="26" t="n"/>
      <c r="K422" s="25">
        <f>IF(B422="","",IF(J422&lt;&gt;"","Livrée",IF(I422="","À planifier",IF(Paramètres!$B$4&gt;I422+Paramètres!$B$8,"En retard","En cours"))))</f>
        <v/>
      </c>
      <c r="L422" s="25">
        <f>IF(K422="En retard",Paramètres!$B$4-I422,"")</f>
        <v/>
      </c>
      <c r="M422" s="27">
        <f>IF(OR(B422="",J422=""),"",J422+IFERROR(IF(VLOOKUP(C422,Revendeurs!$A:$G,7,FALSE)="",Paramètres!$B$9,VLOOKUP(C422,Revendeurs!$A:$G,7,FALSE)),Paramètres!$B$9))</f>
        <v/>
      </c>
      <c r="N422" s="22" t="n"/>
      <c r="O422" s="23">
        <f>IF(H422="","",H422-N422)</f>
        <v/>
      </c>
      <c r="P422" s="25">
        <f>IF(OR(M422="",O422=""),"",IF(O422&lt;=0,0,MAX(0,Paramètres!$B$4-M422)))</f>
        <v/>
      </c>
      <c r="Q422" s="25">
        <f>IF(H422="","",IF(O422&lt;=0,"Payée",IF(M422="","Pas encore livrée",IF(P422=0,"Non échue",IF(P422&gt;=Paramètres!$B$7,"Relance 3 : appel direction",IF(P422&gt;=Paramètres!$B$6,"Relance 2",IF(P422&gt;=Paramètres!$B$5,"Relance 1","Échue, relance à venir")))))))</f>
        <v/>
      </c>
      <c r="R422" s="25">
        <f>IF(B422="","",IF(U422=Paramètres!$B$4,"Relancé aujourd'hui",TRIM(IF(LEFT(Q422,7)="Relance",Q422&amp;" ","")&amp;IF(K422="En retard","· Prévenir du retard de livraison",""))))</f>
        <v/>
      </c>
      <c r="S422" s="28">
        <f>IF(B422="","",IF(LEFT(Q422,9)="Relance 3","Bonjour "&amp;D422&amp;", nous revenons vers vous au sujet de la commande "&amp;A422&amp;" du "&amp;TEXT(B422,"dd/mm/yyyy")&amp;" : "&amp;SUBSTITUTE(TEXT(O422,"#,##0"),","," ")&amp;" FCFA restent à régler depuis le "&amp;TEXT(M422,"dd/mm/yyyy")&amp;". Notre responsable souhaite vous appeler pour convenir ensemble d'une solution. Quel moment vous arrange cette semaine ? "&amp;Paramètres!$B$11&amp;", "&amp;Paramètres!$B$12,IF(LEFT(Q422,7)="Relance","Bonjour "&amp;D422&amp;", sauf erreur de notre part, la commande "&amp;A422&amp;" du "&amp;TEXT(B422,"dd/mm/yyyy")&amp;" ("&amp;E422&amp;") présente un reste à payer de "&amp;SUBSTITUTE(TEXT(O422,"#,##0"),","," ")&amp;" FCFA, échu depuis le "&amp;TEXT(M422,"dd/mm/yyyy")&amp;". Pouvez-vous nous indiquer la date de règlement prévue ? Si le paiement est déjà parti, merci de nous envoyer la preuve et ne tenez pas compte de ce message. "&amp;Paramètres!$B$11&amp;", "&amp;Paramètres!$B$12,IF(K422="En retard","Bonjour "&amp;D422&amp;", votre commande "&amp;A422&amp;" ("&amp;E422&amp;", "&amp;F422&amp;" pièces) prévue le "&amp;TEXT(I422,"dd/mm/yyyy")&amp;" a pris du retard. Nous vous confirmons la nouvelle date de livraison dans la journée. Toutes nos excuses pour ce contretemps. "&amp;Paramètres!$B$11&amp;", "&amp;Paramètres!$B$12,""))))</f>
        <v/>
      </c>
      <c r="T422" s="21" t="n"/>
      <c r="U422" s="26" t="n"/>
      <c r="V422" s="21" t="n"/>
    </row>
    <row r="423">
      <c r="A423" s="21" t="n"/>
      <c r="B423" s="26" t="n"/>
      <c r="C423" s="21" t="n"/>
      <c r="D423" s="25">
        <f>IF(C423="","",IFERROR(VLOOKUP(C423,Revendeurs!$A:$B,2,FALSE),"Code inconnu"))</f>
        <v/>
      </c>
      <c r="E423" s="21" t="n"/>
      <c r="F423" s="21" t="n"/>
      <c r="G423" s="22" t="n"/>
      <c r="H423" s="23">
        <f>IF(OR(F423="",G423=""),"",F423*G423)</f>
        <v/>
      </c>
      <c r="I423" s="26" t="n"/>
      <c r="J423" s="26" t="n"/>
      <c r="K423" s="25">
        <f>IF(B423="","",IF(J423&lt;&gt;"","Livrée",IF(I423="","À planifier",IF(Paramètres!$B$4&gt;I423+Paramètres!$B$8,"En retard","En cours"))))</f>
        <v/>
      </c>
      <c r="L423" s="25">
        <f>IF(K423="En retard",Paramètres!$B$4-I423,"")</f>
        <v/>
      </c>
      <c r="M423" s="27">
        <f>IF(OR(B423="",J423=""),"",J423+IFERROR(IF(VLOOKUP(C423,Revendeurs!$A:$G,7,FALSE)="",Paramètres!$B$9,VLOOKUP(C423,Revendeurs!$A:$G,7,FALSE)),Paramètres!$B$9))</f>
        <v/>
      </c>
      <c r="N423" s="22" t="n"/>
      <c r="O423" s="23">
        <f>IF(H423="","",H423-N423)</f>
        <v/>
      </c>
      <c r="P423" s="25">
        <f>IF(OR(M423="",O423=""),"",IF(O423&lt;=0,0,MAX(0,Paramètres!$B$4-M423)))</f>
        <v/>
      </c>
      <c r="Q423" s="25">
        <f>IF(H423="","",IF(O423&lt;=0,"Payée",IF(M423="","Pas encore livrée",IF(P423=0,"Non échue",IF(P423&gt;=Paramètres!$B$7,"Relance 3 : appel direction",IF(P423&gt;=Paramètres!$B$6,"Relance 2",IF(P423&gt;=Paramètres!$B$5,"Relance 1","Échue, relance à venir")))))))</f>
        <v/>
      </c>
      <c r="R423" s="25">
        <f>IF(B423="","",IF(U423=Paramètres!$B$4,"Relancé aujourd'hui",TRIM(IF(LEFT(Q423,7)="Relance",Q423&amp;" ","")&amp;IF(K423="En retard","· Prévenir du retard de livraison",""))))</f>
        <v/>
      </c>
      <c r="S423" s="28">
        <f>IF(B423="","",IF(LEFT(Q423,9)="Relance 3","Bonjour "&amp;D423&amp;", nous revenons vers vous au sujet de la commande "&amp;A423&amp;" du "&amp;TEXT(B423,"dd/mm/yyyy")&amp;" : "&amp;SUBSTITUTE(TEXT(O423,"#,##0"),","," ")&amp;" FCFA restent à régler depuis le "&amp;TEXT(M423,"dd/mm/yyyy")&amp;". Notre responsable souhaite vous appeler pour convenir ensemble d'une solution. Quel moment vous arrange cette semaine ? "&amp;Paramètres!$B$11&amp;", "&amp;Paramètres!$B$12,IF(LEFT(Q423,7)="Relance","Bonjour "&amp;D423&amp;", sauf erreur de notre part, la commande "&amp;A423&amp;" du "&amp;TEXT(B423,"dd/mm/yyyy")&amp;" ("&amp;E423&amp;") présente un reste à payer de "&amp;SUBSTITUTE(TEXT(O423,"#,##0"),","," ")&amp;" FCFA, échu depuis le "&amp;TEXT(M423,"dd/mm/yyyy")&amp;". Pouvez-vous nous indiquer la date de règlement prévue ? Si le paiement est déjà parti, merci de nous envoyer la preuve et ne tenez pas compte de ce message. "&amp;Paramètres!$B$11&amp;", "&amp;Paramètres!$B$12,IF(K423="En retard","Bonjour "&amp;D423&amp;", votre commande "&amp;A423&amp;" ("&amp;E423&amp;", "&amp;F423&amp;" pièces) prévue le "&amp;TEXT(I423,"dd/mm/yyyy")&amp;" a pris du retard. Nous vous confirmons la nouvelle date de livraison dans la journée. Toutes nos excuses pour ce contretemps. "&amp;Paramètres!$B$11&amp;", "&amp;Paramètres!$B$12,""))))</f>
        <v/>
      </c>
      <c r="T423" s="21" t="n"/>
      <c r="U423" s="26" t="n"/>
      <c r="V423" s="21" t="n"/>
    </row>
    <row r="424">
      <c r="A424" s="21" t="n"/>
      <c r="B424" s="26" t="n"/>
      <c r="C424" s="21" t="n"/>
      <c r="D424" s="25">
        <f>IF(C424="","",IFERROR(VLOOKUP(C424,Revendeurs!$A:$B,2,FALSE),"Code inconnu"))</f>
        <v/>
      </c>
      <c r="E424" s="21" t="n"/>
      <c r="F424" s="21" t="n"/>
      <c r="G424" s="22" t="n"/>
      <c r="H424" s="23">
        <f>IF(OR(F424="",G424=""),"",F424*G424)</f>
        <v/>
      </c>
      <c r="I424" s="26" t="n"/>
      <c r="J424" s="26" t="n"/>
      <c r="K424" s="25">
        <f>IF(B424="","",IF(J424&lt;&gt;"","Livrée",IF(I424="","À planifier",IF(Paramètres!$B$4&gt;I424+Paramètres!$B$8,"En retard","En cours"))))</f>
        <v/>
      </c>
      <c r="L424" s="25">
        <f>IF(K424="En retard",Paramètres!$B$4-I424,"")</f>
        <v/>
      </c>
      <c r="M424" s="27">
        <f>IF(OR(B424="",J424=""),"",J424+IFERROR(IF(VLOOKUP(C424,Revendeurs!$A:$G,7,FALSE)="",Paramètres!$B$9,VLOOKUP(C424,Revendeurs!$A:$G,7,FALSE)),Paramètres!$B$9))</f>
        <v/>
      </c>
      <c r="N424" s="22" t="n"/>
      <c r="O424" s="23">
        <f>IF(H424="","",H424-N424)</f>
        <v/>
      </c>
      <c r="P424" s="25">
        <f>IF(OR(M424="",O424=""),"",IF(O424&lt;=0,0,MAX(0,Paramètres!$B$4-M424)))</f>
        <v/>
      </c>
      <c r="Q424" s="25">
        <f>IF(H424="","",IF(O424&lt;=0,"Payée",IF(M424="","Pas encore livrée",IF(P424=0,"Non échue",IF(P424&gt;=Paramètres!$B$7,"Relance 3 : appel direction",IF(P424&gt;=Paramètres!$B$6,"Relance 2",IF(P424&gt;=Paramètres!$B$5,"Relance 1","Échue, relance à venir")))))))</f>
        <v/>
      </c>
      <c r="R424" s="25">
        <f>IF(B424="","",IF(U424=Paramètres!$B$4,"Relancé aujourd'hui",TRIM(IF(LEFT(Q424,7)="Relance",Q424&amp;" ","")&amp;IF(K424="En retard","· Prévenir du retard de livraison",""))))</f>
        <v/>
      </c>
      <c r="S424" s="28">
        <f>IF(B424="","",IF(LEFT(Q424,9)="Relance 3","Bonjour "&amp;D424&amp;", nous revenons vers vous au sujet de la commande "&amp;A424&amp;" du "&amp;TEXT(B424,"dd/mm/yyyy")&amp;" : "&amp;SUBSTITUTE(TEXT(O424,"#,##0"),","," ")&amp;" FCFA restent à régler depuis le "&amp;TEXT(M424,"dd/mm/yyyy")&amp;". Notre responsable souhaite vous appeler pour convenir ensemble d'une solution. Quel moment vous arrange cette semaine ? "&amp;Paramètres!$B$11&amp;", "&amp;Paramètres!$B$12,IF(LEFT(Q424,7)="Relance","Bonjour "&amp;D424&amp;", sauf erreur de notre part, la commande "&amp;A424&amp;" du "&amp;TEXT(B424,"dd/mm/yyyy")&amp;" ("&amp;E424&amp;") présente un reste à payer de "&amp;SUBSTITUTE(TEXT(O424,"#,##0"),","," ")&amp;" FCFA, échu depuis le "&amp;TEXT(M424,"dd/mm/yyyy")&amp;". Pouvez-vous nous indiquer la date de règlement prévue ? Si le paiement est déjà parti, merci de nous envoyer la preuve et ne tenez pas compte de ce message. "&amp;Paramètres!$B$11&amp;", "&amp;Paramètres!$B$12,IF(K424="En retard","Bonjour "&amp;D424&amp;", votre commande "&amp;A424&amp;" ("&amp;E424&amp;", "&amp;F424&amp;" pièces) prévue le "&amp;TEXT(I424,"dd/mm/yyyy")&amp;" a pris du retard. Nous vous confirmons la nouvelle date de livraison dans la journée. Toutes nos excuses pour ce contretemps. "&amp;Paramètres!$B$11&amp;", "&amp;Paramètres!$B$12,""))))</f>
        <v/>
      </c>
      <c r="T424" s="21" t="n"/>
      <c r="U424" s="26" t="n"/>
      <c r="V424" s="21" t="n"/>
    </row>
    <row r="425">
      <c r="A425" s="21" t="n"/>
      <c r="B425" s="26" t="n"/>
      <c r="C425" s="21" t="n"/>
      <c r="D425" s="25">
        <f>IF(C425="","",IFERROR(VLOOKUP(C425,Revendeurs!$A:$B,2,FALSE),"Code inconnu"))</f>
        <v/>
      </c>
      <c r="E425" s="21" t="n"/>
      <c r="F425" s="21" t="n"/>
      <c r="G425" s="22" t="n"/>
      <c r="H425" s="23">
        <f>IF(OR(F425="",G425=""),"",F425*G425)</f>
        <v/>
      </c>
      <c r="I425" s="26" t="n"/>
      <c r="J425" s="26" t="n"/>
      <c r="K425" s="25">
        <f>IF(B425="","",IF(J425&lt;&gt;"","Livrée",IF(I425="","À planifier",IF(Paramètres!$B$4&gt;I425+Paramètres!$B$8,"En retard","En cours"))))</f>
        <v/>
      </c>
      <c r="L425" s="25">
        <f>IF(K425="En retard",Paramètres!$B$4-I425,"")</f>
        <v/>
      </c>
      <c r="M425" s="27">
        <f>IF(OR(B425="",J425=""),"",J425+IFERROR(IF(VLOOKUP(C425,Revendeurs!$A:$G,7,FALSE)="",Paramètres!$B$9,VLOOKUP(C425,Revendeurs!$A:$G,7,FALSE)),Paramètres!$B$9))</f>
        <v/>
      </c>
      <c r="N425" s="22" t="n"/>
      <c r="O425" s="23">
        <f>IF(H425="","",H425-N425)</f>
        <v/>
      </c>
      <c r="P425" s="25">
        <f>IF(OR(M425="",O425=""),"",IF(O425&lt;=0,0,MAX(0,Paramètres!$B$4-M425)))</f>
        <v/>
      </c>
      <c r="Q425" s="25">
        <f>IF(H425="","",IF(O425&lt;=0,"Payée",IF(M425="","Pas encore livrée",IF(P425=0,"Non échue",IF(P425&gt;=Paramètres!$B$7,"Relance 3 : appel direction",IF(P425&gt;=Paramètres!$B$6,"Relance 2",IF(P425&gt;=Paramètres!$B$5,"Relance 1","Échue, relance à venir")))))))</f>
        <v/>
      </c>
      <c r="R425" s="25">
        <f>IF(B425="","",IF(U425=Paramètres!$B$4,"Relancé aujourd'hui",TRIM(IF(LEFT(Q425,7)="Relance",Q425&amp;" ","")&amp;IF(K425="En retard","· Prévenir du retard de livraison",""))))</f>
        <v/>
      </c>
      <c r="S425" s="28">
        <f>IF(B425="","",IF(LEFT(Q425,9)="Relance 3","Bonjour "&amp;D425&amp;", nous revenons vers vous au sujet de la commande "&amp;A425&amp;" du "&amp;TEXT(B425,"dd/mm/yyyy")&amp;" : "&amp;SUBSTITUTE(TEXT(O425,"#,##0"),","," ")&amp;" FCFA restent à régler depuis le "&amp;TEXT(M425,"dd/mm/yyyy")&amp;". Notre responsable souhaite vous appeler pour convenir ensemble d'une solution. Quel moment vous arrange cette semaine ? "&amp;Paramètres!$B$11&amp;", "&amp;Paramètres!$B$12,IF(LEFT(Q425,7)="Relance","Bonjour "&amp;D425&amp;", sauf erreur de notre part, la commande "&amp;A425&amp;" du "&amp;TEXT(B425,"dd/mm/yyyy")&amp;" ("&amp;E425&amp;") présente un reste à payer de "&amp;SUBSTITUTE(TEXT(O425,"#,##0"),","," ")&amp;" FCFA, échu depuis le "&amp;TEXT(M425,"dd/mm/yyyy")&amp;". Pouvez-vous nous indiquer la date de règlement prévue ? Si le paiement est déjà parti, merci de nous envoyer la preuve et ne tenez pas compte de ce message. "&amp;Paramètres!$B$11&amp;", "&amp;Paramètres!$B$12,IF(K425="En retard","Bonjour "&amp;D425&amp;", votre commande "&amp;A425&amp;" ("&amp;E425&amp;", "&amp;F425&amp;" pièces) prévue le "&amp;TEXT(I425,"dd/mm/yyyy")&amp;" a pris du retard. Nous vous confirmons la nouvelle date de livraison dans la journée. Toutes nos excuses pour ce contretemps. "&amp;Paramètres!$B$11&amp;", "&amp;Paramètres!$B$12,""))))</f>
        <v/>
      </c>
      <c r="T425" s="21" t="n"/>
      <c r="U425" s="26" t="n"/>
      <c r="V425" s="21" t="n"/>
    </row>
    <row r="426">
      <c r="A426" s="21" t="n"/>
      <c r="B426" s="26" t="n"/>
      <c r="C426" s="21" t="n"/>
      <c r="D426" s="25">
        <f>IF(C426="","",IFERROR(VLOOKUP(C426,Revendeurs!$A:$B,2,FALSE),"Code inconnu"))</f>
        <v/>
      </c>
      <c r="E426" s="21" t="n"/>
      <c r="F426" s="21" t="n"/>
      <c r="G426" s="22" t="n"/>
      <c r="H426" s="23">
        <f>IF(OR(F426="",G426=""),"",F426*G426)</f>
        <v/>
      </c>
      <c r="I426" s="26" t="n"/>
      <c r="J426" s="26" t="n"/>
      <c r="K426" s="25">
        <f>IF(B426="","",IF(J426&lt;&gt;"","Livrée",IF(I426="","À planifier",IF(Paramètres!$B$4&gt;I426+Paramètres!$B$8,"En retard","En cours"))))</f>
        <v/>
      </c>
      <c r="L426" s="25">
        <f>IF(K426="En retard",Paramètres!$B$4-I426,"")</f>
        <v/>
      </c>
      <c r="M426" s="27">
        <f>IF(OR(B426="",J426=""),"",J426+IFERROR(IF(VLOOKUP(C426,Revendeurs!$A:$G,7,FALSE)="",Paramètres!$B$9,VLOOKUP(C426,Revendeurs!$A:$G,7,FALSE)),Paramètres!$B$9))</f>
        <v/>
      </c>
      <c r="N426" s="22" t="n"/>
      <c r="O426" s="23">
        <f>IF(H426="","",H426-N426)</f>
        <v/>
      </c>
      <c r="P426" s="25">
        <f>IF(OR(M426="",O426=""),"",IF(O426&lt;=0,0,MAX(0,Paramètres!$B$4-M426)))</f>
        <v/>
      </c>
      <c r="Q426" s="25">
        <f>IF(H426="","",IF(O426&lt;=0,"Payée",IF(M426="","Pas encore livrée",IF(P426=0,"Non échue",IF(P426&gt;=Paramètres!$B$7,"Relance 3 : appel direction",IF(P426&gt;=Paramètres!$B$6,"Relance 2",IF(P426&gt;=Paramètres!$B$5,"Relance 1","Échue, relance à venir")))))))</f>
        <v/>
      </c>
      <c r="R426" s="25">
        <f>IF(B426="","",IF(U426=Paramètres!$B$4,"Relancé aujourd'hui",TRIM(IF(LEFT(Q426,7)="Relance",Q426&amp;" ","")&amp;IF(K426="En retard","· Prévenir du retard de livraison",""))))</f>
        <v/>
      </c>
      <c r="S426" s="28">
        <f>IF(B426="","",IF(LEFT(Q426,9)="Relance 3","Bonjour "&amp;D426&amp;", nous revenons vers vous au sujet de la commande "&amp;A426&amp;" du "&amp;TEXT(B426,"dd/mm/yyyy")&amp;" : "&amp;SUBSTITUTE(TEXT(O426,"#,##0"),","," ")&amp;" FCFA restent à régler depuis le "&amp;TEXT(M426,"dd/mm/yyyy")&amp;". Notre responsable souhaite vous appeler pour convenir ensemble d'une solution. Quel moment vous arrange cette semaine ? "&amp;Paramètres!$B$11&amp;", "&amp;Paramètres!$B$12,IF(LEFT(Q426,7)="Relance","Bonjour "&amp;D426&amp;", sauf erreur de notre part, la commande "&amp;A426&amp;" du "&amp;TEXT(B426,"dd/mm/yyyy")&amp;" ("&amp;E426&amp;") présente un reste à payer de "&amp;SUBSTITUTE(TEXT(O426,"#,##0"),","," ")&amp;" FCFA, échu depuis le "&amp;TEXT(M426,"dd/mm/yyyy")&amp;". Pouvez-vous nous indiquer la date de règlement prévue ? Si le paiement est déjà parti, merci de nous envoyer la preuve et ne tenez pas compte de ce message. "&amp;Paramètres!$B$11&amp;", "&amp;Paramètres!$B$12,IF(K426="En retard","Bonjour "&amp;D426&amp;", votre commande "&amp;A426&amp;" ("&amp;E426&amp;", "&amp;F426&amp;" pièces) prévue le "&amp;TEXT(I426,"dd/mm/yyyy")&amp;" a pris du retard. Nous vous confirmons la nouvelle date de livraison dans la journée. Toutes nos excuses pour ce contretemps. "&amp;Paramètres!$B$11&amp;", "&amp;Paramètres!$B$12,""))))</f>
        <v/>
      </c>
      <c r="T426" s="21" t="n"/>
      <c r="U426" s="26" t="n"/>
      <c r="V426" s="21" t="n"/>
    </row>
    <row r="427">
      <c r="A427" s="21" t="n"/>
      <c r="B427" s="26" t="n"/>
      <c r="C427" s="21" t="n"/>
      <c r="D427" s="25">
        <f>IF(C427="","",IFERROR(VLOOKUP(C427,Revendeurs!$A:$B,2,FALSE),"Code inconnu"))</f>
        <v/>
      </c>
      <c r="E427" s="21" t="n"/>
      <c r="F427" s="21" t="n"/>
      <c r="G427" s="22" t="n"/>
      <c r="H427" s="23">
        <f>IF(OR(F427="",G427=""),"",F427*G427)</f>
        <v/>
      </c>
      <c r="I427" s="26" t="n"/>
      <c r="J427" s="26" t="n"/>
      <c r="K427" s="25">
        <f>IF(B427="","",IF(J427&lt;&gt;"","Livrée",IF(I427="","À planifier",IF(Paramètres!$B$4&gt;I427+Paramètres!$B$8,"En retard","En cours"))))</f>
        <v/>
      </c>
      <c r="L427" s="25">
        <f>IF(K427="En retard",Paramètres!$B$4-I427,"")</f>
        <v/>
      </c>
      <c r="M427" s="27">
        <f>IF(OR(B427="",J427=""),"",J427+IFERROR(IF(VLOOKUP(C427,Revendeurs!$A:$G,7,FALSE)="",Paramètres!$B$9,VLOOKUP(C427,Revendeurs!$A:$G,7,FALSE)),Paramètres!$B$9))</f>
        <v/>
      </c>
      <c r="N427" s="22" t="n"/>
      <c r="O427" s="23">
        <f>IF(H427="","",H427-N427)</f>
        <v/>
      </c>
      <c r="P427" s="25">
        <f>IF(OR(M427="",O427=""),"",IF(O427&lt;=0,0,MAX(0,Paramètres!$B$4-M427)))</f>
        <v/>
      </c>
      <c r="Q427" s="25">
        <f>IF(H427="","",IF(O427&lt;=0,"Payée",IF(M427="","Pas encore livrée",IF(P427=0,"Non échue",IF(P427&gt;=Paramètres!$B$7,"Relance 3 : appel direction",IF(P427&gt;=Paramètres!$B$6,"Relance 2",IF(P427&gt;=Paramètres!$B$5,"Relance 1","Échue, relance à venir")))))))</f>
        <v/>
      </c>
      <c r="R427" s="25">
        <f>IF(B427="","",IF(U427=Paramètres!$B$4,"Relancé aujourd'hui",TRIM(IF(LEFT(Q427,7)="Relance",Q427&amp;" ","")&amp;IF(K427="En retard","· Prévenir du retard de livraison",""))))</f>
        <v/>
      </c>
      <c r="S427" s="28">
        <f>IF(B427="","",IF(LEFT(Q427,9)="Relance 3","Bonjour "&amp;D427&amp;", nous revenons vers vous au sujet de la commande "&amp;A427&amp;" du "&amp;TEXT(B427,"dd/mm/yyyy")&amp;" : "&amp;SUBSTITUTE(TEXT(O427,"#,##0"),","," ")&amp;" FCFA restent à régler depuis le "&amp;TEXT(M427,"dd/mm/yyyy")&amp;". Notre responsable souhaite vous appeler pour convenir ensemble d'une solution. Quel moment vous arrange cette semaine ? "&amp;Paramètres!$B$11&amp;", "&amp;Paramètres!$B$12,IF(LEFT(Q427,7)="Relance","Bonjour "&amp;D427&amp;", sauf erreur de notre part, la commande "&amp;A427&amp;" du "&amp;TEXT(B427,"dd/mm/yyyy")&amp;" ("&amp;E427&amp;") présente un reste à payer de "&amp;SUBSTITUTE(TEXT(O427,"#,##0"),","," ")&amp;" FCFA, échu depuis le "&amp;TEXT(M427,"dd/mm/yyyy")&amp;". Pouvez-vous nous indiquer la date de règlement prévue ? Si le paiement est déjà parti, merci de nous envoyer la preuve et ne tenez pas compte de ce message. "&amp;Paramètres!$B$11&amp;", "&amp;Paramètres!$B$12,IF(K427="En retard","Bonjour "&amp;D427&amp;", votre commande "&amp;A427&amp;" ("&amp;E427&amp;", "&amp;F427&amp;" pièces) prévue le "&amp;TEXT(I427,"dd/mm/yyyy")&amp;" a pris du retard. Nous vous confirmons la nouvelle date de livraison dans la journée. Toutes nos excuses pour ce contretemps. "&amp;Paramètres!$B$11&amp;", "&amp;Paramètres!$B$12,""))))</f>
        <v/>
      </c>
      <c r="T427" s="21" t="n"/>
      <c r="U427" s="26" t="n"/>
      <c r="V427" s="21" t="n"/>
    </row>
    <row r="428">
      <c r="A428" s="21" t="n"/>
      <c r="B428" s="26" t="n"/>
      <c r="C428" s="21" t="n"/>
      <c r="D428" s="25">
        <f>IF(C428="","",IFERROR(VLOOKUP(C428,Revendeurs!$A:$B,2,FALSE),"Code inconnu"))</f>
        <v/>
      </c>
      <c r="E428" s="21" t="n"/>
      <c r="F428" s="21" t="n"/>
      <c r="G428" s="22" t="n"/>
      <c r="H428" s="23">
        <f>IF(OR(F428="",G428=""),"",F428*G428)</f>
        <v/>
      </c>
      <c r="I428" s="26" t="n"/>
      <c r="J428" s="26" t="n"/>
      <c r="K428" s="25">
        <f>IF(B428="","",IF(J428&lt;&gt;"","Livrée",IF(I428="","À planifier",IF(Paramètres!$B$4&gt;I428+Paramètres!$B$8,"En retard","En cours"))))</f>
        <v/>
      </c>
      <c r="L428" s="25">
        <f>IF(K428="En retard",Paramètres!$B$4-I428,"")</f>
        <v/>
      </c>
      <c r="M428" s="27">
        <f>IF(OR(B428="",J428=""),"",J428+IFERROR(IF(VLOOKUP(C428,Revendeurs!$A:$G,7,FALSE)="",Paramètres!$B$9,VLOOKUP(C428,Revendeurs!$A:$G,7,FALSE)),Paramètres!$B$9))</f>
        <v/>
      </c>
      <c r="N428" s="22" t="n"/>
      <c r="O428" s="23">
        <f>IF(H428="","",H428-N428)</f>
        <v/>
      </c>
      <c r="P428" s="25">
        <f>IF(OR(M428="",O428=""),"",IF(O428&lt;=0,0,MAX(0,Paramètres!$B$4-M428)))</f>
        <v/>
      </c>
      <c r="Q428" s="25">
        <f>IF(H428="","",IF(O428&lt;=0,"Payée",IF(M428="","Pas encore livrée",IF(P428=0,"Non échue",IF(P428&gt;=Paramètres!$B$7,"Relance 3 : appel direction",IF(P428&gt;=Paramètres!$B$6,"Relance 2",IF(P428&gt;=Paramètres!$B$5,"Relance 1","Échue, relance à venir")))))))</f>
        <v/>
      </c>
      <c r="R428" s="25">
        <f>IF(B428="","",IF(U428=Paramètres!$B$4,"Relancé aujourd'hui",TRIM(IF(LEFT(Q428,7)="Relance",Q428&amp;" ","")&amp;IF(K428="En retard","· Prévenir du retard de livraison",""))))</f>
        <v/>
      </c>
      <c r="S428" s="28">
        <f>IF(B428="","",IF(LEFT(Q428,9)="Relance 3","Bonjour "&amp;D428&amp;", nous revenons vers vous au sujet de la commande "&amp;A428&amp;" du "&amp;TEXT(B428,"dd/mm/yyyy")&amp;" : "&amp;SUBSTITUTE(TEXT(O428,"#,##0"),","," ")&amp;" FCFA restent à régler depuis le "&amp;TEXT(M428,"dd/mm/yyyy")&amp;". Notre responsable souhaite vous appeler pour convenir ensemble d'une solution. Quel moment vous arrange cette semaine ? "&amp;Paramètres!$B$11&amp;", "&amp;Paramètres!$B$12,IF(LEFT(Q428,7)="Relance","Bonjour "&amp;D428&amp;", sauf erreur de notre part, la commande "&amp;A428&amp;" du "&amp;TEXT(B428,"dd/mm/yyyy")&amp;" ("&amp;E428&amp;") présente un reste à payer de "&amp;SUBSTITUTE(TEXT(O428,"#,##0"),","," ")&amp;" FCFA, échu depuis le "&amp;TEXT(M428,"dd/mm/yyyy")&amp;". Pouvez-vous nous indiquer la date de règlement prévue ? Si le paiement est déjà parti, merci de nous envoyer la preuve et ne tenez pas compte de ce message. "&amp;Paramètres!$B$11&amp;", "&amp;Paramètres!$B$12,IF(K428="En retard","Bonjour "&amp;D428&amp;", votre commande "&amp;A428&amp;" ("&amp;E428&amp;", "&amp;F428&amp;" pièces) prévue le "&amp;TEXT(I428,"dd/mm/yyyy")&amp;" a pris du retard. Nous vous confirmons la nouvelle date de livraison dans la journée. Toutes nos excuses pour ce contretemps. "&amp;Paramètres!$B$11&amp;", "&amp;Paramètres!$B$12,""))))</f>
        <v/>
      </c>
      <c r="T428" s="21" t="n"/>
      <c r="U428" s="26" t="n"/>
      <c r="V428" s="21" t="n"/>
    </row>
    <row r="429">
      <c r="A429" s="21" t="n"/>
      <c r="B429" s="26" t="n"/>
      <c r="C429" s="21" t="n"/>
      <c r="D429" s="25">
        <f>IF(C429="","",IFERROR(VLOOKUP(C429,Revendeurs!$A:$B,2,FALSE),"Code inconnu"))</f>
        <v/>
      </c>
      <c r="E429" s="21" t="n"/>
      <c r="F429" s="21" t="n"/>
      <c r="G429" s="22" t="n"/>
      <c r="H429" s="23">
        <f>IF(OR(F429="",G429=""),"",F429*G429)</f>
        <v/>
      </c>
      <c r="I429" s="26" t="n"/>
      <c r="J429" s="26" t="n"/>
      <c r="K429" s="25">
        <f>IF(B429="","",IF(J429&lt;&gt;"","Livrée",IF(I429="","À planifier",IF(Paramètres!$B$4&gt;I429+Paramètres!$B$8,"En retard","En cours"))))</f>
        <v/>
      </c>
      <c r="L429" s="25">
        <f>IF(K429="En retard",Paramètres!$B$4-I429,"")</f>
        <v/>
      </c>
      <c r="M429" s="27">
        <f>IF(OR(B429="",J429=""),"",J429+IFERROR(IF(VLOOKUP(C429,Revendeurs!$A:$G,7,FALSE)="",Paramètres!$B$9,VLOOKUP(C429,Revendeurs!$A:$G,7,FALSE)),Paramètres!$B$9))</f>
        <v/>
      </c>
      <c r="N429" s="22" t="n"/>
      <c r="O429" s="23">
        <f>IF(H429="","",H429-N429)</f>
        <v/>
      </c>
      <c r="P429" s="25">
        <f>IF(OR(M429="",O429=""),"",IF(O429&lt;=0,0,MAX(0,Paramètres!$B$4-M429)))</f>
        <v/>
      </c>
      <c r="Q429" s="25">
        <f>IF(H429="","",IF(O429&lt;=0,"Payée",IF(M429="","Pas encore livrée",IF(P429=0,"Non échue",IF(P429&gt;=Paramètres!$B$7,"Relance 3 : appel direction",IF(P429&gt;=Paramètres!$B$6,"Relance 2",IF(P429&gt;=Paramètres!$B$5,"Relance 1","Échue, relance à venir")))))))</f>
        <v/>
      </c>
      <c r="R429" s="25">
        <f>IF(B429="","",IF(U429=Paramètres!$B$4,"Relancé aujourd'hui",TRIM(IF(LEFT(Q429,7)="Relance",Q429&amp;" ","")&amp;IF(K429="En retard","· Prévenir du retard de livraison",""))))</f>
        <v/>
      </c>
      <c r="S429" s="28">
        <f>IF(B429="","",IF(LEFT(Q429,9)="Relance 3","Bonjour "&amp;D429&amp;", nous revenons vers vous au sujet de la commande "&amp;A429&amp;" du "&amp;TEXT(B429,"dd/mm/yyyy")&amp;" : "&amp;SUBSTITUTE(TEXT(O429,"#,##0"),","," ")&amp;" FCFA restent à régler depuis le "&amp;TEXT(M429,"dd/mm/yyyy")&amp;". Notre responsable souhaite vous appeler pour convenir ensemble d'une solution. Quel moment vous arrange cette semaine ? "&amp;Paramètres!$B$11&amp;", "&amp;Paramètres!$B$12,IF(LEFT(Q429,7)="Relance","Bonjour "&amp;D429&amp;", sauf erreur de notre part, la commande "&amp;A429&amp;" du "&amp;TEXT(B429,"dd/mm/yyyy")&amp;" ("&amp;E429&amp;") présente un reste à payer de "&amp;SUBSTITUTE(TEXT(O429,"#,##0"),","," ")&amp;" FCFA, échu depuis le "&amp;TEXT(M429,"dd/mm/yyyy")&amp;". Pouvez-vous nous indiquer la date de règlement prévue ? Si le paiement est déjà parti, merci de nous envoyer la preuve et ne tenez pas compte de ce message. "&amp;Paramètres!$B$11&amp;", "&amp;Paramètres!$B$12,IF(K429="En retard","Bonjour "&amp;D429&amp;", votre commande "&amp;A429&amp;" ("&amp;E429&amp;", "&amp;F429&amp;" pièces) prévue le "&amp;TEXT(I429,"dd/mm/yyyy")&amp;" a pris du retard. Nous vous confirmons la nouvelle date de livraison dans la journée. Toutes nos excuses pour ce contretemps. "&amp;Paramètres!$B$11&amp;", "&amp;Paramètres!$B$12,""))))</f>
        <v/>
      </c>
      <c r="T429" s="21" t="n"/>
      <c r="U429" s="26" t="n"/>
      <c r="V429" s="21" t="n"/>
    </row>
    <row r="430">
      <c r="A430" s="21" t="n"/>
      <c r="B430" s="26" t="n"/>
      <c r="C430" s="21" t="n"/>
      <c r="D430" s="25">
        <f>IF(C430="","",IFERROR(VLOOKUP(C430,Revendeurs!$A:$B,2,FALSE),"Code inconnu"))</f>
        <v/>
      </c>
      <c r="E430" s="21" t="n"/>
      <c r="F430" s="21" t="n"/>
      <c r="G430" s="22" t="n"/>
      <c r="H430" s="23">
        <f>IF(OR(F430="",G430=""),"",F430*G430)</f>
        <v/>
      </c>
      <c r="I430" s="26" t="n"/>
      <c r="J430" s="26" t="n"/>
      <c r="K430" s="25">
        <f>IF(B430="","",IF(J430&lt;&gt;"","Livrée",IF(I430="","À planifier",IF(Paramètres!$B$4&gt;I430+Paramètres!$B$8,"En retard","En cours"))))</f>
        <v/>
      </c>
      <c r="L430" s="25">
        <f>IF(K430="En retard",Paramètres!$B$4-I430,"")</f>
        <v/>
      </c>
      <c r="M430" s="27">
        <f>IF(OR(B430="",J430=""),"",J430+IFERROR(IF(VLOOKUP(C430,Revendeurs!$A:$G,7,FALSE)="",Paramètres!$B$9,VLOOKUP(C430,Revendeurs!$A:$G,7,FALSE)),Paramètres!$B$9))</f>
        <v/>
      </c>
      <c r="N430" s="22" t="n"/>
      <c r="O430" s="23">
        <f>IF(H430="","",H430-N430)</f>
        <v/>
      </c>
      <c r="P430" s="25">
        <f>IF(OR(M430="",O430=""),"",IF(O430&lt;=0,0,MAX(0,Paramètres!$B$4-M430)))</f>
        <v/>
      </c>
      <c r="Q430" s="25">
        <f>IF(H430="","",IF(O430&lt;=0,"Payée",IF(M430="","Pas encore livrée",IF(P430=0,"Non échue",IF(P430&gt;=Paramètres!$B$7,"Relance 3 : appel direction",IF(P430&gt;=Paramètres!$B$6,"Relance 2",IF(P430&gt;=Paramètres!$B$5,"Relance 1","Échue, relance à venir")))))))</f>
        <v/>
      </c>
      <c r="R430" s="25">
        <f>IF(B430="","",IF(U430=Paramètres!$B$4,"Relancé aujourd'hui",TRIM(IF(LEFT(Q430,7)="Relance",Q430&amp;" ","")&amp;IF(K430="En retard","· Prévenir du retard de livraison",""))))</f>
        <v/>
      </c>
      <c r="S430" s="28">
        <f>IF(B430="","",IF(LEFT(Q430,9)="Relance 3","Bonjour "&amp;D430&amp;", nous revenons vers vous au sujet de la commande "&amp;A430&amp;" du "&amp;TEXT(B430,"dd/mm/yyyy")&amp;" : "&amp;SUBSTITUTE(TEXT(O430,"#,##0"),","," ")&amp;" FCFA restent à régler depuis le "&amp;TEXT(M430,"dd/mm/yyyy")&amp;". Notre responsable souhaite vous appeler pour convenir ensemble d'une solution. Quel moment vous arrange cette semaine ? "&amp;Paramètres!$B$11&amp;", "&amp;Paramètres!$B$12,IF(LEFT(Q430,7)="Relance","Bonjour "&amp;D430&amp;", sauf erreur de notre part, la commande "&amp;A430&amp;" du "&amp;TEXT(B430,"dd/mm/yyyy")&amp;" ("&amp;E430&amp;") présente un reste à payer de "&amp;SUBSTITUTE(TEXT(O430,"#,##0"),","," ")&amp;" FCFA, échu depuis le "&amp;TEXT(M430,"dd/mm/yyyy")&amp;". Pouvez-vous nous indiquer la date de règlement prévue ? Si le paiement est déjà parti, merci de nous envoyer la preuve et ne tenez pas compte de ce message. "&amp;Paramètres!$B$11&amp;", "&amp;Paramètres!$B$12,IF(K430="En retard","Bonjour "&amp;D430&amp;", votre commande "&amp;A430&amp;" ("&amp;E430&amp;", "&amp;F430&amp;" pièces) prévue le "&amp;TEXT(I430,"dd/mm/yyyy")&amp;" a pris du retard. Nous vous confirmons la nouvelle date de livraison dans la journée. Toutes nos excuses pour ce contretemps. "&amp;Paramètres!$B$11&amp;", "&amp;Paramètres!$B$12,""))))</f>
        <v/>
      </c>
      <c r="T430" s="21" t="n"/>
      <c r="U430" s="26" t="n"/>
      <c r="V430" s="21" t="n"/>
    </row>
    <row r="431">
      <c r="A431" s="21" t="n"/>
      <c r="B431" s="26" t="n"/>
      <c r="C431" s="21" t="n"/>
      <c r="D431" s="25">
        <f>IF(C431="","",IFERROR(VLOOKUP(C431,Revendeurs!$A:$B,2,FALSE),"Code inconnu"))</f>
        <v/>
      </c>
      <c r="E431" s="21" t="n"/>
      <c r="F431" s="21" t="n"/>
      <c r="G431" s="22" t="n"/>
      <c r="H431" s="23">
        <f>IF(OR(F431="",G431=""),"",F431*G431)</f>
        <v/>
      </c>
      <c r="I431" s="26" t="n"/>
      <c r="J431" s="26" t="n"/>
      <c r="K431" s="25">
        <f>IF(B431="","",IF(J431&lt;&gt;"","Livrée",IF(I431="","À planifier",IF(Paramètres!$B$4&gt;I431+Paramètres!$B$8,"En retard","En cours"))))</f>
        <v/>
      </c>
      <c r="L431" s="25">
        <f>IF(K431="En retard",Paramètres!$B$4-I431,"")</f>
        <v/>
      </c>
      <c r="M431" s="27">
        <f>IF(OR(B431="",J431=""),"",J431+IFERROR(IF(VLOOKUP(C431,Revendeurs!$A:$G,7,FALSE)="",Paramètres!$B$9,VLOOKUP(C431,Revendeurs!$A:$G,7,FALSE)),Paramètres!$B$9))</f>
        <v/>
      </c>
      <c r="N431" s="22" t="n"/>
      <c r="O431" s="23">
        <f>IF(H431="","",H431-N431)</f>
        <v/>
      </c>
      <c r="P431" s="25">
        <f>IF(OR(M431="",O431=""),"",IF(O431&lt;=0,0,MAX(0,Paramètres!$B$4-M431)))</f>
        <v/>
      </c>
      <c r="Q431" s="25">
        <f>IF(H431="","",IF(O431&lt;=0,"Payée",IF(M431="","Pas encore livrée",IF(P431=0,"Non échue",IF(P431&gt;=Paramètres!$B$7,"Relance 3 : appel direction",IF(P431&gt;=Paramètres!$B$6,"Relance 2",IF(P431&gt;=Paramètres!$B$5,"Relance 1","Échue, relance à venir")))))))</f>
        <v/>
      </c>
      <c r="R431" s="25">
        <f>IF(B431="","",IF(U431=Paramètres!$B$4,"Relancé aujourd'hui",TRIM(IF(LEFT(Q431,7)="Relance",Q431&amp;" ","")&amp;IF(K431="En retard","· Prévenir du retard de livraison",""))))</f>
        <v/>
      </c>
      <c r="S431" s="28">
        <f>IF(B431="","",IF(LEFT(Q431,9)="Relance 3","Bonjour "&amp;D431&amp;", nous revenons vers vous au sujet de la commande "&amp;A431&amp;" du "&amp;TEXT(B431,"dd/mm/yyyy")&amp;" : "&amp;SUBSTITUTE(TEXT(O431,"#,##0"),","," ")&amp;" FCFA restent à régler depuis le "&amp;TEXT(M431,"dd/mm/yyyy")&amp;". Notre responsable souhaite vous appeler pour convenir ensemble d'une solution. Quel moment vous arrange cette semaine ? "&amp;Paramètres!$B$11&amp;", "&amp;Paramètres!$B$12,IF(LEFT(Q431,7)="Relance","Bonjour "&amp;D431&amp;", sauf erreur de notre part, la commande "&amp;A431&amp;" du "&amp;TEXT(B431,"dd/mm/yyyy")&amp;" ("&amp;E431&amp;") présente un reste à payer de "&amp;SUBSTITUTE(TEXT(O431,"#,##0"),","," ")&amp;" FCFA, échu depuis le "&amp;TEXT(M431,"dd/mm/yyyy")&amp;". Pouvez-vous nous indiquer la date de règlement prévue ? Si le paiement est déjà parti, merci de nous envoyer la preuve et ne tenez pas compte de ce message. "&amp;Paramètres!$B$11&amp;", "&amp;Paramètres!$B$12,IF(K431="En retard","Bonjour "&amp;D431&amp;", votre commande "&amp;A431&amp;" ("&amp;E431&amp;", "&amp;F431&amp;" pièces) prévue le "&amp;TEXT(I431,"dd/mm/yyyy")&amp;" a pris du retard. Nous vous confirmons la nouvelle date de livraison dans la journée. Toutes nos excuses pour ce contretemps. "&amp;Paramètres!$B$11&amp;", "&amp;Paramètres!$B$12,""))))</f>
        <v/>
      </c>
      <c r="T431" s="21" t="n"/>
      <c r="U431" s="26" t="n"/>
      <c r="V431" s="21" t="n"/>
    </row>
    <row r="432">
      <c r="A432" s="21" t="n"/>
      <c r="B432" s="26" t="n"/>
      <c r="C432" s="21" t="n"/>
      <c r="D432" s="25">
        <f>IF(C432="","",IFERROR(VLOOKUP(C432,Revendeurs!$A:$B,2,FALSE),"Code inconnu"))</f>
        <v/>
      </c>
      <c r="E432" s="21" t="n"/>
      <c r="F432" s="21" t="n"/>
      <c r="G432" s="22" t="n"/>
      <c r="H432" s="23">
        <f>IF(OR(F432="",G432=""),"",F432*G432)</f>
        <v/>
      </c>
      <c r="I432" s="26" t="n"/>
      <c r="J432" s="26" t="n"/>
      <c r="K432" s="25">
        <f>IF(B432="","",IF(J432&lt;&gt;"","Livrée",IF(I432="","À planifier",IF(Paramètres!$B$4&gt;I432+Paramètres!$B$8,"En retard","En cours"))))</f>
        <v/>
      </c>
      <c r="L432" s="25">
        <f>IF(K432="En retard",Paramètres!$B$4-I432,"")</f>
        <v/>
      </c>
      <c r="M432" s="27">
        <f>IF(OR(B432="",J432=""),"",J432+IFERROR(IF(VLOOKUP(C432,Revendeurs!$A:$G,7,FALSE)="",Paramètres!$B$9,VLOOKUP(C432,Revendeurs!$A:$G,7,FALSE)),Paramètres!$B$9))</f>
        <v/>
      </c>
      <c r="N432" s="22" t="n"/>
      <c r="O432" s="23">
        <f>IF(H432="","",H432-N432)</f>
        <v/>
      </c>
      <c r="P432" s="25">
        <f>IF(OR(M432="",O432=""),"",IF(O432&lt;=0,0,MAX(0,Paramètres!$B$4-M432)))</f>
        <v/>
      </c>
      <c r="Q432" s="25">
        <f>IF(H432="","",IF(O432&lt;=0,"Payée",IF(M432="","Pas encore livrée",IF(P432=0,"Non échue",IF(P432&gt;=Paramètres!$B$7,"Relance 3 : appel direction",IF(P432&gt;=Paramètres!$B$6,"Relance 2",IF(P432&gt;=Paramètres!$B$5,"Relance 1","Échue, relance à venir")))))))</f>
        <v/>
      </c>
      <c r="R432" s="25">
        <f>IF(B432="","",IF(U432=Paramètres!$B$4,"Relancé aujourd'hui",TRIM(IF(LEFT(Q432,7)="Relance",Q432&amp;" ","")&amp;IF(K432="En retard","· Prévenir du retard de livraison",""))))</f>
        <v/>
      </c>
      <c r="S432" s="28">
        <f>IF(B432="","",IF(LEFT(Q432,9)="Relance 3","Bonjour "&amp;D432&amp;", nous revenons vers vous au sujet de la commande "&amp;A432&amp;" du "&amp;TEXT(B432,"dd/mm/yyyy")&amp;" : "&amp;SUBSTITUTE(TEXT(O432,"#,##0"),","," ")&amp;" FCFA restent à régler depuis le "&amp;TEXT(M432,"dd/mm/yyyy")&amp;". Notre responsable souhaite vous appeler pour convenir ensemble d'une solution. Quel moment vous arrange cette semaine ? "&amp;Paramètres!$B$11&amp;", "&amp;Paramètres!$B$12,IF(LEFT(Q432,7)="Relance","Bonjour "&amp;D432&amp;", sauf erreur de notre part, la commande "&amp;A432&amp;" du "&amp;TEXT(B432,"dd/mm/yyyy")&amp;" ("&amp;E432&amp;") présente un reste à payer de "&amp;SUBSTITUTE(TEXT(O432,"#,##0"),","," ")&amp;" FCFA, échu depuis le "&amp;TEXT(M432,"dd/mm/yyyy")&amp;". Pouvez-vous nous indiquer la date de règlement prévue ? Si le paiement est déjà parti, merci de nous envoyer la preuve et ne tenez pas compte de ce message. "&amp;Paramètres!$B$11&amp;", "&amp;Paramètres!$B$12,IF(K432="En retard","Bonjour "&amp;D432&amp;", votre commande "&amp;A432&amp;" ("&amp;E432&amp;", "&amp;F432&amp;" pièces) prévue le "&amp;TEXT(I432,"dd/mm/yyyy")&amp;" a pris du retard. Nous vous confirmons la nouvelle date de livraison dans la journée. Toutes nos excuses pour ce contretemps. "&amp;Paramètres!$B$11&amp;", "&amp;Paramètres!$B$12,""))))</f>
        <v/>
      </c>
      <c r="T432" s="21" t="n"/>
      <c r="U432" s="26" t="n"/>
      <c r="V432" s="21" t="n"/>
    </row>
    <row r="433">
      <c r="A433" s="21" t="n"/>
      <c r="B433" s="26" t="n"/>
      <c r="C433" s="21" t="n"/>
      <c r="D433" s="25">
        <f>IF(C433="","",IFERROR(VLOOKUP(C433,Revendeurs!$A:$B,2,FALSE),"Code inconnu"))</f>
        <v/>
      </c>
      <c r="E433" s="21" t="n"/>
      <c r="F433" s="21" t="n"/>
      <c r="G433" s="22" t="n"/>
      <c r="H433" s="23">
        <f>IF(OR(F433="",G433=""),"",F433*G433)</f>
        <v/>
      </c>
      <c r="I433" s="26" t="n"/>
      <c r="J433" s="26" t="n"/>
      <c r="K433" s="25">
        <f>IF(B433="","",IF(J433&lt;&gt;"","Livrée",IF(I433="","À planifier",IF(Paramètres!$B$4&gt;I433+Paramètres!$B$8,"En retard","En cours"))))</f>
        <v/>
      </c>
      <c r="L433" s="25">
        <f>IF(K433="En retard",Paramètres!$B$4-I433,"")</f>
        <v/>
      </c>
      <c r="M433" s="27">
        <f>IF(OR(B433="",J433=""),"",J433+IFERROR(IF(VLOOKUP(C433,Revendeurs!$A:$G,7,FALSE)="",Paramètres!$B$9,VLOOKUP(C433,Revendeurs!$A:$G,7,FALSE)),Paramètres!$B$9))</f>
        <v/>
      </c>
      <c r="N433" s="22" t="n"/>
      <c r="O433" s="23">
        <f>IF(H433="","",H433-N433)</f>
        <v/>
      </c>
      <c r="P433" s="25">
        <f>IF(OR(M433="",O433=""),"",IF(O433&lt;=0,0,MAX(0,Paramètres!$B$4-M433)))</f>
        <v/>
      </c>
      <c r="Q433" s="25">
        <f>IF(H433="","",IF(O433&lt;=0,"Payée",IF(M433="","Pas encore livrée",IF(P433=0,"Non échue",IF(P433&gt;=Paramètres!$B$7,"Relance 3 : appel direction",IF(P433&gt;=Paramètres!$B$6,"Relance 2",IF(P433&gt;=Paramètres!$B$5,"Relance 1","Échue, relance à venir")))))))</f>
        <v/>
      </c>
      <c r="R433" s="25">
        <f>IF(B433="","",IF(U433=Paramètres!$B$4,"Relancé aujourd'hui",TRIM(IF(LEFT(Q433,7)="Relance",Q433&amp;" ","")&amp;IF(K433="En retard","· Prévenir du retard de livraison",""))))</f>
        <v/>
      </c>
      <c r="S433" s="28">
        <f>IF(B433="","",IF(LEFT(Q433,9)="Relance 3","Bonjour "&amp;D433&amp;", nous revenons vers vous au sujet de la commande "&amp;A433&amp;" du "&amp;TEXT(B433,"dd/mm/yyyy")&amp;" : "&amp;SUBSTITUTE(TEXT(O433,"#,##0"),","," ")&amp;" FCFA restent à régler depuis le "&amp;TEXT(M433,"dd/mm/yyyy")&amp;". Notre responsable souhaite vous appeler pour convenir ensemble d'une solution. Quel moment vous arrange cette semaine ? "&amp;Paramètres!$B$11&amp;", "&amp;Paramètres!$B$12,IF(LEFT(Q433,7)="Relance","Bonjour "&amp;D433&amp;", sauf erreur de notre part, la commande "&amp;A433&amp;" du "&amp;TEXT(B433,"dd/mm/yyyy")&amp;" ("&amp;E433&amp;") présente un reste à payer de "&amp;SUBSTITUTE(TEXT(O433,"#,##0"),","," ")&amp;" FCFA, échu depuis le "&amp;TEXT(M433,"dd/mm/yyyy")&amp;". Pouvez-vous nous indiquer la date de règlement prévue ? Si le paiement est déjà parti, merci de nous envoyer la preuve et ne tenez pas compte de ce message. "&amp;Paramètres!$B$11&amp;", "&amp;Paramètres!$B$12,IF(K433="En retard","Bonjour "&amp;D433&amp;", votre commande "&amp;A433&amp;" ("&amp;E433&amp;", "&amp;F433&amp;" pièces) prévue le "&amp;TEXT(I433,"dd/mm/yyyy")&amp;" a pris du retard. Nous vous confirmons la nouvelle date de livraison dans la journée. Toutes nos excuses pour ce contretemps. "&amp;Paramètres!$B$11&amp;", "&amp;Paramètres!$B$12,""))))</f>
        <v/>
      </c>
      <c r="T433" s="21" t="n"/>
      <c r="U433" s="26" t="n"/>
      <c r="V433" s="21" t="n"/>
    </row>
    <row r="434">
      <c r="A434" s="21" t="n"/>
      <c r="B434" s="26" t="n"/>
      <c r="C434" s="21" t="n"/>
      <c r="D434" s="25">
        <f>IF(C434="","",IFERROR(VLOOKUP(C434,Revendeurs!$A:$B,2,FALSE),"Code inconnu"))</f>
        <v/>
      </c>
      <c r="E434" s="21" t="n"/>
      <c r="F434" s="21" t="n"/>
      <c r="G434" s="22" t="n"/>
      <c r="H434" s="23">
        <f>IF(OR(F434="",G434=""),"",F434*G434)</f>
        <v/>
      </c>
      <c r="I434" s="26" t="n"/>
      <c r="J434" s="26" t="n"/>
      <c r="K434" s="25">
        <f>IF(B434="","",IF(J434&lt;&gt;"","Livrée",IF(I434="","À planifier",IF(Paramètres!$B$4&gt;I434+Paramètres!$B$8,"En retard","En cours"))))</f>
        <v/>
      </c>
      <c r="L434" s="25">
        <f>IF(K434="En retard",Paramètres!$B$4-I434,"")</f>
        <v/>
      </c>
      <c r="M434" s="27">
        <f>IF(OR(B434="",J434=""),"",J434+IFERROR(IF(VLOOKUP(C434,Revendeurs!$A:$G,7,FALSE)="",Paramètres!$B$9,VLOOKUP(C434,Revendeurs!$A:$G,7,FALSE)),Paramètres!$B$9))</f>
        <v/>
      </c>
      <c r="N434" s="22" t="n"/>
      <c r="O434" s="23">
        <f>IF(H434="","",H434-N434)</f>
        <v/>
      </c>
      <c r="P434" s="25">
        <f>IF(OR(M434="",O434=""),"",IF(O434&lt;=0,0,MAX(0,Paramètres!$B$4-M434)))</f>
        <v/>
      </c>
      <c r="Q434" s="25">
        <f>IF(H434="","",IF(O434&lt;=0,"Payée",IF(M434="","Pas encore livrée",IF(P434=0,"Non échue",IF(P434&gt;=Paramètres!$B$7,"Relance 3 : appel direction",IF(P434&gt;=Paramètres!$B$6,"Relance 2",IF(P434&gt;=Paramètres!$B$5,"Relance 1","Échue, relance à venir")))))))</f>
        <v/>
      </c>
      <c r="R434" s="25">
        <f>IF(B434="","",IF(U434=Paramètres!$B$4,"Relancé aujourd'hui",TRIM(IF(LEFT(Q434,7)="Relance",Q434&amp;" ","")&amp;IF(K434="En retard","· Prévenir du retard de livraison",""))))</f>
        <v/>
      </c>
      <c r="S434" s="28">
        <f>IF(B434="","",IF(LEFT(Q434,9)="Relance 3","Bonjour "&amp;D434&amp;", nous revenons vers vous au sujet de la commande "&amp;A434&amp;" du "&amp;TEXT(B434,"dd/mm/yyyy")&amp;" : "&amp;SUBSTITUTE(TEXT(O434,"#,##0"),","," ")&amp;" FCFA restent à régler depuis le "&amp;TEXT(M434,"dd/mm/yyyy")&amp;". Notre responsable souhaite vous appeler pour convenir ensemble d'une solution. Quel moment vous arrange cette semaine ? "&amp;Paramètres!$B$11&amp;", "&amp;Paramètres!$B$12,IF(LEFT(Q434,7)="Relance","Bonjour "&amp;D434&amp;", sauf erreur de notre part, la commande "&amp;A434&amp;" du "&amp;TEXT(B434,"dd/mm/yyyy")&amp;" ("&amp;E434&amp;") présente un reste à payer de "&amp;SUBSTITUTE(TEXT(O434,"#,##0"),","," ")&amp;" FCFA, échu depuis le "&amp;TEXT(M434,"dd/mm/yyyy")&amp;". Pouvez-vous nous indiquer la date de règlement prévue ? Si le paiement est déjà parti, merci de nous envoyer la preuve et ne tenez pas compte de ce message. "&amp;Paramètres!$B$11&amp;", "&amp;Paramètres!$B$12,IF(K434="En retard","Bonjour "&amp;D434&amp;", votre commande "&amp;A434&amp;" ("&amp;E434&amp;", "&amp;F434&amp;" pièces) prévue le "&amp;TEXT(I434,"dd/mm/yyyy")&amp;" a pris du retard. Nous vous confirmons la nouvelle date de livraison dans la journée. Toutes nos excuses pour ce contretemps. "&amp;Paramètres!$B$11&amp;", "&amp;Paramètres!$B$12,""))))</f>
        <v/>
      </c>
      <c r="T434" s="21" t="n"/>
      <c r="U434" s="26" t="n"/>
      <c r="V434" s="21" t="n"/>
    </row>
    <row r="435">
      <c r="A435" s="21" t="n"/>
      <c r="B435" s="26" t="n"/>
      <c r="C435" s="21" t="n"/>
      <c r="D435" s="25">
        <f>IF(C435="","",IFERROR(VLOOKUP(C435,Revendeurs!$A:$B,2,FALSE),"Code inconnu"))</f>
        <v/>
      </c>
      <c r="E435" s="21" t="n"/>
      <c r="F435" s="21" t="n"/>
      <c r="G435" s="22" t="n"/>
      <c r="H435" s="23">
        <f>IF(OR(F435="",G435=""),"",F435*G435)</f>
        <v/>
      </c>
      <c r="I435" s="26" t="n"/>
      <c r="J435" s="26" t="n"/>
      <c r="K435" s="25">
        <f>IF(B435="","",IF(J435&lt;&gt;"","Livrée",IF(I435="","À planifier",IF(Paramètres!$B$4&gt;I435+Paramètres!$B$8,"En retard","En cours"))))</f>
        <v/>
      </c>
      <c r="L435" s="25">
        <f>IF(K435="En retard",Paramètres!$B$4-I435,"")</f>
        <v/>
      </c>
      <c r="M435" s="27">
        <f>IF(OR(B435="",J435=""),"",J435+IFERROR(IF(VLOOKUP(C435,Revendeurs!$A:$G,7,FALSE)="",Paramètres!$B$9,VLOOKUP(C435,Revendeurs!$A:$G,7,FALSE)),Paramètres!$B$9))</f>
        <v/>
      </c>
      <c r="N435" s="22" t="n"/>
      <c r="O435" s="23">
        <f>IF(H435="","",H435-N435)</f>
        <v/>
      </c>
      <c r="P435" s="25">
        <f>IF(OR(M435="",O435=""),"",IF(O435&lt;=0,0,MAX(0,Paramètres!$B$4-M435)))</f>
        <v/>
      </c>
      <c r="Q435" s="25">
        <f>IF(H435="","",IF(O435&lt;=0,"Payée",IF(M435="","Pas encore livrée",IF(P435=0,"Non échue",IF(P435&gt;=Paramètres!$B$7,"Relance 3 : appel direction",IF(P435&gt;=Paramètres!$B$6,"Relance 2",IF(P435&gt;=Paramètres!$B$5,"Relance 1","Échue, relance à venir")))))))</f>
        <v/>
      </c>
      <c r="R435" s="25">
        <f>IF(B435="","",IF(U435=Paramètres!$B$4,"Relancé aujourd'hui",TRIM(IF(LEFT(Q435,7)="Relance",Q435&amp;" ","")&amp;IF(K435="En retard","· Prévenir du retard de livraison",""))))</f>
        <v/>
      </c>
      <c r="S435" s="28">
        <f>IF(B435="","",IF(LEFT(Q435,9)="Relance 3","Bonjour "&amp;D435&amp;", nous revenons vers vous au sujet de la commande "&amp;A435&amp;" du "&amp;TEXT(B435,"dd/mm/yyyy")&amp;" : "&amp;SUBSTITUTE(TEXT(O435,"#,##0"),","," ")&amp;" FCFA restent à régler depuis le "&amp;TEXT(M435,"dd/mm/yyyy")&amp;". Notre responsable souhaite vous appeler pour convenir ensemble d'une solution. Quel moment vous arrange cette semaine ? "&amp;Paramètres!$B$11&amp;", "&amp;Paramètres!$B$12,IF(LEFT(Q435,7)="Relance","Bonjour "&amp;D435&amp;", sauf erreur de notre part, la commande "&amp;A435&amp;" du "&amp;TEXT(B435,"dd/mm/yyyy")&amp;" ("&amp;E435&amp;") présente un reste à payer de "&amp;SUBSTITUTE(TEXT(O435,"#,##0"),","," ")&amp;" FCFA, échu depuis le "&amp;TEXT(M435,"dd/mm/yyyy")&amp;". Pouvez-vous nous indiquer la date de règlement prévue ? Si le paiement est déjà parti, merci de nous envoyer la preuve et ne tenez pas compte de ce message. "&amp;Paramètres!$B$11&amp;", "&amp;Paramètres!$B$12,IF(K435="En retard","Bonjour "&amp;D435&amp;", votre commande "&amp;A435&amp;" ("&amp;E435&amp;", "&amp;F435&amp;" pièces) prévue le "&amp;TEXT(I435,"dd/mm/yyyy")&amp;" a pris du retard. Nous vous confirmons la nouvelle date de livraison dans la journée. Toutes nos excuses pour ce contretemps. "&amp;Paramètres!$B$11&amp;", "&amp;Paramètres!$B$12,""))))</f>
        <v/>
      </c>
      <c r="T435" s="21" t="n"/>
      <c r="U435" s="26" t="n"/>
      <c r="V435" s="21" t="n"/>
    </row>
    <row r="436">
      <c r="A436" s="21" t="n"/>
      <c r="B436" s="26" t="n"/>
      <c r="C436" s="21" t="n"/>
      <c r="D436" s="25">
        <f>IF(C436="","",IFERROR(VLOOKUP(C436,Revendeurs!$A:$B,2,FALSE),"Code inconnu"))</f>
        <v/>
      </c>
      <c r="E436" s="21" t="n"/>
      <c r="F436" s="21" t="n"/>
      <c r="G436" s="22" t="n"/>
      <c r="H436" s="23">
        <f>IF(OR(F436="",G436=""),"",F436*G436)</f>
        <v/>
      </c>
      <c r="I436" s="26" t="n"/>
      <c r="J436" s="26" t="n"/>
      <c r="K436" s="25">
        <f>IF(B436="","",IF(J436&lt;&gt;"","Livrée",IF(I436="","À planifier",IF(Paramètres!$B$4&gt;I436+Paramètres!$B$8,"En retard","En cours"))))</f>
        <v/>
      </c>
      <c r="L436" s="25">
        <f>IF(K436="En retard",Paramètres!$B$4-I436,"")</f>
        <v/>
      </c>
      <c r="M436" s="27">
        <f>IF(OR(B436="",J436=""),"",J436+IFERROR(IF(VLOOKUP(C436,Revendeurs!$A:$G,7,FALSE)="",Paramètres!$B$9,VLOOKUP(C436,Revendeurs!$A:$G,7,FALSE)),Paramètres!$B$9))</f>
        <v/>
      </c>
      <c r="N436" s="22" t="n"/>
      <c r="O436" s="23">
        <f>IF(H436="","",H436-N436)</f>
        <v/>
      </c>
      <c r="P436" s="25">
        <f>IF(OR(M436="",O436=""),"",IF(O436&lt;=0,0,MAX(0,Paramètres!$B$4-M436)))</f>
        <v/>
      </c>
      <c r="Q436" s="25">
        <f>IF(H436="","",IF(O436&lt;=0,"Payée",IF(M436="","Pas encore livrée",IF(P436=0,"Non échue",IF(P436&gt;=Paramètres!$B$7,"Relance 3 : appel direction",IF(P436&gt;=Paramètres!$B$6,"Relance 2",IF(P436&gt;=Paramètres!$B$5,"Relance 1","Échue, relance à venir")))))))</f>
        <v/>
      </c>
      <c r="R436" s="25">
        <f>IF(B436="","",IF(U436=Paramètres!$B$4,"Relancé aujourd'hui",TRIM(IF(LEFT(Q436,7)="Relance",Q436&amp;" ","")&amp;IF(K436="En retard","· Prévenir du retard de livraison",""))))</f>
        <v/>
      </c>
      <c r="S436" s="28">
        <f>IF(B436="","",IF(LEFT(Q436,9)="Relance 3","Bonjour "&amp;D436&amp;", nous revenons vers vous au sujet de la commande "&amp;A436&amp;" du "&amp;TEXT(B436,"dd/mm/yyyy")&amp;" : "&amp;SUBSTITUTE(TEXT(O436,"#,##0"),","," ")&amp;" FCFA restent à régler depuis le "&amp;TEXT(M436,"dd/mm/yyyy")&amp;". Notre responsable souhaite vous appeler pour convenir ensemble d'une solution. Quel moment vous arrange cette semaine ? "&amp;Paramètres!$B$11&amp;", "&amp;Paramètres!$B$12,IF(LEFT(Q436,7)="Relance","Bonjour "&amp;D436&amp;", sauf erreur de notre part, la commande "&amp;A436&amp;" du "&amp;TEXT(B436,"dd/mm/yyyy")&amp;" ("&amp;E436&amp;") présente un reste à payer de "&amp;SUBSTITUTE(TEXT(O436,"#,##0"),","," ")&amp;" FCFA, échu depuis le "&amp;TEXT(M436,"dd/mm/yyyy")&amp;". Pouvez-vous nous indiquer la date de règlement prévue ? Si le paiement est déjà parti, merci de nous envoyer la preuve et ne tenez pas compte de ce message. "&amp;Paramètres!$B$11&amp;", "&amp;Paramètres!$B$12,IF(K436="En retard","Bonjour "&amp;D436&amp;", votre commande "&amp;A436&amp;" ("&amp;E436&amp;", "&amp;F436&amp;" pièces) prévue le "&amp;TEXT(I436,"dd/mm/yyyy")&amp;" a pris du retard. Nous vous confirmons la nouvelle date de livraison dans la journée. Toutes nos excuses pour ce contretemps. "&amp;Paramètres!$B$11&amp;", "&amp;Paramètres!$B$12,""))))</f>
        <v/>
      </c>
      <c r="T436" s="21" t="n"/>
      <c r="U436" s="26" t="n"/>
      <c r="V436" s="21" t="n"/>
    </row>
    <row r="437">
      <c r="A437" s="21" t="n"/>
      <c r="B437" s="26" t="n"/>
      <c r="C437" s="21" t="n"/>
      <c r="D437" s="25">
        <f>IF(C437="","",IFERROR(VLOOKUP(C437,Revendeurs!$A:$B,2,FALSE),"Code inconnu"))</f>
        <v/>
      </c>
      <c r="E437" s="21" t="n"/>
      <c r="F437" s="21" t="n"/>
      <c r="G437" s="22" t="n"/>
      <c r="H437" s="23">
        <f>IF(OR(F437="",G437=""),"",F437*G437)</f>
        <v/>
      </c>
      <c r="I437" s="26" t="n"/>
      <c r="J437" s="26" t="n"/>
      <c r="K437" s="25">
        <f>IF(B437="","",IF(J437&lt;&gt;"","Livrée",IF(I437="","À planifier",IF(Paramètres!$B$4&gt;I437+Paramètres!$B$8,"En retard","En cours"))))</f>
        <v/>
      </c>
      <c r="L437" s="25">
        <f>IF(K437="En retard",Paramètres!$B$4-I437,"")</f>
        <v/>
      </c>
      <c r="M437" s="27">
        <f>IF(OR(B437="",J437=""),"",J437+IFERROR(IF(VLOOKUP(C437,Revendeurs!$A:$G,7,FALSE)="",Paramètres!$B$9,VLOOKUP(C437,Revendeurs!$A:$G,7,FALSE)),Paramètres!$B$9))</f>
        <v/>
      </c>
      <c r="N437" s="22" t="n"/>
      <c r="O437" s="23">
        <f>IF(H437="","",H437-N437)</f>
        <v/>
      </c>
      <c r="P437" s="25">
        <f>IF(OR(M437="",O437=""),"",IF(O437&lt;=0,0,MAX(0,Paramètres!$B$4-M437)))</f>
        <v/>
      </c>
      <c r="Q437" s="25">
        <f>IF(H437="","",IF(O437&lt;=0,"Payée",IF(M437="","Pas encore livrée",IF(P437=0,"Non échue",IF(P437&gt;=Paramètres!$B$7,"Relance 3 : appel direction",IF(P437&gt;=Paramètres!$B$6,"Relance 2",IF(P437&gt;=Paramètres!$B$5,"Relance 1","Échue, relance à venir")))))))</f>
        <v/>
      </c>
      <c r="R437" s="25">
        <f>IF(B437="","",IF(U437=Paramètres!$B$4,"Relancé aujourd'hui",TRIM(IF(LEFT(Q437,7)="Relance",Q437&amp;" ","")&amp;IF(K437="En retard","· Prévenir du retard de livraison",""))))</f>
        <v/>
      </c>
      <c r="S437" s="28">
        <f>IF(B437="","",IF(LEFT(Q437,9)="Relance 3","Bonjour "&amp;D437&amp;", nous revenons vers vous au sujet de la commande "&amp;A437&amp;" du "&amp;TEXT(B437,"dd/mm/yyyy")&amp;" : "&amp;SUBSTITUTE(TEXT(O437,"#,##0"),","," ")&amp;" FCFA restent à régler depuis le "&amp;TEXT(M437,"dd/mm/yyyy")&amp;". Notre responsable souhaite vous appeler pour convenir ensemble d'une solution. Quel moment vous arrange cette semaine ? "&amp;Paramètres!$B$11&amp;", "&amp;Paramètres!$B$12,IF(LEFT(Q437,7)="Relance","Bonjour "&amp;D437&amp;", sauf erreur de notre part, la commande "&amp;A437&amp;" du "&amp;TEXT(B437,"dd/mm/yyyy")&amp;" ("&amp;E437&amp;") présente un reste à payer de "&amp;SUBSTITUTE(TEXT(O437,"#,##0"),","," ")&amp;" FCFA, échu depuis le "&amp;TEXT(M437,"dd/mm/yyyy")&amp;". Pouvez-vous nous indiquer la date de règlement prévue ? Si le paiement est déjà parti, merci de nous envoyer la preuve et ne tenez pas compte de ce message. "&amp;Paramètres!$B$11&amp;", "&amp;Paramètres!$B$12,IF(K437="En retard","Bonjour "&amp;D437&amp;", votre commande "&amp;A437&amp;" ("&amp;E437&amp;", "&amp;F437&amp;" pièces) prévue le "&amp;TEXT(I437,"dd/mm/yyyy")&amp;" a pris du retard. Nous vous confirmons la nouvelle date de livraison dans la journée. Toutes nos excuses pour ce contretemps. "&amp;Paramètres!$B$11&amp;", "&amp;Paramètres!$B$12,""))))</f>
        <v/>
      </c>
      <c r="T437" s="21" t="n"/>
      <c r="U437" s="26" t="n"/>
      <c r="V437" s="21" t="n"/>
    </row>
    <row r="438">
      <c r="A438" s="21" t="n"/>
      <c r="B438" s="26" t="n"/>
      <c r="C438" s="21" t="n"/>
      <c r="D438" s="25">
        <f>IF(C438="","",IFERROR(VLOOKUP(C438,Revendeurs!$A:$B,2,FALSE),"Code inconnu"))</f>
        <v/>
      </c>
      <c r="E438" s="21" t="n"/>
      <c r="F438" s="21" t="n"/>
      <c r="G438" s="22" t="n"/>
      <c r="H438" s="23">
        <f>IF(OR(F438="",G438=""),"",F438*G438)</f>
        <v/>
      </c>
      <c r="I438" s="26" t="n"/>
      <c r="J438" s="26" t="n"/>
      <c r="K438" s="25">
        <f>IF(B438="","",IF(J438&lt;&gt;"","Livrée",IF(I438="","À planifier",IF(Paramètres!$B$4&gt;I438+Paramètres!$B$8,"En retard","En cours"))))</f>
        <v/>
      </c>
      <c r="L438" s="25">
        <f>IF(K438="En retard",Paramètres!$B$4-I438,"")</f>
        <v/>
      </c>
      <c r="M438" s="27">
        <f>IF(OR(B438="",J438=""),"",J438+IFERROR(IF(VLOOKUP(C438,Revendeurs!$A:$G,7,FALSE)="",Paramètres!$B$9,VLOOKUP(C438,Revendeurs!$A:$G,7,FALSE)),Paramètres!$B$9))</f>
        <v/>
      </c>
      <c r="N438" s="22" t="n"/>
      <c r="O438" s="23">
        <f>IF(H438="","",H438-N438)</f>
        <v/>
      </c>
      <c r="P438" s="25">
        <f>IF(OR(M438="",O438=""),"",IF(O438&lt;=0,0,MAX(0,Paramètres!$B$4-M438)))</f>
        <v/>
      </c>
      <c r="Q438" s="25">
        <f>IF(H438="","",IF(O438&lt;=0,"Payée",IF(M438="","Pas encore livrée",IF(P438=0,"Non échue",IF(P438&gt;=Paramètres!$B$7,"Relance 3 : appel direction",IF(P438&gt;=Paramètres!$B$6,"Relance 2",IF(P438&gt;=Paramètres!$B$5,"Relance 1","Échue, relance à venir")))))))</f>
        <v/>
      </c>
      <c r="R438" s="25">
        <f>IF(B438="","",IF(U438=Paramètres!$B$4,"Relancé aujourd'hui",TRIM(IF(LEFT(Q438,7)="Relance",Q438&amp;" ","")&amp;IF(K438="En retard","· Prévenir du retard de livraison",""))))</f>
        <v/>
      </c>
      <c r="S438" s="28">
        <f>IF(B438="","",IF(LEFT(Q438,9)="Relance 3","Bonjour "&amp;D438&amp;", nous revenons vers vous au sujet de la commande "&amp;A438&amp;" du "&amp;TEXT(B438,"dd/mm/yyyy")&amp;" : "&amp;SUBSTITUTE(TEXT(O438,"#,##0"),","," ")&amp;" FCFA restent à régler depuis le "&amp;TEXT(M438,"dd/mm/yyyy")&amp;". Notre responsable souhaite vous appeler pour convenir ensemble d'une solution. Quel moment vous arrange cette semaine ? "&amp;Paramètres!$B$11&amp;", "&amp;Paramètres!$B$12,IF(LEFT(Q438,7)="Relance","Bonjour "&amp;D438&amp;", sauf erreur de notre part, la commande "&amp;A438&amp;" du "&amp;TEXT(B438,"dd/mm/yyyy")&amp;" ("&amp;E438&amp;") présente un reste à payer de "&amp;SUBSTITUTE(TEXT(O438,"#,##0"),","," ")&amp;" FCFA, échu depuis le "&amp;TEXT(M438,"dd/mm/yyyy")&amp;". Pouvez-vous nous indiquer la date de règlement prévue ? Si le paiement est déjà parti, merci de nous envoyer la preuve et ne tenez pas compte de ce message. "&amp;Paramètres!$B$11&amp;", "&amp;Paramètres!$B$12,IF(K438="En retard","Bonjour "&amp;D438&amp;", votre commande "&amp;A438&amp;" ("&amp;E438&amp;", "&amp;F438&amp;" pièces) prévue le "&amp;TEXT(I438,"dd/mm/yyyy")&amp;" a pris du retard. Nous vous confirmons la nouvelle date de livraison dans la journée. Toutes nos excuses pour ce contretemps. "&amp;Paramètres!$B$11&amp;", "&amp;Paramètres!$B$12,""))))</f>
        <v/>
      </c>
      <c r="T438" s="21" t="n"/>
      <c r="U438" s="26" t="n"/>
      <c r="V438" s="21" t="n"/>
    </row>
    <row r="439">
      <c r="A439" s="21" t="n"/>
      <c r="B439" s="26" t="n"/>
      <c r="C439" s="21" t="n"/>
      <c r="D439" s="25">
        <f>IF(C439="","",IFERROR(VLOOKUP(C439,Revendeurs!$A:$B,2,FALSE),"Code inconnu"))</f>
        <v/>
      </c>
      <c r="E439" s="21" t="n"/>
      <c r="F439" s="21" t="n"/>
      <c r="G439" s="22" t="n"/>
      <c r="H439" s="23">
        <f>IF(OR(F439="",G439=""),"",F439*G439)</f>
        <v/>
      </c>
      <c r="I439" s="26" t="n"/>
      <c r="J439" s="26" t="n"/>
      <c r="K439" s="25">
        <f>IF(B439="","",IF(J439&lt;&gt;"","Livrée",IF(I439="","À planifier",IF(Paramètres!$B$4&gt;I439+Paramètres!$B$8,"En retard","En cours"))))</f>
        <v/>
      </c>
      <c r="L439" s="25">
        <f>IF(K439="En retard",Paramètres!$B$4-I439,"")</f>
        <v/>
      </c>
      <c r="M439" s="27">
        <f>IF(OR(B439="",J439=""),"",J439+IFERROR(IF(VLOOKUP(C439,Revendeurs!$A:$G,7,FALSE)="",Paramètres!$B$9,VLOOKUP(C439,Revendeurs!$A:$G,7,FALSE)),Paramètres!$B$9))</f>
        <v/>
      </c>
      <c r="N439" s="22" t="n"/>
      <c r="O439" s="23">
        <f>IF(H439="","",H439-N439)</f>
        <v/>
      </c>
      <c r="P439" s="25">
        <f>IF(OR(M439="",O439=""),"",IF(O439&lt;=0,0,MAX(0,Paramètres!$B$4-M439)))</f>
        <v/>
      </c>
      <c r="Q439" s="25">
        <f>IF(H439="","",IF(O439&lt;=0,"Payée",IF(M439="","Pas encore livrée",IF(P439=0,"Non échue",IF(P439&gt;=Paramètres!$B$7,"Relance 3 : appel direction",IF(P439&gt;=Paramètres!$B$6,"Relance 2",IF(P439&gt;=Paramètres!$B$5,"Relance 1","Échue, relance à venir")))))))</f>
        <v/>
      </c>
      <c r="R439" s="25">
        <f>IF(B439="","",IF(U439=Paramètres!$B$4,"Relancé aujourd'hui",TRIM(IF(LEFT(Q439,7)="Relance",Q439&amp;" ","")&amp;IF(K439="En retard","· Prévenir du retard de livraison",""))))</f>
        <v/>
      </c>
      <c r="S439" s="28">
        <f>IF(B439="","",IF(LEFT(Q439,9)="Relance 3","Bonjour "&amp;D439&amp;", nous revenons vers vous au sujet de la commande "&amp;A439&amp;" du "&amp;TEXT(B439,"dd/mm/yyyy")&amp;" : "&amp;SUBSTITUTE(TEXT(O439,"#,##0"),","," ")&amp;" FCFA restent à régler depuis le "&amp;TEXT(M439,"dd/mm/yyyy")&amp;". Notre responsable souhaite vous appeler pour convenir ensemble d'une solution. Quel moment vous arrange cette semaine ? "&amp;Paramètres!$B$11&amp;", "&amp;Paramètres!$B$12,IF(LEFT(Q439,7)="Relance","Bonjour "&amp;D439&amp;", sauf erreur de notre part, la commande "&amp;A439&amp;" du "&amp;TEXT(B439,"dd/mm/yyyy")&amp;" ("&amp;E439&amp;") présente un reste à payer de "&amp;SUBSTITUTE(TEXT(O439,"#,##0"),","," ")&amp;" FCFA, échu depuis le "&amp;TEXT(M439,"dd/mm/yyyy")&amp;". Pouvez-vous nous indiquer la date de règlement prévue ? Si le paiement est déjà parti, merci de nous envoyer la preuve et ne tenez pas compte de ce message. "&amp;Paramètres!$B$11&amp;", "&amp;Paramètres!$B$12,IF(K439="En retard","Bonjour "&amp;D439&amp;", votre commande "&amp;A439&amp;" ("&amp;E439&amp;", "&amp;F439&amp;" pièces) prévue le "&amp;TEXT(I439,"dd/mm/yyyy")&amp;" a pris du retard. Nous vous confirmons la nouvelle date de livraison dans la journée. Toutes nos excuses pour ce contretemps. "&amp;Paramètres!$B$11&amp;", "&amp;Paramètres!$B$12,""))))</f>
        <v/>
      </c>
      <c r="T439" s="21" t="n"/>
      <c r="U439" s="26" t="n"/>
      <c r="V439" s="21" t="n"/>
    </row>
    <row r="440">
      <c r="A440" s="21" t="n"/>
      <c r="B440" s="26" t="n"/>
      <c r="C440" s="21" t="n"/>
      <c r="D440" s="25">
        <f>IF(C440="","",IFERROR(VLOOKUP(C440,Revendeurs!$A:$B,2,FALSE),"Code inconnu"))</f>
        <v/>
      </c>
      <c r="E440" s="21" t="n"/>
      <c r="F440" s="21" t="n"/>
      <c r="G440" s="22" t="n"/>
      <c r="H440" s="23">
        <f>IF(OR(F440="",G440=""),"",F440*G440)</f>
        <v/>
      </c>
      <c r="I440" s="26" t="n"/>
      <c r="J440" s="26" t="n"/>
      <c r="K440" s="25">
        <f>IF(B440="","",IF(J440&lt;&gt;"","Livrée",IF(I440="","À planifier",IF(Paramètres!$B$4&gt;I440+Paramètres!$B$8,"En retard","En cours"))))</f>
        <v/>
      </c>
      <c r="L440" s="25">
        <f>IF(K440="En retard",Paramètres!$B$4-I440,"")</f>
        <v/>
      </c>
      <c r="M440" s="27">
        <f>IF(OR(B440="",J440=""),"",J440+IFERROR(IF(VLOOKUP(C440,Revendeurs!$A:$G,7,FALSE)="",Paramètres!$B$9,VLOOKUP(C440,Revendeurs!$A:$G,7,FALSE)),Paramètres!$B$9))</f>
        <v/>
      </c>
      <c r="N440" s="22" t="n"/>
      <c r="O440" s="23">
        <f>IF(H440="","",H440-N440)</f>
        <v/>
      </c>
      <c r="P440" s="25">
        <f>IF(OR(M440="",O440=""),"",IF(O440&lt;=0,0,MAX(0,Paramètres!$B$4-M440)))</f>
        <v/>
      </c>
      <c r="Q440" s="25">
        <f>IF(H440="","",IF(O440&lt;=0,"Payée",IF(M440="","Pas encore livrée",IF(P440=0,"Non échue",IF(P440&gt;=Paramètres!$B$7,"Relance 3 : appel direction",IF(P440&gt;=Paramètres!$B$6,"Relance 2",IF(P440&gt;=Paramètres!$B$5,"Relance 1","Échue, relance à venir")))))))</f>
        <v/>
      </c>
      <c r="R440" s="25">
        <f>IF(B440="","",IF(U440=Paramètres!$B$4,"Relancé aujourd'hui",TRIM(IF(LEFT(Q440,7)="Relance",Q440&amp;" ","")&amp;IF(K440="En retard","· Prévenir du retard de livraison",""))))</f>
        <v/>
      </c>
      <c r="S440" s="28">
        <f>IF(B440="","",IF(LEFT(Q440,9)="Relance 3","Bonjour "&amp;D440&amp;", nous revenons vers vous au sujet de la commande "&amp;A440&amp;" du "&amp;TEXT(B440,"dd/mm/yyyy")&amp;" : "&amp;SUBSTITUTE(TEXT(O440,"#,##0"),","," ")&amp;" FCFA restent à régler depuis le "&amp;TEXT(M440,"dd/mm/yyyy")&amp;". Notre responsable souhaite vous appeler pour convenir ensemble d'une solution. Quel moment vous arrange cette semaine ? "&amp;Paramètres!$B$11&amp;", "&amp;Paramètres!$B$12,IF(LEFT(Q440,7)="Relance","Bonjour "&amp;D440&amp;", sauf erreur de notre part, la commande "&amp;A440&amp;" du "&amp;TEXT(B440,"dd/mm/yyyy")&amp;" ("&amp;E440&amp;") présente un reste à payer de "&amp;SUBSTITUTE(TEXT(O440,"#,##0"),","," ")&amp;" FCFA, échu depuis le "&amp;TEXT(M440,"dd/mm/yyyy")&amp;". Pouvez-vous nous indiquer la date de règlement prévue ? Si le paiement est déjà parti, merci de nous envoyer la preuve et ne tenez pas compte de ce message. "&amp;Paramètres!$B$11&amp;", "&amp;Paramètres!$B$12,IF(K440="En retard","Bonjour "&amp;D440&amp;", votre commande "&amp;A440&amp;" ("&amp;E440&amp;", "&amp;F440&amp;" pièces) prévue le "&amp;TEXT(I440,"dd/mm/yyyy")&amp;" a pris du retard. Nous vous confirmons la nouvelle date de livraison dans la journée. Toutes nos excuses pour ce contretemps. "&amp;Paramètres!$B$11&amp;", "&amp;Paramètres!$B$12,""))))</f>
        <v/>
      </c>
      <c r="T440" s="21" t="n"/>
      <c r="U440" s="26" t="n"/>
      <c r="V440" s="21" t="n"/>
    </row>
    <row r="441">
      <c r="A441" s="21" t="n"/>
      <c r="B441" s="26" t="n"/>
      <c r="C441" s="21" t="n"/>
      <c r="D441" s="25">
        <f>IF(C441="","",IFERROR(VLOOKUP(C441,Revendeurs!$A:$B,2,FALSE),"Code inconnu"))</f>
        <v/>
      </c>
      <c r="E441" s="21" t="n"/>
      <c r="F441" s="21" t="n"/>
      <c r="G441" s="22" t="n"/>
      <c r="H441" s="23">
        <f>IF(OR(F441="",G441=""),"",F441*G441)</f>
        <v/>
      </c>
      <c r="I441" s="26" t="n"/>
      <c r="J441" s="26" t="n"/>
      <c r="K441" s="25">
        <f>IF(B441="","",IF(J441&lt;&gt;"","Livrée",IF(I441="","À planifier",IF(Paramètres!$B$4&gt;I441+Paramètres!$B$8,"En retard","En cours"))))</f>
        <v/>
      </c>
      <c r="L441" s="25">
        <f>IF(K441="En retard",Paramètres!$B$4-I441,"")</f>
        <v/>
      </c>
      <c r="M441" s="27">
        <f>IF(OR(B441="",J441=""),"",J441+IFERROR(IF(VLOOKUP(C441,Revendeurs!$A:$G,7,FALSE)="",Paramètres!$B$9,VLOOKUP(C441,Revendeurs!$A:$G,7,FALSE)),Paramètres!$B$9))</f>
        <v/>
      </c>
      <c r="N441" s="22" t="n"/>
      <c r="O441" s="23">
        <f>IF(H441="","",H441-N441)</f>
        <v/>
      </c>
      <c r="P441" s="25">
        <f>IF(OR(M441="",O441=""),"",IF(O441&lt;=0,0,MAX(0,Paramètres!$B$4-M441)))</f>
        <v/>
      </c>
      <c r="Q441" s="25">
        <f>IF(H441="","",IF(O441&lt;=0,"Payée",IF(M441="","Pas encore livrée",IF(P441=0,"Non échue",IF(P441&gt;=Paramètres!$B$7,"Relance 3 : appel direction",IF(P441&gt;=Paramètres!$B$6,"Relance 2",IF(P441&gt;=Paramètres!$B$5,"Relance 1","Échue, relance à venir")))))))</f>
        <v/>
      </c>
      <c r="R441" s="25">
        <f>IF(B441="","",IF(U441=Paramètres!$B$4,"Relancé aujourd'hui",TRIM(IF(LEFT(Q441,7)="Relance",Q441&amp;" ","")&amp;IF(K441="En retard","· Prévenir du retard de livraison",""))))</f>
        <v/>
      </c>
      <c r="S441" s="28">
        <f>IF(B441="","",IF(LEFT(Q441,9)="Relance 3","Bonjour "&amp;D441&amp;", nous revenons vers vous au sujet de la commande "&amp;A441&amp;" du "&amp;TEXT(B441,"dd/mm/yyyy")&amp;" : "&amp;SUBSTITUTE(TEXT(O441,"#,##0"),","," ")&amp;" FCFA restent à régler depuis le "&amp;TEXT(M441,"dd/mm/yyyy")&amp;". Notre responsable souhaite vous appeler pour convenir ensemble d'une solution. Quel moment vous arrange cette semaine ? "&amp;Paramètres!$B$11&amp;", "&amp;Paramètres!$B$12,IF(LEFT(Q441,7)="Relance","Bonjour "&amp;D441&amp;", sauf erreur de notre part, la commande "&amp;A441&amp;" du "&amp;TEXT(B441,"dd/mm/yyyy")&amp;" ("&amp;E441&amp;") présente un reste à payer de "&amp;SUBSTITUTE(TEXT(O441,"#,##0"),","," ")&amp;" FCFA, échu depuis le "&amp;TEXT(M441,"dd/mm/yyyy")&amp;". Pouvez-vous nous indiquer la date de règlement prévue ? Si le paiement est déjà parti, merci de nous envoyer la preuve et ne tenez pas compte de ce message. "&amp;Paramètres!$B$11&amp;", "&amp;Paramètres!$B$12,IF(K441="En retard","Bonjour "&amp;D441&amp;", votre commande "&amp;A441&amp;" ("&amp;E441&amp;", "&amp;F441&amp;" pièces) prévue le "&amp;TEXT(I441,"dd/mm/yyyy")&amp;" a pris du retard. Nous vous confirmons la nouvelle date de livraison dans la journée. Toutes nos excuses pour ce contretemps. "&amp;Paramètres!$B$11&amp;", "&amp;Paramètres!$B$12,""))))</f>
        <v/>
      </c>
      <c r="T441" s="21" t="n"/>
      <c r="U441" s="26" t="n"/>
      <c r="V441" s="21" t="n"/>
    </row>
    <row r="442">
      <c r="A442" s="21" t="n"/>
      <c r="B442" s="26" t="n"/>
      <c r="C442" s="21" t="n"/>
      <c r="D442" s="25">
        <f>IF(C442="","",IFERROR(VLOOKUP(C442,Revendeurs!$A:$B,2,FALSE),"Code inconnu"))</f>
        <v/>
      </c>
      <c r="E442" s="21" t="n"/>
      <c r="F442" s="21" t="n"/>
      <c r="G442" s="22" t="n"/>
      <c r="H442" s="23">
        <f>IF(OR(F442="",G442=""),"",F442*G442)</f>
        <v/>
      </c>
      <c r="I442" s="26" t="n"/>
      <c r="J442" s="26" t="n"/>
      <c r="K442" s="25">
        <f>IF(B442="","",IF(J442&lt;&gt;"","Livrée",IF(I442="","À planifier",IF(Paramètres!$B$4&gt;I442+Paramètres!$B$8,"En retard","En cours"))))</f>
        <v/>
      </c>
      <c r="L442" s="25">
        <f>IF(K442="En retard",Paramètres!$B$4-I442,"")</f>
        <v/>
      </c>
      <c r="M442" s="27">
        <f>IF(OR(B442="",J442=""),"",J442+IFERROR(IF(VLOOKUP(C442,Revendeurs!$A:$G,7,FALSE)="",Paramètres!$B$9,VLOOKUP(C442,Revendeurs!$A:$G,7,FALSE)),Paramètres!$B$9))</f>
        <v/>
      </c>
      <c r="N442" s="22" t="n"/>
      <c r="O442" s="23">
        <f>IF(H442="","",H442-N442)</f>
        <v/>
      </c>
      <c r="P442" s="25">
        <f>IF(OR(M442="",O442=""),"",IF(O442&lt;=0,0,MAX(0,Paramètres!$B$4-M442)))</f>
        <v/>
      </c>
      <c r="Q442" s="25">
        <f>IF(H442="","",IF(O442&lt;=0,"Payée",IF(M442="","Pas encore livrée",IF(P442=0,"Non échue",IF(P442&gt;=Paramètres!$B$7,"Relance 3 : appel direction",IF(P442&gt;=Paramètres!$B$6,"Relance 2",IF(P442&gt;=Paramètres!$B$5,"Relance 1","Échue, relance à venir")))))))</f>
        <v/>
      </c>
      <c r="R442" s="25">
        <f>IF(B442="","",IF(U442=Paramètres!$B$4,"Relancé aujourd'hui",TRIM(IF(LEFT(Q442,7)="Relance",Q442&amp;" ","")&amp;IF(K442="En retard","· Prévenir du retard de livraison",""))))</f>
        <v/>
      </c>
      <c r="S442" s="28">
        <f>IF(B442="","",IF(LEFT(Q442,9)="Relance 3","Bonjour "&amp;D442&amp;", nous revenons vers vous au sujet de la commande "&amp;A442&amp;" du "&amp;TEXT(B442,"dd/mm/yyyy")&amp;" : "&amp;SUBSTITUTE(TEXT(O442,"#,##0"),","," ")&amp;" FCFA restent à régler depuis le "&amp;TEXT(M442,"dd/mm/yyyy")&amp;". Notre responsable souhaite vous appeler pour convenir ensemble d'une solution. Quel moment vous arrange cette semaine ? "&amp;Paramètres!$B$11&amp;", "&amp;Paramètres!$B$12,IF(LEFT(Q442,7)="Relance","Bonjour "&amp;D442&amp;", sauf erreur de notre part, la commande "&amp;A442&amp;" du "&amp;TEXT(B442,"dd/mm/yyyy")&amp;" ("&amp;E442&amp;") présente un reste à payer de "&amp;SUBSTITUTE(TEXT(O442,"#,##0"),","," ")&amp;" FCFA, échu depuis le "&amp;TEXT(M442,"dd/mm/yyyy")&amp;". Pouvez-vous nous indiquer la date de règlement prévue ? Si le paiement est déjà parti, merci de nous envoyer la preuve et ne tenez pas compte de ce message. "&amp;Paramètres!$B$11&amp;", "&amp;Paramètres!$B$12,IF(K442="En retard","Bonjour "&amp;D442&amp;", votre commande "&amp;A442&amp;" ("&amp;E442&amp;", "&amp;F442&amp;" pièces) prévue le "&amp;TEXT(I442,"dd/mm/yyyy")&amp;" a pris du retard. Nous vous confirmons la nouvelle date de livraison dans la journée. Toutes nos excuses pour ce contretemps. "&amp;Paramètres!$B$11&amp;", "&amp;Paramètres!$B$12,""))))</f>
        <v/>
      </c>
      <c r="T442" s="21" t="n"/>
      <c r="U442" s="26" t="n"/>
      <c r="V442" s="21" t="n"/>
    </row>
    <row r="443">
      <c r="A443" s="21" t="n"/>
      <c r="B443" s="26" t="n"/>
      <c r="C443" s="21" t="n"/>
      <c r="D443" s="25">
        <f>IF(C443="","",IFERROR(VLOOKUP(C443,Revendeurs!$A:$B,2,FALSE),"Code inconnu"))</f>
        <v/>
      </c>
      <c r="E443" s="21" t="n"/>
      <c r="F443" s="21" t="n"/>
      <c r="G443" s="22" t="n"/>
      <c r="H443" s="23">
        <f>IF(OR(F443="",G443=""),"",F443*G443)</f>
        <v/>
      </c>
      <c r="I443" s="26" t="n"/>
      <c r="J443" s="26" t="n"/>
      <c r="K443" s="25">
        <f>IF(B443="","",IF(J443&lt;&gt;"","Livrée",IF(I443="","À planifier",IF(Paramètres!$B$4&gt;I443+Paramètres!$B$8,"En retard","En cours"))))</f>
        <v/>
      </c>
      <c r="L443" s="25">
        <f>IF(K443="En retard",Paramètres!$B$4-I443,"")</f>
        <v/>
      </c>
      <c r="M443" s="27">
        <f>IF(OR(B443="",J443=""),"",J443+IFERROR(IF(VLOOKUP(C443,Revendeurs!$A:$G,7,FALSE)="",Paramètres!$B$9,VLOOKUP(C443,Revendeurs!$A:$G,7,FALSE)),Paramètres!$B$9))</f>
        <v/>
      </c>
      <c r="N443" s="22" t="n"/>
      <c r="O443" s="23">
        <f>IF(H443="","",H443-N443)</f>
        <v/>
      </c>
      <c r="P443" s="25">
        <f>IF(OR(M443="",O443=""),"",IF(O443&lt;=0,0,MAX(0,Paramètres!$B$4-M443)))</f>
        <v/>
      </c>
      <c r="Q443" s="25">
        <f>IF(H443="","",IF(O443&lt;=0,"Payée",IF(M443="","Pas encore livrée",IF(P443=0,"Non échue",IF(P443&gt;=Paramètres!$B$7,"Relance 3 : appel direction",IF(P443&gt;=Paramètres!$B$6,"Relance 2",IF(P443&gt;=Paramètres!$B$5,"Relance 1","Échue, relance à venir")))))))</f>
        <v/>
      </c>
      <c r="R443" s="25">
        <f>IF(B443="","",IF(U443=Paramètres!$B$4,"Relancé aujourd'hui",TRIM(IF(LEFT(Q443,7)="Relance",Q443&amp;" ","")&amp;IF(K443="En retard","· Prévenir du retard de livraison",""))))</f>
        <v/>
      </c>
      <c r="S443" s="28">
        <f>IF(B443="","",IF(LEFT(Q443,9)="Relance 3","Bonjour "&amp;D443&amp;", nous revenons vers vous au sujet de la commande "&amp;A443&amp;" du "&amp;TEXT(B443,"dd/mm/yyyy")&amp;" : "&amp;SUBSTITUTE(TEXT(O443,"#,##0"),","," ")&amp;" FCFA restent à régler depuis le "&amp;TEXT(M443,"dd/mm/yyyy")&amp;". Notre responsable souhaite vous appeler pour convenir ensemble d'une solution. Quel moment vous arrange cette semaine ? "&amp;Paramètres!$B$11&amp;", "&amp;Paramètres!$B$12,IF(LEFT(Q443,7)="Relance","Bonjour "&amp;D443&amp;", sauf erreur de notre part, la commande "&amp;A443&amp;" du "&amp;TEXT(B443,"dd/mm/yyyy")&amp;" ("&amp;E443&amp;") présente un reste à payer de "&amp;SUBSTITUTE(TEXT(O443,"#,##0"),","," ")&amp;" FCFA, échu depuis le "&amp;TEXT(M443,"dd/mm/yyyy")&amp;". Pouvez-vous nous indiquer la date de règlement prévue ? Si le paiement est déjà parti, merci de nous envoyer la preuve et ne tenez pas compte de ce message. "&amp;Paramètres!$B$11&amp;", "&amp;Paramètres!$B$12,IF(K443="En retard","Bonjour "&amp;D443&amp;", votre commande "&amp;A443&amp;" ("&amp;E443&amp;", "&amp;F443&amp;" pièces) prévue le "&amp;TEXT(I443,"dd/mm/yyyy")&amp;" a pris du retard. Nous vous confirmons la nouvelle date de livraison dans la journée. Toutes nos excuses pour ce contretemps. "&amp;Paramètres!$B$11&amp;", "&amp;Paramètres!$B$12,""))))</f>
        <v/>
      </c>
      <c r="T443" s="21" t="n"/>
      <c r="U443" s="26" t="n"/>
      <c r="V443" s="21" t="n"/>
    </row>
    <row r="444">
      <c r="A444" s="21" t="n"/>
      <c r="B444" s="26" t="n"/>
      <c r="C444" s="21" t="n"/>
      <c r="D444" s="25">
        <f>IF(C444="","",IFERROR(VLOOKUP(C444,Revendeurs!$A:$B,2,FALSE),"Code inconnu"))</f>
        <v/>
      </c>
      <c r="E444" s="21" t="n"/>
      <c r="F444" s="21" t="n"/>
      <c r="G444" s="22" t="n"/>
      <c r="H444" s="23">
        <f>IF(OR(F444="",G444=""),"",F444*G444)</f>
        <v/>
      </c>
      <c r="I444" s="26" t="n"/>
      <c r="J444" s="26" t="n"/>
      <c r="K444" s="25">
        <f>IF(B444="","",IF(J444&lt;&gt;"","Livrée",IF(I444="","À planifier",IF(Paramètres!$B$4&gt;I444+Paramètres!$B$8,"En retard","En cours"))))</f>
        <v/>
      </c>
      <c r="L444" s="25">
        <f>IF(K444="En retard",Paramètres!$B$4-I444,"")</f>
        <v/>
      </c>
      <c r="M444" s="27">
        <f>IF(OR(B444="",J444=""),"",J444+IFERROR(IF(VLOOKUP(C444,Revendeurs!$A:$G,7,FALSE)="",Paramètres!$B$9,VLOOKUP(C444,Revendeurs!$A:$G,7,FALSE)),Paramètres!$B$9))</f>
        <v/>
      </c>
      <c r="N444" s="22" t="n"/>
      <c r="O444" s="23">
        <f>IF(H444="","",H444-N444)</f>
        <v/>
      </c>
      <c r="P444" s="25">
        <f>IF(OR(M444="",O444=""),"",IF(O444&lt;=0,0,MAX(0,Paramètres!$B$4-M444)))</f>
        <v/>
      </c>
      <c r="Q444" s="25">
        <f>IF(H444="","",IF(O444&lt;=0,"Payée",IF(M444="","Pas encore livrée",IF(P444=0,"Non échue",IF(P444&gt;=Paramètres!$B$7,"Relance 3 : appel direction",IF(P444&gt;=Paramètres!$B$6,"Relance 2",IF(P444&gt;=Paramètres!$B$5,"Relance 1","Échue, relance à venir")))))))</f>
        <v/>
      </c>
      <c r="R444" s="25">
        <f>IF(B444="","",IF(U444=Paramètres!$B$4,"Relancé aujourd'hui",TRIM(IF(LEFT(Q444,7)="Relance",Q444&amp;" ","")&amp;IF(K444="En retard","· Prévenir du retard de livraison",""))))</f>
        <v/>
      </c>
      <c r="S444" s="28">
        <f>IF(B444="","",IF(LEFT(Q444,9)="Relance 3","Bonjour "&amp;D444&amp;", nous revenons vers vous au sujet de la commande "&amp;A444&amp;" du "&amp;TEXT(B444,"dd/mm/yyyy")&amp;" : "&amp;SUBSTITUTE(TEXT(O444,"#,##0"),","," ")&amp;" FCFA restent à régler depuis le "&amp;TEXT(M444,"dd/mm/yyyy")&amp;". Notre responsable souhaite vous appeler pour convenir ensemble d'une solution. Quel moment vous arrange cette semaine ? "&amp;Paramètres!$B$11&amp;", "&amp;Paramètres!$B$12,IF(LEFT(Q444,7)="Relance","Bonjour "&amp;D444&amp;", sauf erreur de notre part, la commande "&amp;A444&amp;" du "&amp;TEXT(B444,"dd/mm/yyyy")&amp;" ("&amp;E444&amp;") présente un reste à payer de "&amp;SUBSTITUTE(TEXT(O444,"#,##0"),","," ")&amp;" FCFA, échu depuis le "&amp;TEXT(M444,"dd/mm/yyyy")&amp;". Pouvez-vous nous indiquer la date de règlement prévue ? Si le paiement est déjà parti, merci de nous envoyer la preuve et ne tenez pas compte de ce message. "&amp;Paramètres!$B$11&amp;", "&amp;Paramètres!$B$12,IF(K444="En retard","Bonjour "&amp;D444&amp;", votre commande "&amp;A444&amp;" ("&amp;E444&amp;", "&amp;F444&amp;" pièces) prévue le "&amp;TEXT(I444,"dd/mm/yyyy")&amp;" a pris du retard. Nous vous confirmons la nouvelle date de livraison dans la journée. Toutes nos excuses pour ce contretemps. "&amp;Paramètres!$B$11&amp;", "&amp;Paramètres!$B$12,""))))</f>
        <v/>
      </c>
      <c r="T444" s="21" t="n"/>
      <c r="U444" s="26" t="n"/>
      <c r="V444" s="21" t="n"/>
    </row>
    <row r="445">
      <c r="A445" s="21" t="n"/>
      <c r="B445" s="26" t="n"/>
      <c r="C445" s="21" t="n"/>
      <c r="D445" s="25">
        <f>IF(C445="","",IFERROR(VLOOKUP(C445,Revendeurs!$A:$B,2,FALSE),"Code inconnu"))</f>
        <v/>
      </c>
      <c r="E445" s="21" t="n"/>
      <c r="F445" s="21" t="n"/>
      <c r="G445" s="22" t="n"/>
      <c r="H445" s="23">
        <f>IF(OR(F445="",G445=""),"",F445*G445)</f>
        <v/>
      </c>
      <c r="I445" s="26" t="n"/>
      <c r="J445" s="26" t="n"/>
      <c r="K445" s="25">
        <f>IF(B445="","",IF(J445&lt;&gt;"","Livrée",IF(I445="","À planifier",IF(Paramètres!$B$4&gt;I445+Paramètres!$B$8,"En retard","En cours"))))</f>
        <v/>
      </c>
      <c r="L445" s="25">
        <f>IF(K445="En retard",Paramètres!$B$4-I445,"")</f>
        <v/>
      </c>
      <c r="M445" s="27">
        <f>IF(OR(B445="",J445=""),"",J445+IFERROR(IF(VLOOKUP(C445,Revendeurs!$A:$G,7,FALSE)="",Paramètres!$B$9,VLOOKUP(C445,Revendeurs!$A:$G,7,FALSE)),Paramètres!$B$9))</f>
        <v/>
      </c>
      <c r="N445" s="22" t="n"/>
      <c r="O445" s="23">
        <f>IF(H445="","",H445-N445)</f>
        <v/>
      </c>
      <c r="P445" s="25">
        <f>IF(OR(M445="",O445=""),"",IF(O445&lt;=0,0,MAX(0,Paramètres!$B$4-M445)))</f>
        <v/>
      </c>
      <c r="Q445" s="25">
        <f>IF(H445="","",IF(O445&lt;=0,"Payée",IF(M445="","Pas encore livrée",IF(P445=0,"Non échue",IF(P445&gt;=Paramètres!$B$7,"Relance 3 : appel direction",IF(P445&gt;=Paramètres!$B$6,"Relance 2",IF(P445&gt;=Paramètres!$B$5,"Relance 1","Échue, relance à venir")))))))</f>
        <v/>
      </c>
      <c r="R445" s="25">
        <f>IF(B445="","",IF(U445=Paramètres!$B$4,"Relancé aujourd'hui",TRIM(IF(LEFT(Q445,7)="Relance",Q445&amp;" ","")&amp;IF(K445="En retard","· Prévenir du retard de livraison",""))))</f>
        <v/>
      </c>
      <c r="S445" s="28">
        <f>IF(B445="","",IF(LEFT(Q445,9)="Relance 3","Bonjour "&amp;D445&amp;", nous revenons vers vous au sujet de la commande "&amp;A445&amp;" du "&amp;TEXT(B445,"dd/mm/yyyy")&amp;" : "&amp;SUBSTITUTE(TEXT(O445,"#,##0"),","," ")&amp;" FCFA restent à régler depuis le "&amp;TEXT(M445,"dd/mm/yyyy")&amp;". Notre responsable souhaite vous appeler pour convenir ensemble d'une solution. Quel moment vous arrange cette semaine ? "&amp;Paramètres!$B$11&amp;", "&amp;Paramètres!$B$12,IF(LEFT(Q445,7)="Relance","Bonjour "&amp;D445&amp;", sauf erreur de notre part, la commande "&amp;A445&amp;" du "&amp;TEXT(B445,"dd/mm/yyyy")&amp;" ("&amp;E445&amp;") présente un reste à payer de "&amp;SUBSTITUTE(TEXT(O445,"#,##0"),","," ")&amp;" FCFA, échu depuis le "&amp;TEXT(M445,"dd/mm/yyyy")&amp;". Pouvez-vous nous indiquer la date de règlement prévue ? Si le paiement est déjà parti, merci de nous envoyer la preuve et ne tenez pas compte de ce message. "&amp;Paramètres!$B$11&amp;", "&amp;Paramètres!$B$12,IF(K445="En retard","Bonjour "&amp;D445&amp;", votre commande "&amp;A445&amp;" ("&amp;E445&amp;", "&amp;F445&amp;" pièces) prévue le "&amp;TEXT(I445,"dd/mm/yyyy")&amp;" a pris du retard. Nous vous confirmons la nouvelle date de livraison dans la journée. Toutes nos excuses pour ce contretemps. "&amp;Paramètres!$B$11&amp;", "&amp;Paramètres!$B$12,""))))</f>
        <v/>
      </c>
      <c r="T445" s="21" t="n"/>
      <c r="U445" s="26" t="n"/>
      <c r="V445" s="21" t="n"/>
    </row>
    <row r="446">
      <c r="A446" s="21" t="n"/>
      <c r="B446" s="26" t="n"/>
      <c r="C446" s="21" t="n"/>
      <c r="D446" s="25">
        <f>IF(C446="","",IFERROR(VLOOKUP(C446,Revendeurs!$A:$B,2,FALSE),"Code inconnu"))</f>
        <v/>
      </c>
      <c r="E446" s="21" t="n"/>
      <c r="F446" s="21" t="n"/>
      <c r="G446" s="22" t="n"/>
      <c r="H446" s="23">
        <f>IF(OR(F446="",G446=""),"",F446*G446)</f>
        <v/>
      </c>
      <c r="I446" s="26" t="n"/>
      <c r="J446" s="26" t="n"/>
      <c r="K446" s="25">
        <f>IF(B446="","",IF(J446&lt;&gt;"","Livrée",IF(I446="","À planifier",IF(Paramètres!$B$4&gt;I446+Paramètres!$B$8,"En retard","En cours"))))</f>
        <v/>
      </c>
      <c r="L446" s="25">
        <f>IF(K446="En retard",Paramètres!$B$4-I446,"")</f>
        <v/>
      </c>
      <c r="M446" s="27">
        <f>IF(OR(B446="",J446=""),"",J446+IFERROR(IF(VLOOKUP(C446,Revendeurs!$A:$G,7,FALSE)="",Paramètres!$B$9,VLOOKUP(C446,Revendeurs!$A:$G,7,FALSE)),Paramètres!$B$9))</f>
        <v/>
      </c>
      <c r="N446" s="22" t="n"/>
      <c r="O446" s="23">
        <f>IF(H446="","",H446-N446)</f>
        <v/>
      </c>
      <c r="P446" s="25">
        <f>IF(OR(M446="",O446=""),"",IF(O446&lt;=0,0,MAX(0,Paramètres!$B$4-M446)))</f>
        <v/>
      </c>
      <c r="Q446" s="25">
        <f>IF(H446="","",IF(O446&lt;=0,"Payée",IF(M446="","Pas encore livrée",IF(P446=0,"Non échue",IF(P446&gt;=Paramètres!$B$7,"Relance 3 : appel direction",IF(P446&gt;=Paramètres!$B$6,"Relance 2",IF(P446&gt;=Paramètres!$B$5,"Relance 1","Échue, relance à venir")))))))</f>
        <v/>
      </c>
      <c r="R446" s="25">
        <f>IF(B446="","",IF(U446=Paramètres!$B$4,"Relancé aujourd'hui",TRIM(IF(LEFT(Q446,7)="Relance",Q446&amp;" ","")&amp;IF(K446="En retard","· Prévenir du retard de livraison",""))))</f>
        <v/>
      </c>
      <c r="S446" s="28">
        <f>IF(B446="","",IF(LEFT(Q446,9)="Relance 3","Bonjour "&amp;D446&amp;", nous revenons vers vous au sujet de la commande "&amp;A446&amp;" du "&amp;TEXT(B446,"dd/mm/yyyy")&amp;" : "&amp;SUBSTITUTE(TEXT(O446,"#,##0"),","," ")&amp;" FCFA restent à régler depuis le "&amp;TEXT(M446,"dd/mm/yyyy")&amp;". Notre responsable souhaite vous appeler pour convenir ensemble d'une solution. Quel moment vous arrange cette semaine ? "&amp;Paramètres!$B$11&amp;", "&amp;Paramètres!$B$12,IF(LEFT(Q446,7)="Relance","Bonjour "&amp;D446&amp;", sauf erreur de notre part, la commande "&amp;A446&amp;" du "&amp;TEXT(B446,"dd/mm/yyyy")&amp;" ("&amp;E446&amp;") présente un reste à payer de "&amp;SUBSTITUTE(TEXT(O446,"#,##0"),","," ")&amp;" FCFA, échu depuis le "&amp;TEXT(M446,"dd/mm/yyyy")&amp;". Pouvez-vous nous indiquer la date de règlement prévue ? Si le paiement est déjà parti, merci de nous envoyer la preuve et ne tenez pas compte de ce message. "&amp;Paramètres!$B$11&amp;", "&amp;Paramètres!$B$12,IF(K446="En retard","Bonjour "&amp;D446&amp;", votre commande "&amp;A446&amp;" ("&amp;E446&amp;", "&amp;F446&amp;" pièces) prévue le "&amp;TEXT(I446,"dd/mm/yyyy")&amp;" a pris du retard. Nous vous confirmons la nouvelle date de livraison dans la journée. Toutes nos excuses pour ce contretemps. "&amp;Paramètres!$B$11&amp;", "&amp;Paramètres!$B$12,""))))</f>
        <v/>
      </c>
      <c r="T446" s="21" t="n"/>
      <c r="U446" s="26" t="n"/>
      <c r="V446" s="21" t="n"/>
    </row>
    <row r="447">
      <c r="A447" s="21" t="n"/>
      <c r="B447" s="26" t="n"/>
      <c r="C447" s="21" t="n"/>
      <c r="D447" s="25">
        <f>IF(C447="","",IFERROR(VLOOKUP(C447,Revendeurs!$A:$B,2,FALSE),"Code inconnu"))</f>
        <v/>
      </c>
      <c r="E447" s="21" t="n"/>
      <c r="F447" s="21" t="n"/>
      <c r="G447" s="22" t="n"/>
      <c r="H447" s="23">
        <f>IF(OR(F447="",G447=""),"",F447*G447)</f>
        <v/>
      </c>
      <c r="I447" s="26" t="n"/>
      <c r="J447" s="26" t="n"/>
      <c r="K447" s="25">
        <f>IF(B447="","",IF(J447&lt;&gt;"","Livrée",IF(I447="","À planifier",IF(Paramètres!$B$4&gt;I447+Paramètres!$B$8,"En retard","En cours"))))</f>
        <v/>
      </c>
      <c r="L447" s="25">
        <f>IF(K447="En retard",Paramètres!$B$4-I447,"")</f>
        <v/>
      </c>
      <c r="M447" s="27">
        <f>IF(OR(B447="",J447=""),"",J447+IFERROR(IF(VLOOKUP(C447,Revendeurs!$A:$G,7,FALSE)="",Paramètres!$B$9,VLOOKUP(C447,Revendeurs!$A:$G,7,FALSE)),Paramètres!$B$9))</f>
        <v/>
      </c>
      <c r="N447" s="22" t="n"/>
      <c r="O447" s="23">
        <f>IF(H447="","",H447-N447)</f>
        <v/>
      </c>
      <c r="P447" s="25">
        <f>IF(OR(M447="",O447=""),"",IF(O447&lt;=0,0,MAX(0,Paramètres!$B$4-M447)))</f>
        <v/>
      </c>
      <c r="Q447" s="25">
        <f>IF(H447="","",IF(O447&lt;=0,"Payée",IF(M447="","Pas encore livrée",IF(P447=0,"Non échue",IF(P447&gt;=Paramètres!$B$7,"Relance 3 : appel direction",IF(P447&gt;=Paramètres!$B$6,"Relance 2",IF(P447&gt;=Paramètres!$B$5,"Relance 1","Échue, relance à venir")))))))</f>
        <v/>
      </c>
      <c r="R447" s="25">
        <f>IF(B447="","",IF(U447=Paramètres!$B$4,"Relancé aujourd'hui",TRIM(IF(LEFT(Q447,7)="Relance",Q447&amp;" ","")&amp;IF(K447="En retard","· Prévenir du retard de livraison",""))))</f>
        <v/>
      </c>
      <c r="S447" s="28">
        <f>IF(B447="","",IF(LEFT(Q447,9)="Relance 3","Bonjour "&amp;D447&amp;", nous revenons vers vous au sujet de la commande "&amp;A447&amp;" du "&amp;TEXT(B447,"dd/mm/yyyy")&amp;" : "&amp;SUBSTITUTE(TEXT(O447,"#,##0"),","," ")&amp;" FCFA restent à régler depuis le "&amp;TEXT(M447,"dd/mm/yyyy")&amp;". Notre responsable souhaite vous appeler pour convenir ensemble d'une solution. Quel moment vous arrange cette semaine ? "&amp;Paramètres!$B$11&amp;", "&amp;Paramètres!$B$12,IF(LEFT(Q447,7)="Relance","Bonjour "&amp;D447&amp;", sauf erreur de notre part, la commande "&amp;A447&amp;" du "&amp;TEXT(B447,"dd/mm/yyyy")&amp;" ("&amp;E447&amp;") présente un reste à payer de "&amp;SUBSTITUTE(TEXT(O447,"#,##0"),","," ")&amp;" FCFA, échu depuis le "&amp;TEXT(M447,"dd/mm/yyyy")&amp;". Pouvez-vous nous indiquer la date de règlement prévue ? Si le paiement est déjà parti, merci de nous envoyer la preuve et ne tenez pas compte de ce message. "&amp;Paramètres!$B$11&amp;", "&amp;Paramètres!$B$12,IF(K447="En retard","Bonjour "&amp;D447&amp;", votre commande "&amp;A447&amp;" ("&amp;E447&amp;", "&amp;F447&amp;" pièces) prévue le "&amp;TEXT(I447,"dd/mm/yyyy")&amp;" a pris du retard. Nous vous confirmons la nouvelle date de livraison dans la journée. Toutes nos excuses pour ce contretemps. "&amp;Paramètres!$B$11&amp;", "&amp;Paramètres!$B$12,""))))</f>
        <v/>
      </c>
      <c r="T447" s="21" t="n"/>
      <c r="U447" s="26" t="n"/>
      <c r="V447" s="21" t="n"/>
    </row>
    <row r="448">
      <c r="A448" s="21" t="n"/>
      <c r="B448" s="26" t="n"/>
      <c r="C448" s="21" t="n"/>
      <c r="D448" s="25">
        <f>IF(C448="","",IFERROR(VLOOKUP(C448,Revendeurs!$A:$B,2,FALSE),"Code inconnu"))</f>
        <v/>
      </c>
      <c r="E448" s="21" t="n"/>
      <c r="F448" s="21" t="n"/>
      <c r="G448" s="22" t="n"/>
      <c r="H448" s="23">
        <f>IF(OR(F448="",G448=""),"",F448*G448)</f>
        <v/>
      </c>
      <c r="I448" s="26" t="n"/>
      <c r="J448" s="26" t="n"/>
      <c r="K448" s="25">
        <f>IF(B448="","",IF(J448&lt;&gt;"","Livrée",IF(I448="","À planifier",IF(Paramètres!$B$4&gt;I448+Paramètres!$B$8,"En retard","En cours"))))</f>
        <v/>
      </c>
      <c r="L448" s="25">
        <f>IF(K448="En retard",Paramètres!$B$4-I448,"")</f>
        <v/>
      </c>
      <c r="M448" s="27">
        <f>IF(OR(B448="",J448=""),"",J448+IFERROR(IF(VLOOKUP(C448,Revendeurs!$A:$G,7,FALSE)="",Paramètres!$B$9,VLOOKUP(C448,Revendeurs!$A:$G,7,FALSE)),Paramètres!$B$9))</f>
        <v/>
      </c>
      <c r="N448" s="22" t="n"/>
      <c r="O448" s="23">
        <f>IF(H448="","",H448-N448)</f>
        <v/>
      </c>
      <c r="P448" s="25">
        <f>IF(OR(M448="",O448=""),"",IF(O448&lt;=0,0,MAX(0,Paramètres!$B$4-M448)))</f>
        <v/>
      </c>
      <c r="Q448" s="25">
        <f>IF(H448="","",IF(O448&lt;=0,"Payée",IF(M448="","Pas encore livrée",IF(P448=0,"Non échue",IF(P448&gt;=Paramètres!$B$7,"Relance 3 : appel direction",IF(P448&gt;=Paramètres!$B$6,"Relance 2",IF(P448&gt;=Paramètres!$B$5,"Relance 1","Échue, relance à venir")))))))</f>
        <v/>
      </c>
      <c r="R448" s="25">
        <f>IF(B448="","",IF(U448=Paramètres!$B$4,"Relancé aujourd'hui",TRIM(IF(LEFT(Q448,7)="Relance",Q448&amp;" ","")&amp;IF(K448="En retard","· Prévenir du retard de livraison",""))))</f>
        <v/>
      </c>
      <c r="S448" s="28">
        <f>IF(B448="","",IF(LEFT(Q448,9)="Relance 3","Bonjour "&amp;D448&amp;", nous revenons vers vous au sujet de la commande "&amp;A448&amp;" du "&amp;TEXT(B448,"dd/mm/yyyy")&amp;" : "&amp;SUBSTITUTE(TEXT(O448,"#,##0"),","," ")&amp;" FCFA restent à régler depuis le "&amp;TEXT(M448,"dd/mm/yyyy")&amp;". Notre responsable souhaite vous appeler pour convenir ensemble d'une solution. Quel moment vous arrange cette semaine ? "&amp;Paramètres!$B$11&amp;", "&amp;Paramètres!$B$12,IF(LEFT(Q448,7)="Relance","Bonjour "&amp;D448&amp;", sauf erreur de notre part, la commande "&amp;A448&amp;" du "&amp;TEXT(B448,"dd/mm/yyyy")&amp;" ("&amp;E448&amp;") présente un reste à payer de "&amp;SUBSTITUTE(TEXT(O448,"#,##0"),","," ")&amp;" FCFA, échu depuis le "&amp;TEXT(M448,"dd/mm/yyyy")&amp;". Pouvez-vous nous indiquer la date de règlement prévue ? Si le paiement est déjà parti, merci de nous envoyer la preuve et ne tenez pas compte de ce message. "&amp;Paramètres!$B$11&amp;", "&amp;Paramètres!$B$12,IF(K448="En retard","Bonjour "&amp;D448&amp;", votre commande "&amp;A448&amp;" ("&amp;E448&amp;", "&amp;F448&amp;" pièces) prévue le "&amp;TEXT(I448,"dd/mm/yyyy")&amp;" a pris du retard. Nous vous confirmons la nouvelle date de livraison dans la journée. Toutes nos excuses pour ce contretemps. "&amp;Paramètres!$B$11&amp;", "&amp;Paramètres!$B$12,""))))</f>
        <v/>
      </c>
      <c r="T448" s="21" t="n"/>
      <c r="U448" s="26" t="n"/>
      <c r="V448" s="21" t="n"/>
    </row>
    <row r="449">
      <c r="A449" s="21" t="n"/>
      <c r="B449" s="26" t="n"/>
      <c r="C449" s="21" t="n"/>
      <c r="D449" s="25">
        <f>IF(C449="","",IFERROR(VLOOKUP(C449,Revendeurs!$A:$B,2,FALSE),"Code inconnu"))</f>
        <v/>
      </c>
      <c r="E449" s="21" t="n"/>
      <c r="F449" s="21" t="n"/>
      <c r="G449" s="22" t="n"/>
      <c r="H449" s="23">
        <f>IF(OR(F449="",G449=""),"",F449*G449)</f>
        <v/>
      </c>
      <c r="I449" s="26" t="n"/>
      <c r="J449" s="26" t="n"/>
      <c r="K449" s="25">
        <f>IF(B449="","",IF(J449&lt;&gt;"","Livrée",IF(I449="","À planifier",IF(Paramètres!$B$4&gt;I449+Paramètres!$B$8,"En retard","En cours"))))</f>
        <v/>
      </c>
      <c r="L449" s="25">
        <f>IF(K449="En retard",Paramètres!$B$4-I449,"")</f>
        <v/>
      </c>
      <c r="M449" s="27">
        <f>IF(OR(B449="",J449=""),"",J449+IFERROR(IF(VLOOKUP(C449,Revendeurs!$A:$G,7,FALSE)="",Paramètres!$B$9,VLOOKUP(C449,Revendeurs!$A:$G,7,FALSE)),Paramètres!$B$9))</f>
        <v/>
      </c>
      <c r="N449" s="22" t="n"/>
      <c r="O449" s="23">
        <f>IF(H449="","",H449-N449)</f>
        <v/>
      </c>
      <c r="P449" s="25">
        <f>IF(OR(M449="",O449=""),"",IF(O449&lt;=0,0,MAX(0,Paramètres!$B$4-M449)))</f>
        <v/>
      </c>
      <c r="Q449" s="25">
        <f>IF(H449="","",IF(O449&lt;=0,"Payée",IF(M449="","Pas encore livrée",IF(P449=0,"Non échue",IF(P449&gt;=Paramètres!$B$7,"Relance 3 : appel direction",IF(P449&gt;=Paramètres!$B$6,"Relance 2",IF(P449&gt;=Paramètres!$B$5,"Relance 1","Échue, relance à venir")))))))</f>
        <v/>
      </c>
      <c r="R449" s="25">
        <f>IF(B449="","",IF(U449=Paramètres!$B$4,"Relancé aujourd'hui",TRIM(IF(LEFT(Q449,7)="Relance",Q449&amp;" ","")&amp;IF(K449="En retard","· Prévenir du retard de livraison",""))))</f>
        <v/>
      </c>
      <c r="S449" s="28">
        <f>IF(B449="","",IF(LEFT(Q449,9)="Relance 3","Bonjour "&amp;D449&amp;", nous revenons vers vous au sujet de la commande "&amp;A449&amp;" du "&amp;TEXT(B449,"dd/mm/yyyy")&amp;" : "&amp;SUBSTITUTE(TEXT(O449,"#,##0"),","," ")&amp;" FCFA restent à régler depuis le "&amp;TEXT(M449,"dd/mm/yyyy")&amp;". Notre responsable souhaite vous appeler pour convenir ensemble d'une solution. Quel moment vous arrange cette semaine ? "&amp;Paramètres!$B$11&amp;", "&amp;Paramètres!$B$12,IF(LEFT(Q449,7)="Relance","Bonjour "&amp;D449&amp;", sauf erreur de notre part, la commande "&amp;A449&amp;" du "&amp;TEXT(B449,"dd/mm/yyyy")&amp;" ("&amp;E449&amp;") présente un reste à payer de "&amp;SUBSTITUTE(TEXT(O449,"#,##0"),","," ")&amp;" FCFA, échu depuis le "&amp;TEXT(M449,"dd/mm/yyyy")&amp;". Pouvez-vous nous indiquer la date de règlement prévue ? Si le paiement est déjà parti, merci de nous envoyer la preuve et ne tenez pas compte de ce message. "&amp;Paramètres!$B$11&amp;", "&amp;Paramètres!$B$12,IF(K449="En retard","Bonjour "&amp;D449&amp;", votre commande "&amp;A449&amp;" ("&amp;E449&amp;", "&amp;F449&amp;" pièces) prévue le "&amp;TEXT(I449,"dd/mm/yyyy")&amp;" a pris du retard. Nous vous confirmons la nouvelle date de livraison dans la journée. Toutes nos excuses pour ce contretemps. "&amp;Paramètres!$B$11&amp;", "&amp;Paramètres!$B$12,""))))</f>
        <v/>
      </c>
      <c r="T449" s="21" t="n"/>
      <c r="U449" s="26" t="n"/>
      <c r="V449" s="21" t="n"/>
    </row>
    <row r="450">
      <c r="A450" s="21" t="n"/>
      <c r="B450" s="26" t="n"/>
      <c r="C450" s="21" t="n"/>
      <c r="D450" s="25">
        <f>IF(C450="","",IFERROR(VLOOKUP(C450,Revendeurs!$A:$B,2,FALSE),"Code inconnu"))</f>
        <v/>
      </c>
      <c r="E450" s="21" t="n"/>
      <c r="F450" s="21" t="n"/>
      <c r="G450" s="22" t="n"/>
      <c r="H450" s="23">
        <f>IF(OR(F450="",G450=""),"",F450*G450)</f>
        <v/>
      </c>
      <c r="I450" s="26" t="n"/>
      <c r="J450" s="26" t="n"/>
      <c r="K450" s="25">
        <f>IF(B450="","",IF(J450&lt;&gt;"","Livrée",IF(I450="","À planifier",IF(Paramètres!$B$4&gt;I450+Paramètres!$B$8,"En retard","En cours"))))</f>
        <v/>
      </c>
      <c r="L450" s="25">
        <f>IF(K450="En retard",Paramètres!$B$4-I450,"")</f>
        <v/>
      </c>
      <c r="M450" s="27">
        <f>IF(OR(B450="",J450=""),"",J450+IFERROR(IF(VLOOKUP(C450,Revendeurs!$A:$G,7,FALSE)="",Paramètres!$B$9,VLOOKUP(C450,Revendeurs!$A:$G,7,FALSE)),Paramètres!$B$9))</f>
        <v/>
      </c>
      <c r="N450" s="22" t="n"/>
      <c r="O450" s="23">
        <f>IF(H450="","",H450-N450)</f>
        <v/>
      </c>
      <c r="P450" s="25">
        <f>IF(OR(M450="",O450=""),"",IF(O450&lt;=0,0,MAX(0,Paramètres!$B$4-M450)))</f>
        <v/>
      </c>
      <c r="Q450" s="25">
        <f>IF(H450="","",IF(O450&lt;=0,"Payée",IF(M450="","Pas encore livrée",IF(P450=0,"Non échue",IF(P450&gt;=Paramètres!$B$7,"Relance 3 : appel direction",IF(P450&gt;=Paramètres!$B$6,"Relance 2",IF(P450&gt;=Paramètres!$B$5,"Relance 1","Échue, relance à venir")))))))</f>
        <v/>
      </c>
      <c r="R450" s="25">
        <f>IF(B450="","",IF(U450=Paramètres!$B$4,"Relancé aujourd'hui",TRIM(IF(LEFT(Q450,7)="Relance",Q450&amp;" ","")&amp;IF(K450="En retard","· Prévenir du retard de livraison",""))))</f>
        <v/>
      </c>
      <c r="S450" s="28">
        <f>IF(B450="","",IF(LEFT(Q450,9)="Relance 3","Bonjour "&amp;D450&amp;", nous revenons vers vous au sujet de la commande "&amp;A450&amp;" du "&amp;TEXT(B450,"dd/mm/yyyy")&amp;" : "&amp;SUBSTITUTE(TEXT(O450,"#,##0"),","," ")&amp;" FCFA restent à régler depuis le "&amp;TEXT(M450,"dd/mm/yyyy")&amp;". Notre responsable souhaite vous appeler pour convenir ensemble d'une solution. Quel moment vous arrange cette semaine ? "&amp;Paramètres!$B$11&amp;", "&amp;Paramètres!$B$12,IF(LEFT(Q450,7)="Relance","Bonjour "&amp;D450&amp;", sauf erreur de notre part, la commande "&amp;A450&amp;" du "&amp;TEXT(B450,"dd/mm/yyyy")&amp;" ("&amp;E450&amp;") présente un reste à payer de "&amp;SUBSTITUTE(TEXT(O450,"#,##0"),","," ")&amp;" FCFA, échu depuis le "&amp;TEXT(M450,"dd/mm/yyyy")&amp;". Pouvez-vous nous indiquer la date de règlement prévue ? Si le paiement est déjà parti, merci de nous envoyer la preuve et ne tenez pas compte de ce message. "&amp;Paramètres!$B$11&amp;", "&amp;Paramètres!$B$12,IF(K450="En retard","Bonjour "&amp;D450&amp;", votre commande "&amp;A450&amp;" ("&amp;E450&amp;", "&amp;F450&amp;" pièces) prévue le "&amp;TEXT(I450,"dd/mm/yyyy")&amp;" a pris du retard. Nous vous confirmons la nouvelle date de livraison dans la journée. Toutes nos excuses pour ce contretemps. "&amp;Paramètres!$B$11&amp;", "&amp;Paramètres!$B$12,""))))</f>
        <v/>
      </c>
      <c r="T450" s="21" t="n"/>
      <c r="U450" s="26" t="n"/>
      <c r="V450" s="21" t="n"/>
    </row>
    <row r="451">
      <c r="A451" s="21" t="n"/>
      <c r="B451" s="26" t="n"/>
      <c r="C451" s="21" t="n"/>
      <c r="D451" s="25">
        <f>IF(C451="","",IFERROR(VLOOKUP(C451,Revendeurs!$A:$B,2,FALSE),"Code inconnu"))</f>
        <v/>
      </c>
      <c r="E451" s="21" t="n"/>
      <c r="F451" s="21" t="n"/>
      <c r="G451" s="22" t="n"/>
      <c r="H451" s="23">
        <f>IF(OR(F451="",G451=""),"",F451*G451)</f>
        <v/>
      </c>
      <c r="I451" s="26" t="n"/>
      <c r="J451" s="26" t="n"/>
      <c r="K451" s="25">
        <f>IF(B451="","",IF(J451&lt;&gt;"","Livrée",IF(I451="","À planifier",IF(Paramètres!$B$4&gt;I451+Paramètres!$B$8,"En retard","En cours"))))</f>
        <v/>
      </c>
      <c r="L451" s="25">
        <f>IF(K451="En retard",Paramètres!$B$4-I451,"")</f>
        <v/>
      </c>
      <c r="M451" s="27">
        <f>IF(OR(B451="",J451=""),"",J451+IFERROR(IF(VLOOKUP(C451,Revendeurs!$A:$G,7,FALSE)="",Paramètres!$B$9,VLOOKUP(C451,Revendeurs!$A:$G,7,FALSE)),Paramètres!$B$9))</f>
        <v/>
      </c>
      <c r="N451" s="22" t="n"/>
      <c r="O451" s="23">
        <f>IF(H451="","",H451-N451)</f>
        <v/>
      </c>
      <c r="P451" s="25">
        <f>IF(OR(M451="",O451=""),"",IF(O451&lt;=0,0,MAX(0,Paramètres!$B$4-M451)))</f>
        <v/>
      </c>
      <c r="Q451" s="25">
        <f>IF(H451="","",IF(O451&lt;=0,"Payée",IF(M451="","Pas encore livrée",IF(P451=0,"Non échue",IF(P451&gt;=Paramètres!$B$7,"Relance 3 : appel direction",IF(P451&gt;=Paramètres!$B$6,"Relance 2",IF(P451&gt;=Paramètres!$B$5,"Relance 1","Échue, relance à venir")))))))</f>
        <v/>
      </c>
      <c r="R451" s="25">
        <f>IF(B451="","",IF(U451=Paramètres!$B$4,"Relancé aujourd'hui",TRIM(IF(LEFT(Q451,7)="Relance",Q451&amp;" ","")&amp;IF(K451="En retard","· Prévenir du retard de livraison",""))))</f>
        <v/>
      </c>
      <c r="S451" s="28">
        <f>IF(B451="","",IF(LEFT(Q451,9)="Relance 3","Bonjour "&amp;D451&amp;", nous revenons vers vous au sujet de la commande "&amp;A451&amp;" du "&amp;TEXT(B451,"dd/mm/yyyy")&amp;" : "&amp;SUBSTITUTE(TEXT(O451,"#,##0"),","," ")&amp;" FCFA restent à régler depuis le "&amp;TEXT(M451,"dd/mm/yyyy")&amp;". Notre responsable souhaite vous appeler pour convenir ensemble d'une solution. Quel moment vous arrange cette semaine ? "&amp;Paramètres!$B$11&amp;", "&amp;Paramètres!$B$12,IF(LEFT(Q451,7)="Relance","Bonjour "&amp;D451&amp;", sauf erreur de notre part, la commande "&amp;A451&amp;" du "&amp;TEXT(B451,"dd/mm/yyyy")&amp;" ("&amp;E451&amp;") présente un reste à payer de "&amp;SUBSTITUTE(TEXT(O451,"#,##0"),","," ")&amp;" FCFA, échu depuis le "&amp;TEXT(M451,"dd/mm/yyyy")&amp;". Pouvez-vous nous indiquer la date de règlement prévue ? Si le paiement est déjà parti, merci de nous envoyer la preuve et ne tenez pas compte de ce message. "&amp;Paramètres!$B$11&amp;", "&amp;Paramètres!$B$12,IF(K451="En retard","Bonjour "&amp;D451&amp;", votre commande "&amp;A451&amp;" ("&amp;E451&amp;", "&amp;F451&amp;" pièces) prévue le "&amp;TEXT(I451,"dd/mm/yyyy")&amp;" a pris du retard. Nous vous confirmons la nouvelle date de livraison dans la journée. Toutes nos excuses pour ce contretemps. "&amp;Paramètres!$B$11&amp;", "&amp;Paramètres!$B$12,""))))</f>
        <v/>
      </c>
      <c r="T451" s="21" t="n"/>
      <c r="U451" s="26" t="n"/>
      <c r="V451" s="21" t="n"/>
    </row>
    <row r="452">
      <c r="A452" s="21" t="n"/>
      <c r="B452" s="26" t="n"/>
      <c r="C452" s="21" t="n"/>
      <c r="D452" s="25">
        <f>IF(C452="","",IFERROR(VLOOKUP(C452,Revendeurs!$A:$B,2,FALSE),"Code inconnu"))</f>
        <v/>
      </c>
      <c r="E452" s="21" t="n"/>
      <c r="F452" s="21" t="n"/>
      <c r="G452" s="22" t="n"/>
      <c r="H452" s="23">
        <f>IF(OR(F452="",G452=""),"",F452*G452)</f>
        <v/>
      </c>
      <c r="I452" s="26" t="n"/>
      <c r="J452" s="26" t="n"/>
      <c r="K452" s="25">
        <f>IF(B452="","",IF(J452&lt;&gt;"","Livrée",IF(I452="","À planifier",IF(Paramètres!$B$4&gt;I452+Paramètres!$B$8,"En retard","En cours"))))</f>
        <v/>
      </c>
      <c r="L452" s="25">
        <f>IF(K452="En retard",Paramètres!$B$4-I452,"")</f>
        <v/>
      </c>
      <c r="M452" s="27">
        <f>IF(OR(B452="",J452=""),"",J452+IFERROR(IF(VLOOKUP(C452,Revendeurs!$A:$G,7,FALSE)="",Paramètres!$B$9,VLOOKUP(C452,Revendeurs!$A:$G,7,FALSE)),Paramètres!$B$9))</f>
        <v/>
      </c>
      <c r="N452" s="22" t="n"/>
      <c r="O452" s="23">
        <f>IF(H452="","",H452-N452)</f>
        <v/>
      </c>
      <c r="P452" s="25">
        <f>IF(OR(M452="",O452=""),"",IF(O452&lt;=0,0,MAX(0,Paramètres!$B$4-M452)))</f>
        <v/>
      </c>
      <c r="Q452" s="25">
        <f>IF(H452="","",IF(O452&lt;=0,"Payée",IF(M452="","Pas encore livrée",IF(P452=0,"Non échue",IF(P452&gt;=Paramètres!$B$7,"Relance 3 : appel direction",IF(P452&gt;=Paramètres!$B$6,"Relance 2",IF(P452&gt;=Paramètres!$B$5,"Relance 1","Échue, relance à venir")))))))</f>
        <v/>
      </c>
      <c r="R452" s="25">
        <f>IF(B452="","",IF(U452=Paramètres!$B$4,"Relancé aujourd'hui",TRIM(IF(LEFT(Q452,7)="Relance",Q452&amp;" ","")&amp;IF(K452="En retard","· Prévenir du retard de livraison",""))))</f>
        <v/>
      </c>
      <c r="S452" s="28">
        <f>IF(B452="","",IF(LEFT(Q452,9)="Relance 3","Bonjour "&amp;D452&amp;", nous revenons vers vous au sujet de la commande "&amp;A452&amp;" du "&amp;TEXT(B452,"dd/mm/yyyy")&amp;" : "&amp;SUBSTITUTE(TEXT(O452,"#,##0"),","," ")&amp;" FCFA restent à régler depuis le "&amp;TEXT(M452,"dd/mm/yyyy")&amp;". Notre responsable souhaite vous appeler pour convenir ensemble d'une solution. Quel moment vous arrange cette semaine ? "&amp;Paramètres!$B$11&amp;", "&amp;Paramètres!$B$12,IF(LEFT(Q452,7)="Relance","Bonjour "&amp;D452&amp;", sauf erreur de notre part, la commande "&amp;A452&amp;" du "&amp;TEXT(B452,"dd/mm/yyyy")&amp;" ("&amp;E452&amp;") présente un reste à payer de "&amp;SUBSTITUTE(TEXT(O452,"#,##0"),","," ")&amp;" FCFA, échu depuis le "&amp;TEXT(M452,"dd/mm/yyyy")&amp;". Pouvez-vous nous indiquer la date de règlement prévue ? Si le paiement est déjà parti, merci de nous envoyer la preuve et ne tenez pas compte de ce message. "&amp;Paramètres!$B$11&amp;", "&amp;Paramètres!$B$12,IF(K452="En retard","Bonjour "&amp;D452&amp;", votre commande "&amp;A452&amp;" ("&amp;E452&amp;", "&amp;F452&amp;" pièces) prévue le "&amp;TEXT(I452,"dd/mm/yyyy")&amp;" a pris du retard. Nous vous confirmons la nouvelle date de livraison dans la journée. Toutes nos excuses pour ce contretemps. "&amp;Paramètres!$B$11&amp;", "&amp;Paramètres!$B$12,""))))</f>
        <v/>
      </c>
      <c r="T452" s="21" t="n"/>
      <c r="U452" s="26" t="n"/>
      <c r="V452" s="21" t="n"/>
    </row>
    <row r="453">
      <c r="A453" s="21" t="n"/>
      <c r="B453" s="26" t="n"/>
      <c r="C453" s="21" t="n"/>
      <c r="D453" s="25">
        <f>IF(C453="","",IFERROR(VLOOKUP(C453,Revendeurs!$A:$B,2,FALSE),"Code inconnu"))</f>
        <v/>
      </c>
      <c r="E453" s="21" t="n"/>
      <c r="F453" s="21" t="n"/>
      <c r="G453" s="22" t="n"/>
      <c r="H453" s="23">
        <f>IF(OR(F453="",G453=""),"",F453*G453)</f>
        <v/>
      </c>
      <c r="I453" s="26" t="n"/>
      <c r="J453" s="26" t="n"/>
      <c r="K453" s="25">
        <f>IF(B453="","",IF(J453&lt;&gt;"","Livrée",IF(I453="","À planifier",IF(Paramètres!$B$4&gt;I453+Paramètres!$B$8,"En retard","En cours"))))</f>
        <v/>
      </c>
      <c r="L453" s="25">
        <f>IF(K453="En retard",Paramètres!$B$4-I453,"")</f>
        <v/>
      </c>
      <c r="M453" s="27">
        <f>IF(OR(B453="",J453=""),"",J453+IFERROR(IF(VLOOKUP(C453,Revendeurs!$A:$G,7,FALSE)="",Paramètres!$B$9,VLOOKUP(C453,Revendeurs!$A:$G,7,FALSE)),Paramètres!$B$9))</f>
        <v/>
      </c>
      <c r="N453" s="22" t="n"/>
      <c r="O453" s="23">
        <f>IF(H453="","",H453-N453)</f>
        <v/>
      </c>
      <c r="P453" s="25">
        <f>IF(OR(M453="",O453=""),"",IF(O453&lt;=0,0,MAX(0,Paramètres!$B$4-M453)))</f>
        <v/>
      </c>
      <c r="Q453" s="25">
        <f>IF(H453="","",IF(O453&lt;=0,"Payée",IF(M453="","Pas encore livrée",IF(P453=0,"Non échue",IF(P453&gt;=Paramètres!$B$7,"Relance 3 : appel direction",IF(P453&gt;=Paramètres!$B$6,"Relance 2",IF(P453&gt;=Paramètres!$B$5,"Relance 1","Échue, relance à venir")))))))</f>
        <v/>
      </c>
      <c r="R453" s="25">
        <f>IF(B453="","",IF(U453=Paramètres!$B$4,"Relancé aujourd'hui",TRIM(IF(LEFT(Q453,7)="Relance",Q453&amp;" ","")&amp;IF(K453="En retard","· Prévenir du retard de livraison",""))))</f>
        <v/>
      </c>
      <c r="S453" s="28">
        <f>IF(B453="","",IF(LEFT(Q453,9)="Relance 3","Bonjour "&amp;D453&amp;", nous revenons vers vous au sujet de la commande "&amp;A453&amp;" du "&amp;TEXT(B453,"dd/mm/yyyy")&amp;" : "&amp;SUBSTITUTE(TEXT(O453,"#,##0"),","," ")&amp;" FCFA restent à régler depuis le "&amp;TEXT(M453,"dd/mm/yyyy")&amp;". Notre responsable souhaite vous appeler pour convenir ensemble d'une solution. Quel moment vous arrange cette semaine ? "&amp;Paramètres!$B$11&amp;", "&amp;Paramètres!$B$12,IF(LEFT(Q453,7)="Relance","Bonjour "&amp;D453&amp;", sauf erreur de notre part, la commande "&amp;A453&amp;" du "&amp;TEXT(B453,"dd/mm/yyyy")&amp;" ("&amp;E453&amp;") présente un reste à payer de "&amp;SUBSTITUTE(TEXT(O453,"#,##0"),","," ")&amp;" FCFA, échu depuis le "&amp;TEXT(M453,"dd/mm/yyyy")&amp;". Pouvez-vous nous indiquer la date de règlement prévue ? Si le paiement est déjà parti, merci de nous envoyer la preuve et ne tenez pas compte de ce message. "&amp;Paramètres!$B$11&amp;", "&amp;Paramètres!$B$12,IF(K453="En retard","Bonjour "&amp;D453&amp;", votre commande "&amp;A453&amp;" ("&amp;E453&amp;", "&amp;F453&amp;" pièces) prévue le "&amp;TEXT(I453,"dd/mm/yyyy")&amp;" a pris du retard. Nous vous confirmons la nouvelle date de livraison dans la journée. Toutes nos excuses pour ce contretemps. "&amp;Paramètres!$B$11&amp;", "&amp;Paramètres!$B$12,""))))</f>
        <v/>
      </c>
      <c r="T453" s="21" t="n"/>
      <c r="U453" s="26" t="n"/>
      <c r="V453" s="21" t="n"/>
    </row>
    <row r="454">
      <c r="A454" s="21" t="n"/>
      <c r="B454" s="26" t="n"/>
      <c r="C454" s="21" t="n"/>
      <c r="D454" s="25">
        <f>IF(C454="","",IFERROR(VLOOKUP(C454,Revendeurs!$A:$B,2,FALSE),"Code inconnu"))</f>
        <v/>
      </c>
      <c r="E454" s="21" t="n"/>
      <c r="F454" s="21" t="n"/>
      <c r="G454" s="22" t="n"/>
      <c r="H454" s="23">
        <f>IF(OR(F454="",G454=""),"",F454*G454)</f>
        <v/>
      </c>
      <c r="I454" s="26" t="n"/>
      <c r="J454" s="26" t="n"/>
      <c r="K454" s="25">
        <f>IF(B454="","",IF(J454&lt;&gt;"","Livrée",IF(I454="","À planifier",IF(Paramètres!$B$4&gt;I454+Paramètres!$B$8,"En retard","En cours"))))</f>
        <v/>
      </c>
      <c r="L454" s="25">
        <f>IF(K454="En retard",Paramètres!$B$4-I454,"")</f>
        <v/>
      </c>
      <c r="M454" s="27">
        <f>IF(OR(B454="",J454=""),"",J454+IFERROR(IF(VLOOKUP(C454,Revendeurs!$A:$G,7,FALSE)="",Paramètres!$B$9,VLOOKUP(C454,Revendeurs!$A:$G,7,FALSE)),Paramètres!$B$9))</f>
        <v/>
      </c>
      <c r="N454" s="22" t="n"/>
      <c r="O454" s="23">
        <f>IF(H454="","",H454-N454)</f>
        <v/>
      </c>
      <c r="P454" s="25">
        <f>IF(OR(M454="",O454=""),"",IF(O454&lt;=0,0,MAX(0,Paramètres!$B$4-M454)))</f>
        <v/>
      </c>
      <c r="Q454" s="25">
        <f>IF(H454="","",IF(O454&lt;=0,"Payée",IF(M454="","Pas encore livrée",IF(P454=0,"Non échue",IF(P454&gt;=Paramètres!$B$7,"Relance 3 : appel direction",IF(P454&gt;=Paramètres!$B$6,"Relance 2",IF(P454&gt;=Paramètres!$B$5,"Relance 1","Échue, relance à venir")))))))</f>
        <v/>
      </c>
      <c r="R454" s="25">
        <f>IF(B454="","",IF(U454=Paramètres!$B$4,"Relancé aujourd'hui",TRIM(IF(LEFT(Q454,7)="Relance",Q454&amp;" ","")&amp;IF(K454="En retard","· Prévenir du retard de livraison",""))))</f>
        <v/>
      </c>
      <c r="S454" s="28">
        <f>IF(B454="","",IF(LEFT(Q454,9)="Relance 3","Bonjour "&amp;D454&amp;", nous revenons vers vous au sujet de la commande "&amp;A454&amp;" du "&amp;TEXT(B454,"dd/mm/yyyy")&amp;" : "&amp;SUBSTITUTE(TEXT(O454,"#,##0"),","," ")&amp;" FCFA restent à régler depuis le "&amp;TEXT(M454,"dd/mm/yyyy")&amp;". Notre responsable souhaite vous appeler pour convenir ensemble d'une solution. Quel moment vous arrange cette semaine ? "&amp;Paramètres!$B$11&amp;", "&amp;Paramètres!$B$12,IF(LEFT(Q454,7)="Relance","Bonjour "&amp;D454&amp;", sauf erreur de notre part, la commande "&amp;A454&amp;" du "&amp;TEXT(B454,"dd/mm/yyyy")&amp;" ("&amp;E454&amp;") présente un reste à payer de "&amp;SUBSTITUTE(TEXT(O454,"#,##0"),","," ")&amp;" FCFA, échu depuis le "&amp;TEXT(M454,"dd/mm/yyyy")&amp;". Pouvez-vous nous indiquer la date de règlement prévue ? Si le paiement est déjà parti, merci de nous envoyer la preuve et ne tenez pas compte de ce message. "&amp;Paramètres!$B$11&amp;", "&amp;Paramètres!$B$12,IF(K454="En retard","Bonjour "&amp;D454&amp;", votre commande "&amp;A454&amp;" ("&amp;E454&amp;", "&amp;F454&amp;" pièces) prévue le "&amp;TEXT(I454,"dd/mm/yyyy")&amp;" a pris du retard. Nous vous confirmons la nouvelle date de livraison dans la journée. Toutes nos excuses pour ce contretemps. "&amp;Paramètres!$B$11&amp;", "&amp;Paramètres!$B$12,""))))</f>
        <v/>
      </c>
      <c r="T454" s="21" t="n"/>
      <c r="U454" s="26" t="n"/>
      <c r="V454" s="21" t="n"/>
    </row>
    <row r="455">
      <c r="A455" s="21" t="n"/>
      <c r="B455" s="26" t="n"/>
      <c r="C455" s="21" t="n"/>
      <c r="D455" s="25">
        <f>IF(C455="","",IFERROR(VLOOKUP(C455,Revendeurs!$A:$B,2,FALSE),"Code inconnu"))</f>
        <v/>
      </c>
      <c r="E455" s="21" t="n"/>
      <c r="F455" s="21" t="n"/>
      <c r="G455" s="22" t="n"/>
      <c r="H455" s="23">
        <f>IF(OR(F455="",G455=""),"",F455*G455)</f>
        <v/>
      </c>
      <c r="I455" s="26" t="n"/>
      <c r="J455" s="26" t="n"/>
      <c r="K455" s="25">
        <f>IF(B455="","",IF(J455&lt;&gt;"","Livrée",IF(I455="","À planifier",IF(Paramètres!$B$4&gt;I455+Paramètres!$B$8,"En retard","En cours"))))</f>
        <v/>
      </c>
      <c r="L455" s="25">
        <f>IF(K455="En retard",Paramètres!$B$4-I455,"")</f>
        <v/>
      </c>
      <c r="M455" s="27">
        <f>IF(OR(B455="",J455=""),"",J455+IFERROR(IF(VLOOKUP(C455,Revendeurs!$A:$G,7,FALSE)="",Paramètres!$B$9,VLOOKUP(C455,Revendeurs!$A:$G,7,FALSE)),Paramètres!$B$9))</f>
        <v/>
      </c>
      <c r="N455" s="22" t="n"/>
      <c r="O455" s="23">
        <f>IF(H455="","",H455-N455)</f>
        <v/>
      </c>
      <c r="P455" s="25">
        <f>IF(OR(M455="",O455=""),"",IF(O455&lt;=0,0,MAX(0,Paramètres!$B$4-M455)))</f>
        <v/>
      </c>
      <c r="Q455" s="25">
        <f>IF(H455="","",IF(O455&lt;=0,"Payée",IF(M455="","Pas encore livrée",IF(P455=0,"Non échue",IF(P455&gt;=Paramètres!$B$7,"Relance 3 : appel direction",IF(P455&gt;=Paramètres!$B$6,"Relance 2",IF(P455&gt;=Paramètres!$B$5,"Relance 1","Échue, relance à venir")))))))</f>
        <v/>
      </c>
      <c r="R455" s="25">
        <f>IF(B455="","",IF(U455=Paramètres!$B$4,"Relancé aujourd'hui",TRIM(IF(LEFT(Q455,7)="Relance",Q455&amp;" ","")&amp;IF(K455="En retard","· Prévenir du retard de livraison",""))))</f>
        <v/>
      </c>
      <c r="S455" s="28">
        <f>IF(B455="","",IF(LEFT(Q455,9)="Relance 3","Bonjour "&amp;D455&amp;", nous revenons vers vous au sujet de la commande "&amp;A455&amp;" du "&amp;TEXT(B455,"dd/mm/yyyy")&amp;" : "&amp;SUBSTITUTE(TEXT(O455,"#,##0"),","," ")&amp;" FCFA restent à régler depuis le "&amp;TEXT(M455,"dd/mm/yyyy")&amp;". Notre responsable souhaite vous appeler pour convenir ensemble d'une solution. Quel moment vous arrange cette semaine ? "&amp;Paramètres!$B$11&amp;", "&amp;Paramètres!$B$12,IF(LEFT(Q455,7)="Relance","Bonjour "&amp;D455&amp;", sauf erreur de notre part, la commande "&amp;A455&amp;" du "&amp;TEXT(B455,"dd/mm/yyyy")&amp;" ("&amp;E455&amp;") présente un reste à payer de "&amp;SUBSTITUTE(TEXT(O455,"#,##0"),","," ")&amp;" FCFA, échu depuis le "&amp;TEXT(M455,"dd/mm/yyyy")&amp;". Pouvez-vous nous indiquer la date de règlement prévue ? Si le paiement est déjà parti, merci de nous envoyer la preuve et ne tenez pas compte de ce message. "&amp;Paramètres!$B$11&amp;", "&amp;Paramètres!$B$12,IF(K455="En retard","Bonjour "&amp;D455&amp;", votre commande "&amp;A455&amp;" ("&amp;E455&amp;", "&amp;F455&amp;" pièces) prévue le "&amp;TEXT(I455,"dd/mm/yyyy")&amp;" a pris du retard. Nous vous confirmons la nouvelle date de livraison dans la journée. Toutes nos excuses pour ce contretemps. "&amp;Paramètres!$B$11&amp;", "&amp;Paramètres!$B$12,""))))</f>
        <v/>
      </c>
      <c r="T455" s="21" t="n"/>
      <c r="U455" s="26" t="n"/>
      <c r="V455" s="21" t="n"/>
    </row>
    <row r="456">
      <c r="A456" s="21" t="n"/>
      <c r="B456" s="26" t="n"/>
      <c r="C456" s="21" t="n"/>
      <c r="D456" s="25">
        <f>IF(C456="","",IFERROR(VLOOKUP(C456,Revendeurs!$A:$B,2,FALSE),"Code inconnu"))</f>
        <v/>
      </c>
      <c r="E456" s="21" t="n"/>
      <c r="F456" s="21" t="n"/>
      <c r="G456" s="22" t="n"/>
      <c r="H456" s="23">
        <f>IF(OR(F456="",G456=""),"",F456*G456)</f>
        <v/>
      </c>
      <c r="I456" s="26" t="n"/>
      <c r="J456" s="26" t="n"/>
      <c r="K456" s="25">
        <f>IF(B456="","",IF(J456&lt;&gt;"","Livrée",IF(I456="","À planifier",IF(Paramètres!$B$4&gt;I456+Paramètres!$B$8,"En retard","En cours"))))</f>
        <v/>
      </c>
      <c r="L456" s="25">
        <f>IF(K456="En retard",Paramètres!$B$4-I456,"")</f>
        <v/>
      </c>
      <c r="M456" s="27">
        <f>IF(OR(B456="",J456=""),"",J456+IFERROR(IF(VLOOKUP(C456,Revendeurs!$A:$G,7,FALSE)="",Paramètres!$B$9,VLOOKUP(C456,Revendeurs!$A:$G,7,FALSE)),Paramètres!$B$9))</f>
        <v/>
      </c>
      <c r="N456" s="22" t="n"/>
      <c r="O456" s="23">
        <f>IF(H456="","",H456-N456)</f>
        <v/>
      </c>
      <c r="P456" s="25">
        <f>IF(OR(M456="",O456=""),"",IF(O456&lt;=0,0,MAX(0,Paramètres!$B$4-M456)))</f>
        <v/>
      </c>
      <c r="Q456" s="25">
        <f>IF(H456="","",IF(O456&lt;=0,"Payée",IF(M456="","Pas encore livrée",IF(P456=0,"Non échue",IF(P456&gt;=Paramètres!$B$7,"Relance 3 : appel direction",IF(P456&gt;=Paramètres!$B$6,"Relance 2",IF(P456&gt;=Paramètres!$B$5,"Relance 1","Échue, relance à venir")))))))</f>
        <v/>
      </c>
      <c r="R456" s="25">
        <f>IF(B456="","",IF(U456=Paramètres!$B$4,"Relancé aujourd'hui",TRIM(IF(LEFT(Q456,7)="Relance",Q456&amp;" ","")&amp;IF(K456="En retard","· Prévenir du retard de livraison",""))))</f>
        <v/>
      </c>
      <c r="S456" s="28">
        <f>IF(B456="","",IF(LEFT(Q456,9)="Relance 3","Bonjour "&amp;D456&amp;", nous revenons vers vous au sujet de la commande "&amp;A456&amp;" du "&amp;TEXT(B456,"dd/mm/yyyy")&amp;" : "&amp;SUBSTITUTE(TEXT(O456,"#,##0"),","," ")&amp;" FCFA restent à régler depuis le "&amp;TEXT(M456,"dd/mm/yyyy")&amp;". Notre responsable souhaite vous appeler pour convenir ensemble d'une solution. Quel moment vous arrange cette semaine ? "&amp;Paramètres!$B$11&amp;", "&amp;Paramètres!$B$12,IF(LEFT(Q456,7)="Relance","Bonjour "&amp;D456&amp;", sauf erreur de notre part, la commande "&amp;A456&amp;" du "&amp;TEXT(B456,"dd/mm/yyyy")&amp;" ("&amp;E456&amp;") présente un reste à payer de "&amp;SUBSTITUTE(TEXT(O456,"#,##0"),","," ")&amp;" FCFA, échu depuis le "&amp;TEXT(M456,"dd/mm/yyyy")&amp;". Pouvez-vous nous indiquer la date de règlement prévue ? Si le paiement est déjà parti, merci de nous envoyer la preuve et ne tenez pas compte de ce message. "&amp;Paramètres!$B$11&amp;", "&amp;Paramètres!$B$12,IF(K456="En retard","Bonjour "&amp;D456&amp;", votre commande "&amp;A456&amp;" ("&amp;E456&amp;", "&amp;F456&amp;" pièces) prévue le "&amp;TEXT(I456,"dd/mm/yyyy")&amp;" a pris du retard. Nous vous confirmons la nouvelle date de livraison dans la journée. Toutes nos excuses pour ce contretemps. "&amp;Paramètres!$B$11&amp;", "&amp;Paramètres!$B$12,""))))</f>
        <v/>
      </c>
      <c r="T456" s="21" t="n"/>
      <c r="U456" s="26" t="n"/>
      <c r="V456" s="21" t="n"/>
    </row>
    <row r="457">
      <c r="A457" s="21" t="n"/>
      <c r="B457" s="26" t="n"/>
      <c r="C457" s="21" t="n"/>
      <c r="D457" s="25">
        <f>IF(C457="","",IFERROR(VLOOKUP(C457,Revendeurs!$A:$B,2,FALSE),"Code inconnu"))</f>
        <v/>
      </c>
      <c r="E457" s="21" t="n"/>
      <c r="F457" s="21" t="n"/>
      <c r="G457" s="22" t="n"/>
      <c r="H457" s="23">
        <f>IF(OR(F457="",G457=""),"",F457*G457)</f>
        <v/>
      </c>
      <c r="I457" s="26" t="n"/>
      <c r="J457" s="26" t="n"/>
      <c r="K457" s="25">
        <f>IF(B457="","",IF(J457&lt;&gt;"","Livrée",IF(I457="","À planifier",IF(Paramètres!$B$4&gt;I457+Paramètres!$B$8,"En retard","En cours"))))</f>
        <v/>
      </c>
      <c r="L457" s="25">
        <f>IF(K457="En retard",Paramètres!$B$4-I457,"")</f>
        <v/>
      </c>
      <c r="M457" s="27">
        <f>IF(OR(B457="",J457=""),"",J457+IFERROR(IF(VLOOKUP(C457,Revendeurs!$A:$G,7,FALSE)="",Paramètres!$B$9,VLOOKUP(C457,Revendeurs!$A:$G,7,FALSE)),Paramètres!$B$9))</f>
        <v/>
      </c>
      <c r="N457" s="22" t="n"/>
      <c r="O457" s="23">
        <f>IF(H457="","",H457-N457)</f>
        <v/>
      </c>
      <c r="P457" s="25">
        <f>IF(OR(M457="",O457=""),"",IF(O457&lt;=0,0,MAX(0,Paramètres!$B$4-M457)))</f>
        <v/>
      </c>
      <c r="Q457" s="25">
        <f>IF(H457="","",IF(O457&lt;=0,"Payée",IF(M457="","Pas encore livrée",IF(P457=0,"Non échue",IF(P457&gt;=Paramètres!$B$7,"Relance 3 : appel direction",IF(P457&gt;=Paramètres!$B$6,"Relance 2",IF(P457&gt;=Paramètres!$B$5,"Relance 1","Échue, relance à venir")))))))</f>
        <v/>
      </c>
      <c r="R457" s="25">
        <f>IF(B457="","",IF(U457=Paramètres!$B$4,"Relancé aujourd'hui",TRIM(IF(LEFT(Q457,7)="Relance",Q457&amp;" ","")&amp;IF(K457="En retard","· Prévenir du retard de livraison",""))))</f>
        <v/>
      </c>
      <c r="S457" s="28">
        <f>IF(B457="","",IF(LEFT(Q457,9)="Relance 3","Bonjour "&amp;D457&amp;", nous revenons vers vous au sujet de la commande "&amp;A457&amp;" du "&amp;TEXT(B457,"dd/mm/yyyy")&amp;" : "&amp;SUBSTITUTE(TEXT(O457,"#,##0"),","," ")&amp;" FCFA restent à régler depuis le "&amp;TEXT(M457,"dd/mm/yyyy")&amp;". Notre responsable souhaite vous appeler pour convenir ensemble d'une solution. Quel moment vous arrange cette semaine ? "&amp;Paramètres!$B$11&amp;", "&amp;Paramètres!$B$12,IF(LEFT(Q457,7)="Relance","Bonjour "&amp;D457&amp;", sauf erreur de notre part, la commande "&amp;A457&amp;" du "&amp;TEXT(B457,"dd/mm/yyyy")&amp;" ("&amp;E457&amp;") présente un reste à payer de "&amp;SUBSTITUTE(TEXT(O457,"#,##0"),","," ")&amp;" FCFA, échu depuis le "&amp;TEXT(M457,"dd/mm/yyyy")&amp;". Pouvez-vous nous indiquer la date de règlement prévue ? Si le paiement est déjà parti, merci de nous envoyer la preuve et ne tenez pas compte de ce message. "&amp;Paramètres!$B$11&amp;", "&amp;Paramètres!$B$12,IF(K457="En retard","Bonjour "&amp;D457&amp;", votre commande "&amp;A457&amp;" ("&amp;E457&amp;", "&amp;F457&amp;" pièces) prévue le "&amp;TEXT(I457,"dd/mm/yyyy")&amp;" a pris du retard. Nous vous confirmons la nouvelle date de livraison dans la journée. Toutes nos excuses pour ce contretemps. "&amp;Paramètres!$B$11&amp;", "&amp;Paramètres!$B$12,""))))</f>
        <v/>
      </c>
      <c r="T457" s="21" t="n"/>
      <c r="U457" s="26" t="n"/>
      <c r="V457" s="21" t="n"/>
    </row>
    <row r="458">
      <c r="A458" s="21" t="n"/>
      <c r="B458" s="26" t="n"/>
      <c r="C458" s="21" t="n"/>
      <c r="D458" s="25">
        <f>IF(C458="","",IFERROR(VLOOKUP(C458,Revendeurs!$A:$B,2,FALSE),"Code inconnu"))</f>
        <v/>
      </c>
      <c r="E458" s="21" t="n"/>
      <c r="F458" s="21" t="n"/>
      <c r="G458" s="22" t="n"/>
      <c r="H458" s="23">
        <f>IF(OR(F458="",G458=""),"",F458*G458)</f>
        <v/>
      </c>
      <c r="I458" s="26" t="n"/>
      <c r="J458" s="26" t="n"/>
      <c r="K458" s="25">
        <f>IF(B458="","",IF(J458&lt;&gt;"","Livrée",IF(I458="","À planifier",IF(Paramètres!$B$4&gt;I458+Paramètres!$B$8,"En retard","En cours"))))</f>
        <v/>
      </c>
      <c r="L458" s="25">
        <f>IF(K458="En retard",Paramètres!$B$4-I458,"")</f>
        <v/>
      </c>
      <c r="M458" s="27">
        <f>IF(OR(B458="",J458=""),"",J458+IFERROR(IF(VLOOKUP(C458,Revendeurs!$A:$G,7,FALSE)="",Paramètres!$B$9,VLOOKUP(C458,Revendeurs!$A:$G,7,FALSE)),Paramètres!$B$9))</f>
        <v/>
      </c>
      <c r="N458" s="22" t="n"/>
      <c r="O458" s="23">
        <f>IF(H458="","",H458-N458)</f>
        <v/>
      </c>
      <c r="P458" s="25">
        <f>IF(OR(M458="",O458=""),"",IF(O458&lt;=0,0,MAX(0,Paramètres!$B$4-M458)))</f>
        <v/>
      </c>
      <c r="Q458" s="25">
        <f>IF(H458="","",IF(O458&lt;=0,"Payée",IF(M458="","Pas encore livrée",IF(P458=0,"Non échue",IF(P458&gt;=Paramètres!$B$7,"Relance 3 : appel direction",IF(P458&gt;=Paramètres!$B$6,"Relance 2",IF(P458&gt;=Paramètres!$B$5,"Relance 1","Échue, relance à venir")))))))</f>
        <v/>
      </c>
      <c r="R458" s="25">
        <f>IF(B458="","",IF(U458=Paramètres!$B$4,"Relancé aujourd'hui",TRIM(IF(LEFT(Q458,7)="Relance",Q458&amp;" ","")&amp;IF(K458="En retard","· Prévenir du retard de livraison",""))))</f>
        <v/>
      </c>
      <c r="S458" s="28">
        <f>IF(B458="","",IF(LEFT(Q458,9)="Relance 3","Bonjour "&amp;D458&amp;", nous revenons vers vous au sujet de la commande "&amp;A458&amp;" du "&amp;TEXT(B458,"dd/mm/yyyy")&amp;" : "&amp;SUBSTITUTE(TEXT(O458,"#,##0"),","," ")&amp;" FCFA restent à régler depuis le "&amp;TEXT(M458,"dd/mm/yyyy")&amp;". Notre responsable souhaite vous appeler pour convenir ensemble d'une solution. Quel moment vous arrange cette semaine ? "&amp;Paramètres!$B$11&amp;", "&amp;Paramètres!$B$12,IF(LEFT(Q458,7)="Relance","Bonjour "&amp;D458&amp;", sauf erreur de notre part, la commande "&amp;A458&amp;" du "&amp;TEXT(B458,"dd/mm/yyyy")&amp;" ("&amp;E458&amp;") présente un reste à payer de "&amp;SUBSTITUTE(TEXT(O458,"#,##0"),","," ")&amp;" FCFA, échu depuis le "&amp;TEXT(M458,"dd/mm/yyyy")&amp;". Pouvez-vous nous indiquer la date de règlement prévue ? Si le paiement est déjà parti, merci de nous envoyer la preuve et ne tenez pas compte de ce message. "&amp;Paramètres!$B$11&amp;", "&amp;Paramètres!$B$12,IF(K458="En retard","Bonjour "&amp;D458&amp;", votre commande "&amp;A458&amp;" ("&amp;E458&amp;", "&amp;F458&amp;" pièces) prévue le "&amp;TEXT(I458,"dd/mm/yyyy")&amp;" a pris du retard. Nous vous confirmons la nouvelle date de livraison dans la journée. Toutes nos excuses pour ce contretemps. "&amp;Paramètres!$B$11&amp;", "&amp;Paramètres!$B$12,""))))</f>
        <v/>
      </c>
      <c r="T458" s="21" t="n"/>
      <c r="U458" s="26" t="n"/>
      <c r="V458" s="21" t="n"/>
    </row>
    <row r="459">
      <c r="A459" s="21" t="n"/>
      <c r="B459" s="26" t="n"/>
      <c r="C459" s="21" t="n"/>
      <c r="D459" s="25">
        <f>IF(C459="","",IFERROR(VLOOKUP(C459,Revendeurs!$A:$B,2,FALSE),"Code inconnu"))</f>
        <v/>
      </c>
      <c r="E459" s="21" t="n"/>
      <c r="F459" s="21" t="n"/>
      <c r="G459" s="22" t="n"/>
      <c r="H459" s="23">
        <f>IF(OR(F459="",G459=""),"",F459*G459)</f>
        <v/>
      </c>
      <c r="I459" s="26" t="n"/>
      <c r="J459" s="26" t="n"/>
      <c r="K459" s="25">
        <f>IF(B459="","",IF(J459&lt;&gt;"","Livrée",IF(I459="","À planifier",IF(Paramètres!$B$4&gt;I459+Paramètres!$B$8,"En retard","En cours"))))</f>
        <v/>
      </c>
      <c r="L459" s="25">
        <f>IF(K459="En retard",Paramètres!$B$4-I459,"")</f>
        <v/>
      </c>
      <c r="M459" s="27">
        <f>IF(OR(B459="",J459=""),"",J459+IFERROR(IF(VLOOKUP(C459,Revendeurs!$A:$G,7,FALSE)="",Paramètres!$B$9,VLOOKUP(C459,Revendeurs!$A:$G,7,FALSE)),Paramètres!$B$9))</f>
        <v/>
      </c>
      <c r="N459" s="22" t="n"/>
      <c r="O459" s="23">
        <f>IF(H459="","",H459-N459)</f>
        <v/>
      </c>
      <c r="P459" s="25">
        <f>IF(OR(M459="",O459=""),"",IF(O459&lt;=0,0,MAX(0,Paramètres!$B$4-M459)))</f>
        <v/>
      </c>
      <c r="Q459" s="25">
        <f>IF(H459="","",IF(O459&lt;=0,"Payée",IF(M459="","Pas encore livrée",IF(P459=0,"Non échue",IF(P459&gt;=Paramètres!$B$7,"Relance 3 : appel direction",IF(P459&gt;=Paramètres!$B$6,"Relance 2",IF(P459&gt;=Paramètres!$B$5,"Relance 1","Échue, relance à venir")))))))</f>
        <v/>
      </c>
      <c r="R459" s="25">
        <f>IF(B459="","",IF(U459=Paramètres!$B$4,"Relancé aujourd'hui",TRIM(IF(LEFT(Q459,7)="Relance",Q459&amp;" ","")&amp;IF(K459="En retard","· Prévenir du retard de livraison",""))))</f>
        <v/>
      </c>
      <c r="S459" s="28">
        <f>IF(B459="","",IF(LEFT(Q459,9)="Relance 3","Bonjour "&amp;D459&amp;", nous revenons vers vous au sujet de la commande "&amp;A459&amp;" du "&amp;TEXT(B459,"dd/mm/yyyy")&amp;" : "&amp;SUBSTITUTE(TEXT(O459,"#,##0"),","," ")&amp;" FCFA restent à régler depuis le "&amp;TEXT(M459,"dd/mm/yyyy")&amp;". Notre responsable souhaite vous appeler pour convenir ensemble d'une solution. Quel moment vous arrange cette semaine ? "&amp;Paramètres!$B$11&amp;", "&amp;Paramètres!$B$12,IF(LEFT(Q459,7)="Relance","Bonjour "&amp;D459&amp;", sauf erreur de notre part, la commande "&amp;A459&amp;" du "&amp;TEXT(B459,"dd/mm/yyyy")&amp;" ("&amp;E459&amp;") présente un reste à payer de "&amp;SUBSTITUTE(TEXT(O459,"#,##0"),","," ")&amp;" FCFA, échu depuis le "&amp;TEXT(M459,"dd/mm/yyyy")&amp;". Pouvez-vous nous indiquer la date de règlement prévue ? Si le paiement est déjà parti, merci de nous envoyer la preuve et ne tenez pas compte de ce message. "&amp;Paramètres!$B$11&amp;", "&amp;Paramètres!$B$12,IF(K459="En retard","Bonjour "&amp;D459&amp;", votre commande "&amp;A459&amp;" ("&amp;E459&amp;", "&amp;F459&amp;" pièces) prévue le "&amp;TEXT(I459,"dd/mm/yyyy")&amp;" a pris du retard. Nous vous confirmons la nouvelle date de livraison dans la journée. Toutes nos excuses pour ce contretemps. "&amp;Paramètres!$B$11&amp;", "&amp;Paramètres!$B$12,""))))</f>
        <v/>
      </c>
      <c r="T459" s="21" t="n"/>
      <c r="U459" s="26" t="n"/>
      <c r="V459" s="21" t="n"/>
    </row>
    <row r="460">
      <c r="A460" s="21" t="n"/>
      <c r="B460" s="26" t="n"/>
      <c r="C460" s="21" t="n"/>
      <c r="D460" s="25">
        <f>IF(C460="","",IFERROR(VLOOKUP(C460,Revendeurs!$A:$B,2,FALSE),"Code inconnu"))</f>
        <v/>
      </c>
      <c r="E460" s="21" t="n"/>
      <c r="F460" s="21" t="n"/>
      <c r="G460" s="22" t="n"/>
      <c r="H460" s="23">
        <f>IF(OR(F460="",G460=""),"",F460*G460)</f>
        <v/>
      </c>
      <c r="I460" s="26" t="n"/>
      <c r="J460" s="26" t="n"/>
      <c r="K460" s="25">
        <f>IF(B460="","",IF(J460&lt;&gt;"","Livrée",IF(I460="","À planifier",IF(Paramètres!$B$4&gt;I460+Paramètres!$B$8,"En retard","En cours"))))</f>
        <v/>
      </c>
      <c r="L460" s="25">
        <f>IF(K460="En retard",Paramètres!$B$4-I460,"")</f>
        <v/>
      </c>
      <c r="M460" s="27">
        <f>IF(OR(B460="",J460=""),"",J460+IFERROR(IF(VLOOKUP(C460,Revendeurs!$A:$G,7,FALSE)="",Paramètres!$B$9,VLOOKUP(C460,Revendeurs!$A:$G,7,FALSE)),Paramètres!$B$9))</f>
        <v/>
      </c>
      <c r="N460" s="22" t="n"/>
      <c r="O460" s="23">
        <f>IF(H460="","",H460-N460)</f>
        <v/>
      </c>
      <c r="P460" s="25">
        <f>IF(OR(M460="",O460=""),"",IF(O460&lt;=0,0,MAX(0,Paramètres!$B$4-M460)))</f>
        <v/>
      </c>
      <c r="Q460" s="25">
        <f>IF(H460="","",IF(O460&lt;=0,"Payée",IF(M460="","Pas encore livrée",IF(P460=0,"Non échue",IF(P460&gt;=Paramètres!$B$7,"Relance 3 : appel direction",IF(P460&gt;=Paramètres!$B$6,"Relance 2",IF(P460&gt;=Paramètres!$B$5,"Relance 1","Échue, relance à venir")))))))</f>
        <v/>
      </c>
      <c r="R460" s="25">
        <f>IF(B460="","",IF(U460=Paramètres!$B$4,"Relancé aujourd'hui",TRIM(IF(LEFT(Q460,7)="Relance",Q460&amp;" ","")&amp;IF(K460="En retard","· Prévenir du retard de livraison",""))))</f>
        <v/>
      </c>
      <c r="S460" s="28">
        <f>IF(B460="","",IF(LEFT(Q460,9)="Relance 3","Bonjour "&amp;D460&amp;", nous revenons vers vous au sujet de la commande "&amp;A460&amp;" du "&amp;TEXT(B460,"dd/mm/yyyy")&amp;" : "&amp;SUBSTITUTE(TEXT(O460,"#,##0"),","," ")&amp;" FCFA restent à régler depuis le "&amp;TEXT(M460,"dd/mm/yyyy")&amp;". Notre responsable souhaite vous appeler pour convenir ensemble d'une solution. Quel moment vous arrange cette semaine ? "&amp;Paramètres!$B$11&amp;", "&amp;Paramètres!$B$12,IF(LEFT(Q460,7)="Relance","Bonjour "&amp;D460&amp;", sauf erreur de notre part, la commande "&amp;A460&amp;" du "&amp;TEXT(B460,"dd/mm/yyyy")&amp;" ("&amp;E460&amp;") présente un reste à payer de "&amp;SUBSTITUTE(TEXT(O460,"#,##0"),","," ")&amp;" FCFA, échu depuis le "&amp;TEXT(M460,"dd/mm/yyyy")&amp;". Pouvez-vous nous indiquer la date de règlement prévue ? Si le paiement est déjà parti, merci de nous envoyer la preuve et ne tenez pas compte de ce message. "&amp;Paramètres!$B$11&amp;", "&amp;Paramètres!$B$12,IF(K460="En retard","Bonjour "&amp;D460&amp;", votre commande "&amp;A460&amp;" ("&amp;E460&amp;", "&amp;F460&amp;" pièces) prévue le "&amp;TEXT(I460,"dd/mm/yyyy")&amp;" a pris du retard. Nous vous confirmons la nouvelle date de livraison dans la journée. Toutes nos excuses pour ce contretemps. "&amp;Paramètres!$B$11&amp;", "&amp;Paramètres!$B$12,""))))</f>
        <v/>
      </c>
      <c r="T460" s="21" t="n"/>
      <c r="U460" s="26" t="n"/>
      <c r="V460" s="21" t="n"/>
    </row>
    <row r="461">
      <c r="A461" s="21" t="n"/>
      <c r="B461" s="26" t="n"/>
      <c r="C461" s="21" t="n"/>
      <c r="D461" s="25">
        <f>IF(C461="","",IFERROR(VLOOKUP(C461,Revendeurs!$A:$B,2,FALSE),"Code inconnu"))</f>
        <v/>
      </c>
      <c r="E461" s="21" t="n"/>
      <c r="F461" s="21" t="n"/>
      <c r="G461" s="22" t="n"/>
      <c r="H461" s="23">
        <f>IF(OR(F461="",G461=""),"",F461*G461)</f>
        <v/>
      </c>
      <c r="I461" s="26" t="n"/>
      <c r="J461" s="26" t="n"/>
      <c r="K461" s="25">
        <f>IF(B461="","",IF(J461&lt;&gt;"","Livrée",IF(I461="","À planifier",IF(Paramètres!$B$4&gt;I461+Paramètres!$B$8,"En retard","En cours"))))</f>
        <v/>
      </c>
      <c r="L461" s="25">
        <f>IF(K461="En retard",Paramètres!$B$4-I461,"")</f>
        <v/>
      </c>
      <c r="M461" s="27">
        <f>IF(OR(B461="",J461=""),"",J461+IFERROR(IF(VLOOKUP(C461,Revendeurs!$A:$G,7,FALSE)="",Paramètres!$B$9,VLOOKUP(C461,Revendeurs!$A:$G,7,FALSE)),Paramètres!$B$9))</f>
        <v/>
      </c>
      <c r="N461" s="22" t="n"/>
      <c r="O461" s="23">
        <f>IF(H461="","",H461-N461)</f>
        <v/>
      </c>
      <c r="P461" s="25">
        <f>IF(OR(M461="",O461=""),"",IF(O461&lt;=0,0,MAX(0,Paramètres!$B$4-M461)))</f>
        <v/>
      </c>
      <c r="Q461" s="25">
        <f>IF(H461="","",IF(O461&lt;=0,"Payée",IF(M461="","Pas encore livrée",IF(P461=0,"Non échue",IF(P461&gt;=Paramètres!$B$7,"Relance 3 : appel direction",IF(P461&gt;=Paramètres!$B$6,"Relance 2",IF(P461&gt;=Paramètres!$B$5,"Relance 1","Échue, relance à venir")))))))</f>
        <v/>
      </c>
      <c r="R461" s="25">
        <f>IF(B461="","",IF(U461=Paramètres!$B$4,"Relancé aujourd'hui",TRIM(IF(LEFT(Q461,7)="Relance",Q461&amp;" ","")&amp;IF(K461="En retard","· Prévenir du retard de livraison",""))))</f>
        <v/>
      </c>
      <c r="S461" s="28">
        <f>IF(B461="","",IF(LEFT(Q461,9)="Relance 3","Bonjour "&amp;D461&amp;", nous revenons vers vous au sujet de la commande "&amp;A461&amp;" du "&amp;TEXT(B461,"dd/mm/yyyy")&amp;" : "&amp;SUBSTITUTE(TEXT(O461,"#,##0"),","," ")&amp;" FCFA restent à régler depuis le "&amp;TEXT(M461,"dd/mm/yyyy")&amp;". Notre responsable souhaite vous appeler pour convenir ensemble d'une solution. Quel moment vous arrange cette semaine ? "&amp;Paramètres!$B$11&amp;", "&amp;Paramètres!$B$12,IF(LEFT(Q461,7)="Relance","Bonjour "&amp;D461&amp;", sauf erreur de notre part, la commande "&amp;A461&amp;" du "&amp;TEXT(B461,"dd/mm/yyyy")&amp;" ("&amp;E461&amp;") présente un reste à payer de "&amp;SUBSTITUTE(TEXT(O461,"#,##0"),","," ")&amp;" FCFA, échu depuis le "&amp;TEXT(M461,"dd/mm/yyyy")&amp;". Pouvez-vous nous indiquer la date de règlement prévue ? Si le paiement est déjà parti, merci de nous envoyer la preuve et ne tenez pas compte de ce message. "&amp;Paramètres!$B$11&amp;", "&amp;Paramètres!$B$12,IF(K461="En retard","Bonjour "&amp;D461&amp;", votre commande "&amp;A461&amp;" ("&amp;E461&amp;", "&amp;F461&amp;" pièces) prévue le "&amp;TEXT(I461,"dd/mm/yyyy")&amp;" a pris du retard. Nous vous confirmons la nouvelle date de livraison dans la journée. Toutes nos excuses pour ce contretemps. "&amp;Paramètres!$B$11&amp;", "&amp;Paramètres!$B$12,""))))</f>
        <v/>
      </c>
      <c r="T461" s="21" t="n"/>
      <c r="U461" s="26" t="n"/>
      <c r="V461" s="21" t="n"/>
    </row>
    <row r="462">
      <c r="A462" s="21" t="n"/>
      <c r="B462" s="26" t="n"/>
      <c r="C462" s="21" t="n"/>
      <c r="D462" s="25">
        <f>IF(C462="","",IFERROR(VLOOKUP(C462,Revendeurs!$A:$B,2,FALSE),"Code inconnu"))</f>
        <v/>
      </c>
      <c r="E462" s="21" t="n"/>
      <c r="F462" s="21" t="n"/>
      <c r="G462" s="22" t="n"/>
      <c r="H462" s="23">
        <f>IF(OR(F462="",G462=""),"",F462*G462)</f>
        <v/>
      </c>
      <c r="I462" s="26" t="n"/>
      <c r="J462" s="26" t="n"/>
      <c r="K462" s="25">
        <f>IF(B462="","",IF(J462&lt;&gt;"","Livrée",IF(I462="","À planifier",IF(Paramètres!$B$4&gt;I462+Paramètres!$B$8,"En retard","En cours"))))</f>
        <v/>
      </c>
      <c r="L462" s="25">
        <f>IF(K462="En retard",Paramètres!$B$4-I462,"")</f>
        <v/>
      </c>
      <c r="M462" s="27">
        <f>IF(OR(B462="",J462=""),"",J462+IFERROR(IF(VLOOKUP(C462,Revendeurs!$A:$G,7,FALSE)="",Paramètres!$B$9,VLOOKUP(C462,Revendeurs!$A:$G,7,FALSE)),Paramètres!$B$9))</f>
        <v/>
      </c>
      <c r="N462" s="22" t="n"/>
      <c r="O462" s="23">
        <f>IF(H462="","",H462-N462)</f>
        <v/>
      </c>
      <c r="P462" s="25">
        <f>IF(OR(M462="",O462=""),"",IF(O462&lt;=0,0,MAX(0,Paramètres!$B$4-M462)))</f>
        <v/>
      </c>
      <c r="Q462" s="25">
        <f>IF(H462="","",IF(O462&lt;=0,"Payée",IF(M462="","Pas encore livrée",IF(P462=0,"Non échue",IF(P462&gt;=Paramètres!$B$7,"Relance 3 : appel direction",IF(P462&gt;=Paramètres!$B$6,"Relance 2",IF(P462&gt;=Paramètres!$B$5,"Relance 1","Échue, relance à venir")))))))</f>
        <v/>
      </c>
      <c r="R462" s="25">
        <f>IF(B462="","",IF(U462=Paramètres!$B$4,"Relancé aujourd'hui",TRIM(IF(LEFT(Q462,7)="Relance",Q462&amp;" ","")&amp;IF(K462="En retard","· Prévenir du retard de livraison",""))))</f>
        <v/>
      </c>
      <c r="S462" s="28">
        <f>IF(B462="","",IF(LEFT(Q462,9)="Relance 3","Bonjour "&amp;D462&amp;", nous revenons vers vous au sujet de la commande "&amp;A462&amp;" du "&amp;TEXT(B462,"dd/mm/yyyy")&amp;" : "&amp;SUBSTITUTE(TEXT(O462,"#,##0"),","," ")&amp;" FCFA restent à régler depuis le "&amp;TEXT(M462,"dd/mm/yyyy")&amp;". Notre responsable souhaite vous appeler pour convenir ensemble d'une solution. Quel moment vous arrange cette semaine ? "&amp;Paramètres!$B$11&amp;", "&amp;Paramètres!$B$12,IF(LEFT(Q462,7)="Relance","Bonjour "&amp;D462&amp;", sauf erreur de notre part, la commande "&amp;A462&amp;" du "&amp;TEXT(B462,"dd/mm/yyyy")&amp;" ("&amp;E462&amp;") présente un reste à payer de "&amp;SUBSTITUTE(TEXT(O462,"#,##0"),","," ")&amp;" FCFA, échu depuis le "&amp;TEXT(M462,"dd/mm/yyyy")&amp;". Pouvez-vous nous indiquer la date de règlement prévue ? Si le paiement est déjà parti, merci de nous envoyer la preuve et ne tenez pas compte de ce message. "&amp;Paramètres!$B$11&amp;", "&amp;Paramètres!$B$12,IF(K462="En retard","Bonjour "&amp;D462&amp;", votre commande "&amp;A462&amp;" ("&amp;E462&amp;", "&amp;F462&amp;" pièces) prévue le "&amp;TEXT(I462,"dd/mm/yyyy")&amp;" a pris du retard. Nous vous confirmons la nouvelle date de livraison dans la journée. Toutes nos excuses pour ce contretemps. "&amp;Paramètres!$B$11&amp;", "&amp;Paramètres!$B$12,""))))</f>
        <v/>
      </c>
      <c r="T462" s="21" t="n"/>
      <c r="U462" s="26" t="n"/>
      <c r="V462" s="21" t="n"/>
    </row>
    <row r="463">
      <c r="A463" s="21" t="n"/>
      <c r="B463" s="26" t="n"/>
      <c r="C463" s="21" t="n"/>
      <c r="D463" s="25">
        <f>IF(C463="","",IFERROR(VLOOKUP(C463,Revendeurs!$A:$B,2,FALSE),"Code inconnu"))</f>
        <v/>
      </c>
      <c r="E463" s="21" t="n"/>
      <c r="F463" s="21" t="n"/>
      <c r="G463" s="22" t="n"/>
      <c r="H463" s="23">
        <f>IF(OR(F463="",G463=""),"",F463*G463)</f>
        <v/>
      </c>
      <c r="I463" s="26" t="n"/>
      <c r="J463" s="26" t="n"/>
      <c r="K463" s="25">
        <f>IF(B463="","",IF(J463&lt;&gt;"","Livrée",IF(I463="","À planifier",IF(Paramètres!$B$4&gt;I463+Paramètres!$B$8,"En retard","En cours"))))</f>
        <v/>
      </c>
      <c r="L463" s="25">
        <f>IF(K463="En retard",Paramètres!$B$4-I463,"")</f>
        <v/>
      </c>
      <c r="M463" s="27">
        <f>IF(OR(B463="",J463=""),"",J463+IFERROR(IF(VLOOKUP(C463,Revendeurs!$A:$G,7,FALSE)="",Paramètres!$B$9,VLOOKUP(C463,Revendeurs!$A:$G,7,FALSE)),Paramètres!$B$9))</f>
        <v/>
      </c>
      <c r="N463" s="22" t="n"/>
      <c r="O463" s="23">
        <f>IF(H463="","",H463-N463)</f>
        <v/>
      </c>
      <c r="P463" s="25">
        <f>IF(OR(M463="",O463=""),"",IF(O463&lt;=0,0,MAX(0,Paramètres!$B$4-M463)))</f>
        <v/>
      </c>
      <c r="Q463" s="25">
        <f>IF(H463="","",IF(O463&lt;=0,"Payée",IF(M463="","Pas encore livrée",IF(P463=0,"Non échue",IF(P463&gt;=Paramètres!$B$7,"Relance 3 : appel direction",IF(P463&gt;=Paramètres!$B$6,"Relance 2",IF(P463&gt;=Paramètres!$B$5,"Relance 1","Échue, relance à venir")))))))</f>
        <v/>
      </c>
      <c r="R463" s="25">
        <f>IF(B463="","",IF(U463=Paramètres!$B$4,"Relancé aujourd'hui",TRIM(IF(LEFT(Q463,7)="Relance",Q463&amp;" ","")&amp;IF(K463="En retard","· Prévenir du retard de livraison",""))))</f>
        <v/>
      </c>
      <c r="S463" s="28">
        <f>IF(B463="","",IF(LEFT(Q463,9)="Relance 3","Bonjour "&amp;D463&amp;", nous revenons vers vous au sujet de la commande "&amp;A463&amp;" du "&amp;TEXT(B463,"dd/mm/yyyy")&amp;" : "&amp;SUBSTITUTE(TEXT(O463,"#,##0"),","," ")&amp;" FCFA restent à régler depuis le "&amp;TEXT(M463,"dd/mm/yyyy")&amp;". Notre responsable souhaite vous appeler pour convenir ensemble d'une solution. Quel moment vous arrange cette semaine ? "&amp;Paramètres!$B$11&amp;", "&amp;Paramètres!$B$12,IF(LEFT(Q463,7)="Relance","Bonjour "&amp;D463&amp;", sauf erreur de notre part, la commande "&amp;A463&amp;" du "&amp;TEXT(B463,"dd/mm/yyyy")&amp;" ("&amp;E463&amp;") présente un reste à payer de "&amp;SUBSTITUTE(TEXT(O463,"#,##0"),","," ")&amp;" FCFA, échu depuis le "&amp;TEXT(M463,"dd/mm/yyyy")&amp;". Pouvez-vous nous indiquer la date de règlement prévue ? Si le paiement est déjà parti, merci de nous envoyer la preuve et ne tenez pas compte de ce message. "&amp;Paramètres!$B$11&amp;", "&amp;Paramètres!$B$12,IF(K463="En retard","Bonjour "&amp;D463&amp;", votre commande "&amp;A463&amp;" ("&amp;E463&amp;", "&amp;F463&amp;" pièces) prévue le "&amp;TEXT(I463,"dd/mm/yyyy")&amp;" a pris du retard. Nous vous confirmons la nouvelle date de livraison dans la journée. Toutes nos excuses pour ce contretemps. "&amp;Paramètres!$B$11&amp;", "&amp;Paramètres!$B$12,""))))</f>
        <v/>
      </c>
      <c r="T463" s="21" t="n"/>
      <c r="U463" s="26" t="n"/>
      <c r="V463" s="21" t="n"/>
    </row>
    <row r="464">
      <c r="A464" s="21" t="n"/>
      <c r="B464" s="26" t="n"/>
      <c r="C464" s="21" t="n"/>
      <c r="D464" s="25">
        <f>IF(C464="","",IFERROR(VLOOKUP(C464,Revendeurs!$A:$B,2,FALSE),"Code inconnu"))</f>
        <v/>
      </c>
      <c r="E464" s="21" t="n"/>
      <c r="F464" s="21" t="n"/>
      <c r="G464" s="22" t="n"/>
      <c r="H464" s="23">
        <f>IF(OR(F464="",G464=""),"",F464*G464)</f>
        <v/>
      </c>
      <c r="I464" s="26" t="n"/>
      <c r="J464" s="26" t="n"/>
      <c r="K464" s="25">
        <f>IF(B464="","",IF(J464&lt;&gt;"","Livrée",IF(I464="","À planifier",IF(Paramètres!$B$4&gt;I464+Paramètres!$B$8,"En retard","En cours"))))</f>
        <v/>
      </c>
      <c r="L464" s="25">
        <f>IF(K464="En retard",Paramètres!$B$4-I464,"")</f>
        <v/>
      </c>
      <c r="M464" s="27">
        <f>IF(OR(B464="",J464=""),"",J464+IFERROR(IF(VLOOKUP(C464,Revendeurs!$A:$G,7,FALSE)="",Paramètres!$B$9,VLOOKUP(C464,Revendeurs!$A:$G,7,FALSE)),Paramètres!$B$9))</f>
        <v/>
      </c>
      <c r="N464" s="22" t="n"/>
      <c r="O464" s="23">
        <f>IF(H464="","",H464-N464)</f>
        <v/>
      </c>
      <c r="P464" s="25">
        <f>IF(OR(M464="",O464=""),"",IF(O464&lt;=0,0,MAX(0,Paramètres!$B$4-M464)))</f>
        <v/>
      </c>
      <c r="Q464" s="25">
        <f>IF(H464="","",IF(O464&lt;=0,"Payée",IF(M464="","Pas encore livrée",IF(P464=0,"Non échue",IF(P464&gt;=Paramètres!$B$7,"Relance 3 : appel direction",IF(P464&gt;=Paramètres!$B$6,"Relance 2",IF(P464&gt;=Paramètres!$B$5,"Relance 1","Échue, relance à venir")))))))</f>
        <v/>
      </c>
      <c r="R464" s="25">
        <f>IF(B464="","",IF(U464=Paramètres!$B$4,"Relancé aujourd'hui",TRIM(IF(LEFT(Q464,7)="Relance",Q464&amp;" ","")&amp;IF(K464="En retard","· Prévenir du retard de livraison",""))))</f>
        <v/>
      </c>
      <c r="S464" s="28">
        <f>IF(B464="","",IF(LEFT(Q464,9)="Relance 3","Bonjour "&amp;D464&amp;", nous revenons vers vous au sujet de la commande "&amp;A464&amp;" du "&amp;TEXT(B464,"dd/mm/yyyy")&amp;" : "&amp;SUBSTITUTE(TEXT(O464,"#,##0"),","," ")&amp;" FCFA restent à régler depuis le "&amp;TEXT(M464,"dd/mm/yyyy")&amp;". Notre responsable souhaite vous appeler pour convenir ensemble d'une solution. Quel moment vous arrange cette semaine ? "&amp;Paramètres!$B$11&amp;", "&amp;Paramètres!$B$12,IF(LEFT(Q464,7)="Relance","Bonjour "&amp;D464&amp;", sauf erreur de notre part, la commande "&amp;A464&amp;" du "&amp;TEXT(B464,"dd/mm/yyyy")&amp;" ("&amp;E464&amp;") présente un reste à payer de "&amp;SUBSTITUTE(TEXT(O464,"#,##0"),","," ")&amp;" FCFA, échu depuis le "&amp;TEXT(M464,"dd/mm/yyyy")&amp;". Pouvez-vous nous indiquer la date de règlement prévue ? Si le paiement est déjà parti, merci de nous envoyer la preuve et ne tenez pas compte de ce message. "&amp;Paramètres!$B$11&amp;", "&amp;Paramètres!$B$12,IF(K464="En retard","Bonjour "&amp;D464&amp;", votre commande "&amp;A464&amp;" ("&amp;E464&amp;", "&amp;F464&amp;" pièces) prévue le "&amp;TEXT(I464,"dd/mm/yyyy")&amp;" a pris du retard. Nous vous confirmons la nouvelle date de livraison dans la journée. Toutes nos excuses pour ce contretemps. "&amp;Paramètres!$B$11&amp;", "&amp;Paramètres!$B$12,""))))</f>
        <v/>
      </c>
      <c r="T464" s="21" t="n"/>
      <c r="U464" s="26" t="n"/>
      <c r="V464" s="21" t="n"/>
    </row>
    <row r="465">
      <c r="A465" s="21" t="n"/>
      <c r="B465" s="26" t="n"/>
      <c r="C465" s="21" t="n"/>
      <c r="D465" s="25">
        <f>IF(C465="","",IFERROR(VLOOKUP(C465,Revendeurs!$A:$B,2,FALSE),"Code inconnu"))</f>
        <v/>
      </c>
      <c r="E465" s="21" t="n"/>
      <c r="F465" s="21" t="n"/>
      <c r="G465" s="22" t="n"/>
      <c r="H465" s="23">
        <f>IF(OR(F465="",G465=""),"",F465*G465)</f>
        <v/>
      </c>
      <c r="I465" s="26" t="n"/>
      <c r="J465" s="26" t="n"/>
      <c r="K465" s="25">
        <f>IF(B465="","",IF(J465&lt;&gt;"","Livrée",IF(I465="","À planifier",IF(Paramètres!$B$4&gt;I465+Paramètres!$B$8,"En retard","En cours"))))</f>
        <v/>
      </c>
      <c r="L465" s="25">
        <f>IF(K465="En retard",Paramètres!$B$4-I465,"")</f>
        <v/>
      </c>
      <c r="M465" s="27">
        <f>IF(OR(B465="",J465=""),"",J465+IFERROR(IF(VLOOKUP(C465,Revendeurs!$A:$G,7,FALSE)="",Paramètres!$B$9,VLOOKUP(C465,Revendeurs!$A:$G,7,FALSE)),Paramètres!$B$9))</f>
        <v/>
      </c>
      <c r="N465" s="22" t="n"/>
      <c r="O465" s="23">
        <f>IF(H465="","",H465-N465)</f>
        <v/>
      </c>
      <c r="P465" s="25">
        <f>IF(OR(M465="",O465=""),"",IF(O465&lt;=0,0,MAX(0,Paramètres!$B$4-M465)))</f>
        <v/>
      </c>
      <c r="Q465" s="25">
        <f>IF(H465="","",IF(O465&lt;=0,"Payée",IF(M465="","Pas encore livrée",IF(P465=0,"Non échue",IF(P465&gt;=Paramètres!$B$7,"Relance 3 : appel direction",IF(P465&gt;=Paramètres!$B$6,"Relance 2",IF(P465&gt;=Paramètres!$B$5,"Relance 1","Échue, relance à venir")))))))</f>
        <v/>
      </c>
      <c r="R465" s="25">
        <f>IF(B465="","",IF(U465=Paramètres!$B$4,"Relancé aujourd'hui",TRIM(IF(LEFT(Q465,7)="Relance",Q465&amp;" ","")&amp;IF(K465="En retard","· Prévenir du retard de livraison",""))))</f>
        <v/>
      </c>
      <c r="S465" s="28">
        <f>IF(B465="","",IF(LEFT(Q465,9)="Relance 3","Bonjour "&amp;D465&amp;", nous revenons vers vous au sujet de la commande "&amp;A465&amp;" du "&amp;TEXT(B465,"dd/mm/yyyy")&amp;" : "&amp;SUBSTITUTE(TEXT(O465,"#,##0"),","," ")&amp;" FCFA restent à régler depuis le "&amp;TEXT(M465,"dd/mm/yyyy")&amp;". Notre responsable souhaite vous appeler pour convenir ensemble d'une solution. Quel moment vous arrange cette semaine ? "&amp;Paramètres!$B$11&amp;", "&amp;Paramètres!$B$12,IF(LEFT(Q465,7)="Relance","Bonjour "&amp;D465&amp;", sauf erreur de notre part, la commande "&amp;A465&amp;" du "&amp;TEXT(B465,"dd/mm/yyyy")&amp;" ("&amp;E465&amp;") présente un reste à payer de "&amp;SUBSTITUTE(TEXT(O465,"#,##0"),","," ")&amp;" FCFA, échu depuis le "&amp;TEXT(M465,"dd/mm/yyyy")&amp;". Pouvez-vous nous indiquer la date de règlement prévue ? Si le paiement est déjà parti, merci de nous envoyer la preuve et ne tenez pas compte de ce message. "&amp;Paramètres!$B$11&amp;", "&amp;Paramètres!$B$12,IF(K465="En retard","Bonjour "&amp;D465&amp;", votre commande "&amp;A465&amp;" ("&amp;E465&amp;", "&amp;F465&amp;" pièces) prévue le "&amp;TEXT(I465,"dd/mm/yyyy")&amp;" a pris du retard. Nous vous confirmons la nouvelle date de livraison dans la journée. Toutes nos excuses pour ce contretemps. "&amp;Paramètres!$B$11&amp;", "&amp;Paramètres!$B$12,""))))</f>
        <v/>
      </c>
      <c r="T465" s="21" t="n"/>
      <c r="U465" s="26" t="n"/>
      <c r="V465" s="21" t="n"/>
    </row>
    <row r="466">
      <c r="A466" s="21" t="n"/>
      <c r="B466" s="26" t="n"/>
      <c r="C466" s="21" t="n"/>
      <c r="D466" s="25">
        <f>IF(C466="","",IFERROR(VLOOKUP(C466,Revendeurs!$A:$B,2,FALSE),"Code inconnu"))</f>
        <v/>
      </c>
      <c r="E466" s="21" t="n"/>
      <c r="F466" s="21" t="n"/>
      <c r="G466" s="22" t="n"/>
      <c r="H466" s="23">
        <f>IF(OR(F466="",G466=""),"",F466*G466)</f>
        <v/>
      </c>
      <c r="I466" s="26" t="n"/>
      <c r="J466" s="26" t="n"/>
      <c r="K466" s="25">
        <f>IF(B466="","",IF(J466&lt;&gt;"","Livrée",IF(I466="","À planifier",IF(Paramètres!$B$4&gt;I466+Paramètres!$B$8,"En retard","En cours"))))</f>
        <v/>
      </c>
      <c r="L466" s="25">
        <f>IF(K466="En retard",Paramètres!$B$4-I466,"")</f>
        <v/>
      </c>
      <c r="M466" s="27">
        <f>IF(OR(B466="",J466=""),"",J466+IFERROR(IF(VLOOKUP(C466,Revendeurs!$A:$G,7,FALSE)="",Paramètres!$B$9,VLOOKUP(C466,Revendeurs!$A:$G,7,FALSE)),Paramètres!$B$9))</f>
        <v/>
      </c>
      <c r="N466" s="22" t="n"/>
      <c r="O466" s="23">
        <f>IF(H466="","",H466-N466)</f>
        <v/>
      </c>
      <c r="P466" s="25">
        <f>IF(OR(M466="",O466=""),"",IF(O466&lt;=0,0,MAX(0,Paramètres!$B$4-M466)))</f>
        <v/>
      </c>
      <c r="Q466" s="25">
        <f>IF(H466="","",IF(O466&lt;=0,"Payée",IF(M466="","Pas encore livrée",IF(P466=0,"Non échue",IF(P466&gt;=Paramètres!$B$7,"Relance 3 : appel direction",IF(P466&gt;=Paramètres!$B$6,"Relance 2",IF(P466&gt;=Paramètres!$B$5,"Relance 1","Échue, relance à venir")))))))</f>
        <v/>
      </c>
      <c r="R466" s="25">
        <f>IF(B466="","",IF(U466=Paramètres!$B$4,"Relancé aujourd'hui",TRIM(IF(LEFT(Q466,7)="Relance",Q466&amp;" ","")&amp;IF(K466="En retard","· Prévenir du retard de livraison",""))))</f>
        <v/>
      </c>
      <c r="S466" s="28">
        <f>IF(B466="","",IF(LEFT(Q466,9)="Relance 3","Bonjour "&amp;D466&amp;", nous revenons vers vous au sujet de la commande "&amp;A466&amp;" du "&amp;TEXT(B466,"dd/mm/yyyy")&amp;" : "&amp;SUBSTITUTE(TEXT(O466,"#,##0"),","," ")&amp;" FCFA restent à régler depuis le "&amp;TEXT(M466,"dd/mm/yyyy")&amp;". Notre responsable souhaite vous appeler pour convenir ensemble d'une solution. Quel moment vous arrange cette semaine ? "&amp;Paramètres!$B$11&amp;", "&amp;Paramètres!$B$12,IF(LEFT(Q466,7)="Relance","Bonjour "&amp;D466&amp;", sauf erreur de notre part, la commande "&amp;A466&amp;" du "&amp;TEXT(B466,"dd/mm/yyyy")&amp;" ("&amp;E466&amp;") présente un reste à payer de "&amp;SUBSTITUTE(TEXT(O466,"#,##0"),","," ")&amp;" FCFA, échu depuis le "&amp;TEXT(M466,"dd/mm/yyyy")&amp;". Pouvez-vous nous indiquer la date de règlement prévue ? Si le paiement est déjà parti, merci de nous envoyer la preuve et ne tenez pas compte de ce message. "&amp;Paramètres!$B$11&amp;", "&amp;Paramètres!$B$12,IF(K466="En retard","Bonjour "&amp;D466&amp;", votre commande "&amp;A466&amp;" ("&amp;E466&amp;", "&amp;F466&amp;" pièces) prévue le "&amp;TEXT(I466,"dd/mm/yyyy")&amp;" a pris du retard. Nous vous confirmons la nouvelle date de livraison dans la journée. Toutes nos excuses pour ce contretemps. "&amp;Paramètres!$B$11&amp;", "&amp;Paramètres!$B$12,""))))</f>
        <v/>
      </c>
      <c r="T466" s="21" t="n"/>
      <c r="U466" s="26" t="n"/>
      <c r="V466" s="21" t="n"/>
    </row>
    <row r="467">
      <c r="A467" s="21" t="n"/>
      <c r="B467" s="26" t="n"/>
      <c r="C467" s="21" t="n"/>
      <c r="D467" s="25">
        <f>IF(C467="","",IFERROR(VLOOKUP(C467,Revendeurs!$A:$B,2,FALSE),"Code inconnu"))</f>
        <v/>
      </c>
      <c r="E467" s="21" t="n"/>
      <c r="F467" s="21" t="n"/>
      <c r="G467" s="22" t="n"/>
      <c r="H467" s="23">
        <f>IF(OR(F467="",G467=""),"",F467*G467)</f>
        <v/>
      </c>
      <c r="I467" s="26" t="n"/>
      <c r="J467" s="26" t="n"/>
      <c r="K467" s="25">
        <f>IF(B467="","",IF(J467&lt;&gt;"","Livrée",IF(I467="","À planifier",IF(Paramètres!$B$4&gt;I467+Paramètres!$B$8,"En retard","En cours"))))</f>
        <v/>
      </c>
      <c r="L467" s="25">
        <f>IF(K467="En retard",Paramètres!$B$4-I467,"")</f>
        <v/>
      </c>
      <c r="M467" s="27">
        <f>IF(OR(B467="",J467=""),"",J467+IFERROR(IF(VLOOKUP(C467,Revendeurs!$A:$G,7,FALSE)="",Paramètres!$B$9,VLOOKUP(C467,Revendeurs!$A:$G,7,FALSE)),Paramètres!$B$9))</f>
        <v/>
      </c>
      <c r="N467" s="22" t="n"/>
      <c r="O467" s="23">
        <f>IF(H467="","",H467-N467)</f>
        <v/>
      </c>
      <c r="P467" s="25">
        <f>IF(OR(M467="",O467=""),"",IF(O467&lt;=0,0,MAX(0,Paramètres!$B$4-M467)))</f>
        <v/>
      </c>
      <c r="Q467" s="25">
        <f>IF(H467="","",IF(O467&lt;=0,"Payée",IF(M467="","Pas encore livrée",IF(P467=0,"Non échue",IF(P467&gt;=Paramètres!$B$7,"Relance 3 : appel direction",IF(P467&gt;=Paramètres!$B$6,"Relance 2",IF(P467&gt;=Paramètres!$B$5,"Relance 1","Échue, relance à venir")))))))</f>
        <v/>
      </c>
      <c r="R467" s="25">
        <f>IF(B467="","",IF(U467=Paramètres!$B$4,"Relancé aujourd'hui",TRIM(IF(LEFT(Q467,7)="Relance",Q467&amp;" ","")&amp;IF(K467="En retard","· Prévenir du retard de livraison",""))))</f>
        <v/>
      </c>
      <c r="S467" s="28">
        <f>IF(B467="","",IF(LEFT(Q467,9)="Relance 3","Bonjour "&amp;D467&amp;", nous revenons vers vous au sujet de la commande "&amp;A467&amp;" du "&amp;TEXT(B467,"dd/mm/yyyy")&amp;" : "&amp;SUBSTITUTE(TEXT(O467,"#,##0"),","," ")&amp;" FCFA restent à régler depuis le "&amp;TEXT(M467,"dd/mm/yyyy")&amp;". Notre responsable souhaite vous appeler pour convenir ensemble d'une solution. Quel moment vous arrange cette semaine ? "&amp;Paramètres!$B$11&amp;", "&amp;Paramètres!$B$12,IF(LEFT(Q467,7)="Relance","Bonjour "&amp;D467&amp;", sauf erreur de notre part, la commande "&amp;A467&amp;" du "&amp;TEXT(B467,"dd/mm/yyyy")&amp;" ("&amp;E467&amp;") présente un reste à payer de "&amp;SUBSTITUTE(TEXT(O467,"#,##0"),","," ")&amp;" FCFA, échu depuis le "&amp;TEXT(M467,"dd/mm/yyyy")&amp;". Pouvez-vous nous indiquer la date de règlement prévue ? Si le paiement est déjà parti, merci de nous envoyer la preuve et ne tenez pas compte de ce message. "&amp;Paramètres!$B$11&amp;", "&amp;Paramètres!$B$12,IF(K467="En retard","Bonjour "&amp;D467&amp;", votre commande "&amp;A467&amp;" ("&amp;E467&amp;", "&amp;F467&amp;" pièces) prévue le "&amp;TEXT(I467,"dd/mm/yyyy")&amp;" a pris du retard. Nous vous confirmons la nouvelle date de livraison dans la journée. Toutes nos excuses pour ce contretemps. "&amp;Paramètres!$B$11&amp;", "&amp;Paramètres!$B$12,""))))</f>
        <v/>
      </c>
      <c r="T467" s="21" t="n"/>
      <c r="U467" s="26" t="n"/>
      <c r="V467" s="21" t="n"/>
    </row>
    <row r="468">
      <c r="A468" s="21" t="n"/>
      <c r="B468" s="26" t="n"/>
      <c r="C468" s="21" t="n"/>
      <c r="D468" s="25">
        <f>IF(C468="","",IFERROR(VLOOKUP(C468,Revendeurs!$A:$B,2,FALSE),"Code inconnu"))</f>
        <v/>
      </c>
      <c r="E468" s="21" t="n"/>
      <c r="F468" s="21" t="n"/>
      <c r="G468" s="22" t="n"/>
      <c r="H468" s="23">
        <f>IF(OR(F468="",G468=""),"",F468*G468)</f>
        <v/>
      </c>
      <c r="I468" s="26" t="n"/>
      <c r="J468" s="26" t="n"/>
      <c r="K468" s="25">
        <f>IF(B468="","",IF(J468&lt;&gt;"","Livrée",IF(I468="","À planifier",IF(Paramètres!$B$4&gt;I468+Paramètres!$B$8,"En retard","En cours"))))</f>
        <v/>
      </c>
      <c r="L468" s="25">
        <f>IF(K468="En retard",Paramètres!$B$4-I468,"")</f>
        <v/>
      </c>
      <c r="M468" s="27">
        <f>IF(OR(B468="",J468=""),"",J468+IFERROR(IF(VLOOKUP(C468,Revendeurs!$A:$G,7,FALSE)="",Paramètres!$B$9,VLOOKUP(C468,Revendeurs!$A:$G,7,FALSE)),Paramètres!$B$9))</f>
        <v/>
      </c>
      <c r="N468" s="22" t="n"/>
      <c r="O468" s="23">
        <f>IF(H468="","",H468-N468)</f>
        <v/>
      </c>
      <c r="P468" s="25">
        <f>IF(OR(M468="",O468=""),"",IF(O468&lt;=0,0,MAX(0,Paramètres!$B$4-M468)))</f>
        <v/>
      </c>
      <c r="Q468" s="25">
        <f>IF(H468="","",IF(O468&lt;=0,"Payée",IF(M468="","Pas encore livrée",IF(P468=0,"Non échue",IF(P468&gt;=Paramètres!$B$7,"Relance 3 : appel direction",IF(P468&gt;=Paramètres!$B$6,"Relance 2",IF(P468&gt;=Paramètres!$B$5,"Relance 1","Échue, relance à venir")))))))</f>
        <v/>
      </c>
      <c r="R468" s="25">
        <f>IF(B468="","",IF(U468=Paramètres!$B$4,"Relancé aujourd'hui",TRIM(IF(LEFT(Q468,7)="Relance",Q468&amp;" ","")&amp;IF(K468="En retard","· Prévenir du retard de livraison",""))))</f>
        <v/>
      </c>
      <c r="S468" s="28">
        <f>IF(B468="","",IF(LEFT(Q468,9)="Relance 3","Bonjour "&amp;D468&amp;", nous revenons vers vous au sujet de la commande "&amp;A468&amp;" du "&amp;TEXT(B468,"dd/mm/yyyy")&amp;" : "&amp;SUBSTITUTE(TEXT(O468,"#,##0"),","," ")&amp;" FCFA restent à régler depuis le "&amp;TEXT(M468,"dd/mm/yyyy")&amp;". Notre responsable souhaite vous appeler pour convenir ensemble d'une solution. Quel moment vous arrange cette semaine ? "&amp;Paramètres!$B$11&amp;", "&amp;Paramètres!$B$12,IF(LEFT(Q468,7)="Relance","Bonjour "&amp;D468&amp;", sauf erreur de notre part, la commande "&amp;A468&amp;" du "&amp;TEXT(B468,"dd/mm/yyyy")&amp;" ("&amp;E468&amp;") présente un reste à payer de "&amp;SUBSTITUTE(TEXT(O468,"#,##0"),","," ")&amp;" FCFA, échu depuis le "&amp;TEXT(M468,"dd/mm/yyyy")&amp;". Pouvez-vous nous indiquer la date de règlement prévue ? Si le paiement est déjà parti, merci de nous envoyer la preuve et ne tenez pas compte de ce message. "&amp;Paramètres!$B$11&amp;", "&amp;Paramètres!$B$12,IF(K468="En retard","Bonjour "&amp;D468&amp;", votre commande "&amp;A468&amp;" ("&amp;E468&amp;", "&amp;F468&amp;" pièces) prévue le "&amp;TEXT(I468,"dd/mm/yyyy")&amp;" a pris du retard. Nous vous confirmons la nouvelle date de livraison dans la journée. Toutes nos excuses pour ce contretemps. "&amp;Paramètres!$B$11&amp;", "&amp;Paramètres!$B$12,""))))</f>
        <v/>
      </c>
      <c r="T468" s="21" t="n"/>
      <c r="U468" s="26" t="n"/>
      <c r="V468" s="21" t="n"/>
    </row>
    <row r="469">
      <c r="A469" s="21" t="n"/>
      <c r="B469" s="26" t="n"/>
      <c r="C469" s="21" t="n"/>
      <c r="D469" s="25">
        <f>IF(C469="","",IFERROR(VLOOKUP(C469,Revendeurs!$A:$B,2,FALSE),"Code inconnu"))</f>
        <v/>
      </c>
      <c r="E469" s="21" t="n"/>
      <c r="F469" s="21" t="n"/>
      <c r="G469" s="22" t="n"/>
      <c r="H469" s="23">
        <f>IF(OR(F469="",G469=""),"",F469*G469)</f>
        <v/>
      </c>
      <c r="I469" s="26" t="n"/>
      <c r="J469" s="26" t="n"/>
      <c r="K469" s="25">
        <f>IF(B469="","",IF(J469&lt;&gt;"","Livrée",IF(I469="","À planifier",IF(Paramètres!$B$4&gt;I469+Paramètres!$B$8,"En retard","En cours"))))</f>
        <v/>
      </c>
      <c r="L469" s="25">
        <f>IF(K469="En retard",Paramètres!$B$4-I469,"")</f>
        <v/>
      </c>
      <c r="M469" s="27">
        <f>IF(OR(B469="",J469=""),"",J469+IFERROR(IF(VLOOKUP(C469,Revendeurs!$A:$G,7,FALSE)="",Paramètres!$B$9,VLOOKUP(C469,Revendeurs!$A:$G,7,FALSE)),Paramètres!$B$9))</f>
        <v/>
      </c>
      <c r="N469" s="22" t="n"/>
      <c r="O469" s="23">
        <f>IF(H469="","",H469-N469)</f>
        <v/>
      </c>
      <c r="P469" s="25">
        <f>IF(OR(M469="",O469=""),"",IF(O469&lt;=0,0,MAX(0,Paramètres!$B$4-M469)))</f>
        <v/>
      </c>
      <c r="Q469" s="25">
        <f>IF(H469="","",IF(O469&lt;=0,"Payée",IF(M469="","Pas encore livrée",IF(P469=0,"Non échue",IF(P469&gt;=Paramètres!$B$7,"Relance 3 : appel direction",IF(P469&gt;=Paramètres!$B$6,"Relance 2",IF(P469&gt;=Paramètres!$B$5,"Relance 1","Échue, relance à venir")))))))</f>
        <v/>
      </c>
      <c r="R469" s="25">
        <f>IF(B469="","",IF(U469=Paramètres!$B$4,"Relancé aujourd'hui",TRIM(IF(LEFT(Q469,7)="Relance",Q469&amp;" ","")&amp;IF(K469="En retard","· Prévenir du retard de livraison",""))))</f>
        <v/>
      </c>
      <c r="S469" s="28">
        <f>IF(B469="","",IF(LEFT(Q469,9)="Relance 3","Bonjour "&amp;D469&amp;", nous revenons vers vous au sujet de la commande "&amp;A469&amp;" du "&amp;TEXT(B469,"dd/mm/yyyy")&amp;" : "&amp;SUBSTITUTE(TEXT(O469,"#,##0"),","," ")&amp;" FCFA restent à régler depuis le "&amp;TEXT(M469,"dd/mm/yyyy")&amp;". Notre responsable souhaite vous appeler pour convenir ensemble d'une solution. Quel moment vous arrange cette semaine ? "&amp;Paramètres!$B$11&amp;", "&amp;Paramètres!$B$12,IF(LEFT(Q469,7)="Relance","Bonjour "&amp;D469&amp;", sauf erreur de notre part, la commande "&amp;A469&amp;" du "&amp;TEXT(B469,"dd/mm/yyyy")&amp;" ("&amp;E469&amp;") présente un reste à payer de "&amp;SUBSTITUTE(TEXT(O469,"#,##0"),","," ")&amp;" FCFA, échu depuis le "&amp;TEXT(M469,"dd/mm/yyyy")&amp;". Pouvez-vous nous indiquer la date de règlement prévue ? Si le paiement est déjà parti, merci de nous envoyer la preuve et ne tenez pas compte de ce message. "&amp;Paramètres!$B$11&amp;", "&amp;Paramètres!$B$12,IF(K469="En retard","Bonjour "&amp;D469&amp;", votre commande "&amp;A469&amp;" ("&amp;E469&amp;", "&amp;F469&amp;" pièces) prévue le "&amp;TEXT(I469,"dd/mm/yyyy")&amp;" a pris du retard. Nous vous confirmons la nouvelle date de livraison dans la journée. Toutes nos excuses pour ce contretemps. "&amp;Paramètres!$B$11&amp;", "&amp;Paramètres!$B$12,""))))</f>
        <v/>
      </c>
      <c r="T469" s="21" t="n"/>
      <c r="U469" s="26" t="n"/>
      <c r="V469" s="21" t="n"/>
    </row>
    <row r="470">
      <c r="A470" s="21" t="n"/>
      <c r="B470" s="26" t="n"/>
      <c r="C470" s="21" t="n"/>
      <c r="D470" s="25">
        <f>IF(C470="","",IFERROR(VLOOKUP(C470,Revendeurs!$A:$B,2,FALSE),"Code inconnu"))</f>
        <v/>
      </c>
      <c r="E470" s="21" t="n"/>
      <c r="F470" s="21" t="n"/>
      <c r="G470" s="22" t="n"/>
      <c r="H470" s="23">
        <f>IF(OR(F470="",G470=""),"",F470*G470)</f>
        <v/>
      </c>
      <c r="I470" s="26" t="n"/>
      <c r="J470" s="26" t="n"/>
      <c r="K470" s="25">
        <f>IF(B470="","",IF(J470&lt;&gt;"","Livrée",IF(I470="","À planifier",IF(Paramètres!$B$4&gt;I470+Paramètres!$B$8,"En retard","En cours"))))</f>
        <v/>
      </c>
      <c r="L470" s="25">
        <f>IF(K470="En retard",Paramètres!$B$4-I470,"")</f>
        <v/>
      </c>
      <c r="M470" s="27">
        <f>IF(OR(B470="",J470=""),"",J470+IFERROR(IF(VLOOKUP(C470,Revendeurs!$A:$G,7,FALSE)="",Paramètres!$B$9,VLOOKUP(C470,Revendeurs!$A:$G,7,FALSE)),Paramètres!$B$9))</f>
        <v/>
      </c>
      <c r="N470" s="22" t="n"/>
      <c r="O470" s="23">
        <f>IF(H470="","",H470-N470)</f>
        <v/>
      </c>
      <c r="P470" s="25">
        <f>IF(OR(M470="",O470=""),"",IF(O470&lt;=0,0,MAX(0,Paramètres!$B$4-M470)))</f>
        <v/>
      </c>
      <c r="Q470" s="25">
        <f>IF(H470="","",IF(O470&lt;=0,"Payée",IF(M470="","Pas encore livrée",IF(P470=0,"Non échue",IF(P470&gt;=Paramètres!$B$7,"Relance 3 : appel direction",IF(P470&gt;=Paramètres!$B$6,"Relance 2",IF(P470&gt;=Paramètres!$B$5,"Relance 1","Échue, relance à venir")))))))</f>
        <v/>
      </c>
      <c r="R470" s="25">
        <f>IF(B470="","",IF(U470=Paramètres!$B$4,"Relancé aujourd'hui",TRIM(IF(LEFT(Q470,7)="Relance",Q470&amp;" ","")&amp;IF(K470="En retard","· Prévenir du retard de livraison",""))))</f>
        <v/>
      </c>
      <c r="S470" s="28">
        <f>IF(B470="","",IF(LEFT(Q470,9)="Relance 3","Bonjour "&amp;D470&amp;", nous revenons vers vous au sujet de la commande "&amp;A470&amp;" du "&amp;TEXT(B470,"dd/mm/yyyy")&amp;" : "&amp;SUBSTITUTE(TEXT(O470,"#,##0"),","," ")&amp;" FCFA restent à régler depuis le "&amp;TEXT(M470,"dd/mm/yyyy")&amp;". Notre responsable souhaite vous appeler pour convenir ensemble d'une solution. Quel moment vous arrange cette semaine ? "&amp;Paramètres!$B$11&amp;", "&amp;Paramètres!$B$12,IF(LEFT(Q470,7)="Relance","Bonjour "&amp;D470&amp;", sauf erreur de notre part, la commande "&amp;A470&amp;" du "&amp;TEXT(B470,"dd/mm/yyyy")&amp;" ("&amp;E470&amp;") présente un reste à payer de "&amp;SUBSTITUTE(TEXT(O470,"#,##0"),","," ")&amp;" FCFA, échu depuis le "&amp;TEXT(M470,"dd/mm/yyyy")&amp;". Pouvez-vous nous indiquer la date de règlement prévue ? Si le paiement est déjà parti, merci de nous envoyer la preuve et ne tenez pas compte de ce message. "&amp;Paramètres!$B$11&amp;", "&amp;Paramètres!$B$12,IF(K470="En retard","Bonjour "&amp;D470&amp;", votre commande "&amp;A470&amp;" ("&amp;E470&amp;", "&amp;F470&amp;" pièces) prévue le "&amp;TEXT(I470,"dd/mm/yyyy")&amp;" a pris du retard. Nous vous confirmons la nouvelle date de livraison dans la journée. Toutes nos excuses pour ce contretemps. "&amp;Paramètres!$B$11&amp;", "&amp;Paramètres!$B$12,""))))</f>
        <v/>
      </c>
      <c r="T470" s="21" t="n"/>
      <c r="U470" s="26" t="n"/>
      <c r="V470" s="21" t="n"/>
    </row>
    <row r="471">
      <c r="A471" s="21" t="n"/>
      <c r="B471" s="26" t="n"/>
      <c r="C471" s="21" t="n"/>
      <c r="D471" s="25">
        <f>IF(C471="","",IFERROR(VLOOKUP(C471,Revendeurs!$A:$B,2,FALSE),"Code inconnu"))</f>
        <v/>
      </c>
      <c r="E471" s="21" t="n"/>
      <c r="F471" s="21" t="n"/>
      <c r="G471" s="22" t="n"/>
      <c r="H471" s="23">
        <f>IF(OR(F471="",G471=""),"",F471*G471)</f>
        <v/>
      </c>
      <c r="I471" s="26" t="n"/>
      <c r="J471" s="26" t="n"/>
      <c r="K471" s="25">
        <f>IF(B471="","",IF(J471&lt;&gt;"","Livrée",IF(I471="","À planifier",IF(Paramètres!$B$4&gt;I471+Paramètres!$B$8,"En retard","En cours"))))</f>
        <v/>
      </c>
      <c r="L471" s="25">
        <f>IF(K471="En retard",Paramètres!$B$4-I471,"")</f>
        <v/>
      </c>
      <c r="M471" s="27">
        <f>IF(OR(B471="",J471=""),"",J471+IFERROR(IF(VLOOKUP(C471,Revendeurs!$A:$G,7,FALSE)="",Paramètres!$B$9,VLOOKUP(C471,Revendeurs!$A:$G,7,FALSE)),Paramètres!$B$9))</f>
        <v/>
      </c>
      <c r="N471" s="22" t="n"/>
      <c r="O471" s="23">
        <f>IF(H471="","",H471-N471)</f>
        <v/>
      </c>
      <c r="P471" s="25">
        <f>IF(OR(M471="",O471=""),"",IF(O471&lt;=0,0,MAX(0,Paramètres!$B$4-M471)))</f>
        <v/>
      </c>
      <c r="Q471" s="25">
        <f>IF(H471="","",IF(O471&lt;=0,"Payée",IF(M471="","Pas encore livrée",IF(P471=0,"Non échue",IF(P471&gt;=Paramètres!$B$7,"Relance 3 : appel direction",IF(P471&gt;=Paramètres!$B$6,"Relance 2",IF(P471&gt;=Paramètres!$B$5,"Relance 1","Échue, relance à venir")))))))</f>
        <v/>
      </c>
      <c r="R471" s="25">
        <f>IF(B471="","",IF(U471=Paramètres!$B$4,"Relancé aujourd'hui",TRIM(IF(LEFT(Q471,7)="Relance",Q471&amp;" ","")&amp;IF(K471="En retard","· Prévenir du retard de livraison",""))))</f>
        <v/>
      </c>
      <c r="S471" s="28">
        <f>IF(B471="","",IF(LEFT(Q471,9)="Relance 3","Bonjour "&amp;D471&amp;", nous revenons vers vous au sujet de la commande "&amp;A471&amp;" du "&amp;TEXT(B471,"dd/mm/yyyy")&amp;" : "&amp;SUBSTITUTE(TEXT(O471,"#,##0"),","," ")&amp;" FCFA restent à régler depuis le "&amp;TEXT(M471,"dd/mm/yyyy")&amp;". Notre responsable souhaite vous appeler pour convenir ensemble d'une solution. Quel moment vous arrange cette semaine ? "&amp;Paramètres!$B$11&amp;", "&amp;Paramètres!$B$12,IF(LEFT(Q471,7)="Relance","Bonjour "&amp;D471&amp;", sauf erreur de notre part, la commande "&amp;A471&amp;" du "&amp;TEXT(B471,"dd/mm/yyyy")&amp;" ("&amp;E471&amp;") présente un reste à payer de "&amp;SUBSTITUTE(TEXT(O471,"#,##0"),","," ")&amp;" FCFA, échu depuis le "&amp;TEXT(M471,"dd/mm/yyyy")&amp;". Pouvez-vous nous indiquer la date de règlement prévue ? Si le paiement est déjà parti, merci de nous envoyer la preuve et ne tenez pas compte de ce message. "&amp;Paramètres!$B$11&amp;", "&amp;Paramètres!$B$12,IF(K471="En retard","Bonjour "&amp;D471&amp;", votre commande "&amp;A471&amp;" ("&amp;E471&amp;", "&amp;F471&amp;" pièces) prévue le "&amp;TEXT(I471,"dd/mm/yyyy")&amp;" a pris du retard. Nous vous confirmons la nouvelle date de livraison dans la journée. Toutes nos excuses pour ce contretemps. "&amp;Paramètres!$B$11&amp;", "&amp;Paramètres!$B$12,""))))</f>
        <v/>
      </c>
      <c r="T471" s="21" t="n"/>
      <c r="U471" s="26" t="n"/>
      <c r="V471" s="21" t="n"/>
    </row>
    <row r="472">
      <c r="A472" s="21" t="n"/>
      <c r="B472" s="26" t="n"/>
      <c r="C472" s="21" t="n"/>
      <c r="D472" s="25">
        <f>IF(C472="","",IFERROR(VLOOKUP(C472,Revendeurs!$A:$B,2,FALSE),"Code inconnu"))</f>
        <v/>
      </c>
      <c r="E472" s="21" t="n"/>
      <c r="F472" s="21" t="n"/>
      <c r="G472" s="22" t="n"/>
      <c r="H472" s="23">
        <f>IF(OR(F472="",G472=""),"",F472*G472)</f>
        <v/>
      </c>
      <c r="I472" s="26" t="n"/>
      <c r="J472" s="26" t="n"/>
      <c r="K472" s="25">
        <f>IF(B472="","",IF(J472&lt;&gt;"","Livrée",IF(I472="","À planifier",IF(Paramètres!$B$4&gt;I472+Paramètres!$B$8,"En retard","En cours"))))</f>
        <v/>
      </c>
      <c r="L472" s="25">
        <f>IF(K472="En retard",Paramètres!$B$4-I472,"")</f>
        <v/>
      </c>
      <c r="M472" s="27">
        <f>IF(OR(B472="",J472=""),"",J472+IFERROR(IF(VLOOKUP(C472,Revendeurs!$A:$G,7,FALSE)="",Paramètres!$B$9,VLOOKUP(C472,Revendeurs!$A:$G,7,FALSE)),Paramètres!$B$9))</f>
        <v/>
      </c>
      <c r="N472" s="22" t="n"/>
      <c r="O472" s="23">
        <f>IF(H472="","",H472-N472)</f>
        <v/>
      </c>
      <c r="P472" s="25">
        <f>IF(OR(M472="",O472=""),"",IF(O472&lt;=0,0,MAX(0,Paramètres!$B$4-M472)))</f>
        <v/>
      </c>
      <c r="Q472" s="25">
        <f>IF(H472="","",IF(O472&lt;=0,"Payée",IF(M472="","Pas encore livrée",IF(P472=0,"Non échue",IF(P472&gt;=Paramètres!$B$7,"Relance 3 : appel direction",IF(P472&gt;=Paramètres!$B$6,"Relance 2",IF(P472&gt;=Paramètres!$B$5,"Relance 1","Échue, relance à venir")))))))</f>
        <v/>
      </c>
      <c r="R472" s="25">
        <f>IF(B472="","",IF(U472=Paramètres!$B$4,"Relancé aujourd'hui",TRIM(IF(LEFT(Q472,7)="Relance",Q472&amp;" ","")&amp;IF(K472="En retard","· Prévenir du retard de livraison",""))))</f>
        <v/>
      </c>
      <c r="S472" s="28">
        <f>IF(B472="","",IF(LEFT(Q472,9)="Relance 3","Bonjour "&amp;D472&amp;", nous revenons vers vous au sujet de la commande "&amp;A472&amp;" du "&amp;TEXT(B472,"dd/mm/yyyy")&amp;" : "&amp;SUBSTITUTE(TEXT(O472,"#,##0"),","," ")&amp;" FCFA restent à régler depuis le "&amp;TEXT(M472,"dd/mm/yyyy")&amp;". Notre responsable souhaite vous appeler pour convenir ensemble d'une solution. Quel moment vous arrange cette semaine ? "&amp;Paramètres!$B$11&amp;", "&amp;Paramètres!$B$12,IF(LEFT(Q472,7)="Relance","Bonjour "&amp;D472&amp;", sauf erreur de notre part, la commande "&amp;A472&amp;" du "&amp;TEXT(B472,"dd/mm/yyyy")&amp;" ("&amp;E472&amp;") présente un reste à payer de "&amp;SUBSTITUTE(TEXT(O472,"#,##0"),","," ")&amp;" FCFA, échu depuis le "&amp;TEXT(M472,"dd/mm/yyyy")&amp;". Pouvez-vous nous indiquer la date de règlement prévue ? Si le paiement est déjà parti, merci de nous envoyer la preuve et ne tenez pas compte de ce message. "&amp;Paramètres!$B$11&amp;", "&amp;Paramètres!$B$12,IF(K472="En retard","Bonjour "&amp;D472&amp;", votre commande "&amp;A472&amp;" ("&amp;E472&amp;", "&amp;F472&amp;" pièces) prévue le "&amp;TEXT(I472,"dd/mm/yyyy")&amp;" a pris du retard. Nous vous confirmons la nouvelle date de livraison dans la journée. Toutes nos excuses pour ce contretemps. "&amp;Paramètres!$B$11&amp;", "&amp;Paramètres!$B$12,""))))</f>
        <v/>
      </c>
      <c r="T472" s="21" t="n"/>
      <c r="U472" s="26" t="n"/>
      <c r="V472" s="21" t="n"/>
    </row>
    <row r="473">
      <c r="A473" s="21" t="n"/>
      <c r="B473" s="26" t="n"/>
      <c r="C473" s="21" t="n"/>
      <c r="D473" s="25">
        <f>IF(C473="","",IFERROR(VLOOKUP(C473,Revendeurs!$A:$B,2,FALSE),"Code inconnu"))</f>
        <v/>
      </c>
      <c r="E473" s="21" t="n"/>
      <c r="F473" s="21" t="n"/>
      <c r="G473" s="22" t="n"/>
      <c r="H473" s="23">
        <f>IF(OR(F473="",G473=""),"",F473*G473)</f>
        <v/>
      </c>
      <c r="I473" s="26" t="n"/>
      <c r="J473" s="26" t="n"/>
      <c r="K473" s="25">
        <f>IF(B473="","",IF(J473&lt;&gt;"","Livrée",IF(I473="","À planifier",IF(Paramètres!$B$4&gt;I473+Paramètres!$B$8,"En retard","En cours"))))</f>
        <v/>
      </c>
      <c r="L473" s="25">
        <f>IF(K473="En retard",Paramètres!$B$4-I473,"")</f>
        <v/>
      </c>
      <c r="M473" s="27">
        <f>IF(OR(B473="",J473=""),"",J473+IFERROR(IF(VLOOKUP(C473,Revendeurs!$A:$G,7,FALSE)="",Paramètres!$B$9,VLOOKUP(C473,Revendeurs!$A:$G,7,FALSE)),Paramètres!$B$9))</f>
        <v/>
      </c>
      <c r="N473" s="22" t="n"/>
      <c r="O473" s="23">
        <f>IF(H473="","",H473-N473)</f>
        <v/>
      </c>
      <c r="P473" s="25">
        <f>IF(OR(M473="",O473=""),"",IF(O473&lt;=0,0,MAX(0,Paramètres!$B$4-M473)))</f>
        <v/>
      </c>
      <c r="Q473" s="25">
        <f>IF(H473="","",IF(O473&lt;=0,"Payée",IF(M473="","Pas encore livrée",IF(P473=0,"Non échue",IF(P473&gt;=Paramètres!$B$7,"Relance 3 : appel direction",IF(P473&gt;=Paramètres!$B$6,"Relance 2",IF(P473&gt;=Paramètres!$B$5,"Relance 1","Échue, relance à venir")))))))</f>
        <v/>
      </c>
      <c r="R473" s="25">
        <f>IF(B473="","",IF(U473=Paramètres!$B$4,"Relancé aujourd'hui",TRIM(IF(LEFT(Q473,7)="Relance",Q473&amp;" ","")&amp;IF(K473="En retard","· Prévenir du retard de livraison",""))))</f>
        <v/>
      </c>
      <c r="S473" s="28">
        <f>IF(B473="","",IF(LEFT(Q473,9)="Relance 3","Bonjour "&amp;D473&amp;", nous revenons vers vous au sujet de la commande "&amp;A473&amp;" du "&amp;TEXT(B473,"dd/mm/yyyy")&amp;" : "&amp;SUBSTITUTE(TEXT(O473,"#,##0"),","," ")&amp;" FCFA restent à régler depuis le "&amp;TEXT(M473,"dd/mm/yyyy")&amp;". Notre responsable souhaite vous appeler pour convenir ensemble d'une solution. Quel moment vous arrange cette semaine ? "&amp;Paramètres!$B$11&amp;", "&amp;Paramètres!$B$12,IF(LEFT(Q473,7)="Relance","Bonjour "&amp;D473&amp;", sauf erreur de notre part, la commande "&amp;A473&amp;" du "&amp;TEXT(B473,"dd/mm/yyyy")&amp;" ("&amp;E473&amp;") présente un reste à payer de "&amp;SUBSTITUTE(TEXT(O473,"#,##0"),","," ")&amp;" FCFA, échu depuis le "&amp;TEXT(M473,"dd/mm/yyyy")&amp;". Pouvez-vous nous indiquer la date de règlement prévue ? Si le paiement est déjà parti, merci de nous envoyer la preuve et ne tenez pas compte de ce message. "&amp;Paramètres!$B$11&amp;", "&amp;Paramètres!$B$12,IF(K473="En retard","Bonjour "&amp;D473&amp;", votre commande "&amp;A473&amp;" ("&amp;E473&amp;", "&amp;F473&amp;" pièces) prévue le "&amp;TEXT(I473,"dd/mm/yyyy")&amp;" a pris du retard. Nous vous confirmons la nouvelle date de livraison dans la journée. Toutes nos excuses pour ce contretemps. "&amp;Paramètres!$B$11&amp;", "&amp;Paramètres!$B$12,""))))</f>
        <v/>
      </c>
      <c r="T473" s="21" t="n"/>
      <c r="U473" s="26" t="n"/>
      <c r="V473" s="21" t="n"/>
    </row>
    <row r="474">
      <c r="A474" s="21" t="n"/>
      <c r="B474" s="26" t="n"/>
      <c r="C474" s="21" t="n"/>
      <c r="D474" s="25">
        <f>IF(C474="","",IFERROR(VLOOKUP(C474,Revendeurs!$A:$B,2,FALSE),"Code inconnu"))</f>
        <v/>
      </c>
      <c r="E474" s="21" t="n"/>
      <c r="F474" s="21" t="n"/>
      <c r="G474" s="22" t="n"/>
      <c r="H474" s="23">
        <f>IF(OR(F474="",G474=""),"",F474*G474)</f>
        <v/>
      </c>
      <c r="I474" s="26" t="n"/>
      <c r="J474" s="26" t="n"/>
      <c r="K474" s="25">
        <f>IF(B474="","",IF(J474&lt;&gt;"","Livrée",IF(I474="","À planifier",IF(Paramètres!$B$4&gt;I474+Paramètres!$B$8,"En retard","En cours"))))</f>
        <v/>
      </c>
      <c r="L474" s="25">
        <f>IF(K474="En retard",Paramètres!$B$4-I474,"")</f>
        <v/>
      </c>
      <c r="M474" s="27">
        <f>IF(OR(B474="",J474=""),"",J474+IFERROR(IF(VLOOKUP(C474,Revendeurs!$A:$G,7,FALSE)="",Paramètres!$B$9,VLOOKUP(C474,Revendeurs!$A:$G,7,FALSE)),Paramètres!$B$9))</f>
        <v/>
      </c>
      <c r="N474" s="22" t="n"/>
      <c r="O474" s="23">
        <f>IF(H474="","",H474-N474)</f>
        <v/>
      </c>
      <c r="P474" s="25">
        <f>IF(OR(M474="",O474=""),"",IF(O474&lt;=0,0,MAX(0,Paramètres!$B$4-M474)))</f>
        <v/>
      </c>
      <c r="Q474" s="25">
        <f>IF(H474="","",IF(O474&lt;=0,"Payée",IF(M474="","Pas encore livrée",IF(P474=0,"Non échue",IF(P474&gt;=Paramètres!$B$7,"Relance 3 : appel direction",IF(P474&gt;=Paramètres!$B$6,"Relance 2",IF(P474&gt;=Paramètres!$B$5,"Relance 1","Échue, relance à venir")))))))</f>
        <v/>
      </c>
      <c r="R474" s="25">
        <f>IF(B474="","",IF(U474=Paramètres!$B$4,"Relancé aujourd'hui",TRIM(IF(LEFT(Q474,7)="Relance",Q474&amp;" ","")&amp;IF(K474="En retard","· Prévenir du retard de livraison",""))))</f>
        <v/>
      </c>
      <c r="S474" s="28">
        <f>IF(B474="","",IF(LEFT(Q474,9)="Relance 3","Bonjour "&amp;D474&amp;", nous revenons vers vous au sujet de la commande "&amp;A474&amp;" du "&amp;TEXT(B474,"dd/mm/yyyy")&amp;" : "&amp;SUBSTITUTE(TEXT(O474,"#,##0"),","," ")&amp;" FCFA restent à régler depuis le "&amp;TEXT(M474,"dd/mm/yyyy")&amp;". Notre responsable souhaite vous appeler pour convenir ensemble d'une solution. Quel moment vous arrange cette semaine ? "&amp;Paramètres!$B$11&amp;", "&amp;Paramètres!$B$12,IF(LEFT(Q474,7)="Relance","Bonjour "&amp;D474&amp;", sauf erreur de notre part, la commande "&amp;A474&amp;" du "&amp;TEXT(B474,"dd/mm/yyyy")&amp;" ("&amp;E474&amp;") présente un reste à payer de "&amp;SUBSTITUTE(TEXT(O474,"#,##0"),","," ")&amp;" FCFA, échu depuis le "&amp;TEXT(M474,"dd/mm/yyyy")&amp;". Pouvez-vous nous indiquer la date de règlement prévue ? Si le paiement est déjà parti, merci de nous envoyer la preuve et ne tenez pas compte de ce message. "&amp;Paramètres!$B$11&amp;", "&amp;Paramètres!$B$12,IF(K474="En retard","Bonjour "&amp;D474&amp;", votre commande "&amp;A474&amp;" ("&amp;E474&amp;", "&amp;F474&amp;" pièces) prévue le "&amp;TEXT(I474,"dd/mm/yyyy")&amp;" a pris du retard. Nous vous confirmons la nouvelle date de livraison dans la journée. Toutes nos excuses pour ce contretemps. "&amp;Paramètres!$B$11&amp;", "&amp;Paramètres!$B$12,""))))</f>
        <v/>
      </c>
      <c r="T474" s="21" t="n"/>
      <c r="U474" s="26" t="n"/>
      <c r="V474" s="21" t="n"/>
    </row>
    <row r="475">
      <c r="A475" s="21" t="n"/>
      <c r="B475" s="26" t="n"/>
      <c r="C475" s="21" t="n"/>
      <c r="D475" s="25">
        <f>IF(C475="","",IFERROR(VLOOKUP(C475,Revendeurs!$A:$B,2,FALSE),"Code inconnu"))</f>
        <v/>
      </c>
      <c r="E475" s="21" t="n"/>
      <c r="F475" s="21" t="n"/>
      <c r="G475" s="22" t="n"/>
      <c r="H475" s="23">
        <f>IF(OR(F475="",G475=""),"",F475*G475)</f>
        <v/>
      </c>
      <c r="I475" s="26" t="n"/>
      <c r="J475" s="26" t="n"/>
      <c r="K475" s="25">
        <f>IF(B475="","",IF(J475&lt;&gt;"","Livrée",IF(I475="","À planifier",IF(Paramètres!$B$4&gt;I475+Paramètres!$B$8,"En retard","En cours"))))</f>
        <v/>
      </c>
      <c r="L475" s="25">
        <f>IF(K475="En retard",Paramètres!$B$4-I475,"")</f>
        <v/>
      </c>
      <c r="M475" s="27">
        <f>IF(OR(B475="",J475=""),"",J475+IFERROR(IF(VLOOKUP(C475,Revendeurs!$A:$G,7,FALSE)="",Paramètres!$B$9,VLOOKUP(C475,Revendeurs!$A:$G,7,FALSE)),Paramètres!$B$9))</f>
        <v/>
      </c>
      <c r="N475" s="22" t="n"/>
      <c r="O475" s="23">
        <f>IF(H475="","",H475-N475)</f>
        <v/>
      </c>
      <c r="P475" s="25">
        <f>IF(OR(M475="",O475=""),"",IF(O475&lt;=0,0,MAX(0,Paramètres!$B$4-M475)))</f>
        <v/>
      </c>
      <c r="Q475" s="25">
        <f>IF(H475="","",IF(O475&lt;=0,"Payée",IF(M475="","Pas encore livrée",IF(P475=0,"Non échue",IF(P475&gt;=Paramètres!$B$7,"Relance 3 : appel direction",IF(P475&gt;=Paramètres!$B$6,"Relance 2",IF(P475&gt;=Paramètres!$B$5,"Relance 1","Échue, relance à venir")))))))</f>
        <v/>
      </c>
      <c r="R475" s="25">
        <f>IF(B475="","",IF(U475=Paramètres!$B$4,"Relancé aujourd'hui",TRIM(IF(LEFT(Q475,7)="Relance",Q475&amp;" ","")&amp;IF(K475="En retard","· Prévenir du retard de livraison",""))))</f>
        <v/>
      </c>
      <c r="S475" s="28">
        <f>IF(B475="","",IF(LEFT(Q475,9)="Relance 3","Bonjour "&amp;D475&amp;", nous revenons vers vous au sujet de la commande "&amp;A475&amp;" du "&amp;TEXT(B475,"dd/mm/yyyy")&amp;" : "&amp;SUBSTITUTE(TEXT(O475,"#,##0"),","," ")&amp;" FCFA restent à régler depuis le "&amp;TEXT(M475,"dd/mm/yyyy")&amp;". Notre responsable souhaite vous appeler pour convenir ensemble d'une solution. Quel moment vous arrange cette semaine ? "&amp;Paramètres!$B$11&amp;", "&amp;Paramètres!$B$12,IF(LEFT(Q475,7)="Relance","Bonjour "&amp;D475&amp;", sauf erreur de notre part, la commande "&amp;A475&amp;" du "&amp;TEXT(B475,"dd/mm/yyyy")&amp;" ("&amp;E475&amp;") présente un reste à payer de "&amp;SUBSTITUTE(TEXT(O475,"#,##0"),","," ")&amp;" FCFA, échu depuis le "&amp;TEXT(M475,"dd/mm/yyyy")&amp;". Pouvez-vous nous indiquer la date de règlement prévue ? Si le paiement est déjà parti, merci de nous envoyer la preuve et ne tenez pas compte de ce message. "&amp;Paramètres!$B$11&amp;", "&amp;Paramètres!$B$12,IF(K475="En retard","Bonjour "&amp;D475&amp;", votre commande "&amp;A475&amp;" ("&amp;E475&amp;", "&amp;F475&amp;" pièces) prévue le "&amp;TEXT(I475,"dd/mm/yyyy")&amp;" a pris du retard. Nous vous confirmons la nouvelle date de livraison dans la journée. Toutes nos excuses pour ce contretemps. "&amp;Paramètres!$B$11&amp;", "&amp;Paramètres!$B$12,""))))</f>
        <v/>
      </c>
      <c r="T475" s="21" t="n"/>
      <c r="U475" s="26" t="n"/>
      <c r="V475" s="21" t="n"/>
    </row>
    <row r="476">
      <c r="A476" s="21" t="n"/>
      <c r="B476" s="26" t="n"/>
      <c r="C476" s="21" t="n"/>
      <c r="D476" s="25">
        <f>IF(C476="","",IFERROR(VLOOKUP(C476,Revendeurs!$A:$B,2,FALSE),"Code inconnu"))</f>
        <v/>
      </c>
      <c r="E476" s="21" t="n"/>
      <c r="F476" s="21" t="n"/>
      <c r="G476" s="22" t="n"/>
      <c r="H476" s="23">
        <f>IF(OR(F476="",G476=""),"",F476*G476)</f>
        <v/>
      </c>
      <c r="I476" s="26" t="n"/>
      <c r="J476" s="26" t="n"/>
      <c r="K476" s="25">
        <f>IF(B476="","",IF(J476&lt;&gt;"","Livrée",IF(I476="","À planifier",IF(Paramètres!$B$4&gt;I476+Paramètres!$B$8,"En retard","En cours"))))</f>
        <v/>
      </c>
      <c r="L476" s="25">
        <f>IF(K476="En retard",Paramètres!$B$4-I476,"")</f>
        <v/>
      </c>
      <c r="M476" s="27">
        <f>IF(OR(B476="",J476=""),"",J476+IFERROR(IF(VLOOKUP(C476,Revendeurs!$A:$G,7,FALSE)="",Paramètres!$B$9,VLOOKUP(C476,Revendeurs!$A:$G,7,FALSE)),Paramètres!$B$9))</f>
        <v/>
      </c>
      <c r="N476" s="22" t="n"/>
      <c r="O476" s="23">
        <f>IF(H476="","",H476-N476)</f>
        <v/>
      </c>
      <c r="P476" s="25">
        <f>IF(OR(M476="",O476=""),"",IF(O476&lt;=0,0,MAX(0,Paramètres!$B$4-M476)))</f>
        <v/>
      </c>
      <c r="Q476" s="25">
        <f>IF(H476="","",IF(O476&lt;=0,"Payée",IF(M476="","Pas encore livrée",IF(P476=0,"Non échue",IF(P476&gt;=Paramètres!$B$7,"Relance 3 : appel direction",IF(P476&gt;=Paramètres!$B$6,"Relance 2",IF(P476&gt;=Paramètres!$B$5,"Relance 1","Échue, relance à venir")))))))</f>
        <v/>
      </c>
      <c r="R476" s="25">
        <f>IF(B476="","",IF(U476=Paramètres!$B$4,"Relancé aujourd'hui",TRIM(IF(LEFT(Q476,7)="Relance",Q476&amp;" ","")&amp;IF(K476="En retard","· Prévenir du retard de livraison",""))))</f>
        <v/>
      </c>
      <c r="S476" s="28">
        <f>IF(B476="","",IF(LEFT(Q476,9)="Relance 3","Bonjour "&amp;D476&amp;", nous revenons vers vous au sujet de la commande "&amp;A476&amp;" du "&amp;TEXT(B476,"dd/mm/yyyy")&amp;" : "&amp;SUBSTITUTE(TEXT(O476,"#,##0"),","," ")&amp;" FCFA restent à régler depuis le "&amp;TEXT(M476,"dd/mm/yyyy")&amp;". Notre responsable souhaite vous appeler pour convenir ensemble d'une solution. Quel moment vous arrange cette semaine ? "&amp;Paramètres!$B$11&amp;", "&amp;Paramètres!$B$12,IF(LEFT(Q476,7)="Relance","Bonjour "&amp;D476&amp;", sauf erreur de notre part, la commande "&amp;A476&amp;" du "&amp;TEXT(B476,"dd/mm/yyyy")&amp;" ("&amp;E476&amp;") présente un reste à payer de "&amp;SUBSTITUTE(TEXT(O476,"#,##0"),","," ")&amp;" FCFA, échu depuis le "&amp;TEXT(M476,"dd/mm/yyyy")&amp;". Pouvez-vous nous indiquer la date de règlement prévue ? Si le paiement est déjà parti, merci de nous envoyer la preuve et ne tenez pas compte de ce message. "&amp;Paramètres!$B$11&amp;", "&amp;Paramètres!$B$12,IF(K476="En retard","Bonjour "&amp;D476&amp;", votre commande "&amp;A476&amp;" ("&amp;E476&amp;", "&amp;F476&amp;" pièces) prévue le "&amp;TEXT(I476,"dd/mm/yyyy")&amp;" a pris du retard. Nous vous confirmons la nouvelle date de livraison dans la journée. Toutes nos excuses pour ce contretemps. "&amp;Paramètres!$B$11&amp;", "&amp;Paramètres!$B$12,""))))</f>
        <v/>
      </c>
      <c r="T476" s="21" t="n"/>
      <c r="U476" s="26" t="n"/>
      <c r="V476" s="21" t="n"/>
    </row>
    <row r="477">
      <c r="A477" s="21" t="n"/>
      <c r="B477" s="26" t="n"/>
      <c r="C477" s="21" t="n"/>
      <c r="D477" s="25">
        <f>IF(C477="","",IFERROR(VLOOKUP(C477,Revendeurs!$A:$B,2,FALSE),"Code inconnu"))</f>
        <v/>
      </c>
      <c r="E477" s="21" t="n"/>
      <c r="F477" s="21" t="n"/>
      <c r="G477" s="22" t="n"/>
      <c r="H477" s="23">
        <f>IF(OR(F477="",G477=""),"",F477*G477)</f>
        <v/>
      </c>
      <c r="I477" s="26" t="n"/>
      <c r="J477" s="26" t="n"/>
      <c r="K477" s="25">
        <f>IF(B477="","",IF(J477&lt;&gt;"","Livrée",IF(I477="","À planifier",IF(Paramètres!$B$4&gt;I477+Paramètres!$B$8,"En retard","En cours"))))</f>
        <v/>
      </c>
      <c r="L477" s="25">
        <f>IF(K477="En retard",Paramètres!$B$4-I477,"")</f>
        <v/>
      </c>
      <c r="M477" s="27">
        <f>IF(OR(B477="",J477=""),"",J477+IFERROR(IF(VLOOKUP(C477,Revendeurs!$A:$G,7,FALSE)="",Paramètres!$B$9,VLOOKUP(C477,Revendeurs!$A:$G,7,FALSE)),Paramètres!$B$9))</f>
        <v/>
      </c>
      <c r="N477" s="22" t="n"/>
      <c r="O477" s="23">
        <f>IF(H477="","",H477-N477)</f>
        <v/>
      </c>
      <c r="P477" s="25">
        <f>IF(OR(M477="",O477=""),"",IF(O477&lt;=0,0,MAX(0,Paramètres!$B$4-M477)))</f>
        <v/>
      </c>
      <c r="Q477" s="25">
        <f>IF(H477="","",IF(O477&lt;=0,"Payée",IF(M477="","Pas encore livrée",IF(P477=0,"Non échue",IF(P477&gt;=Paramètres!$B$7,"Relance 3 : appel direction",IF(P477&gt;=Paramètres!$B$6,"Relance 2",IF(P477&gt;=Paramètres!$B$5,"Relance 1","Échue, relance à venir")))))))</f>
        <v/>
      </c>
      <c r="R477" s="25">
        <f>IF(B477="","",IF(U477=Paramètres!$B$4,"Relancé aujourd'hui",TRIM(IF(LEFT(Q477,7)="Relance",Q477&amp;" ","")&amp;IF(K477="En retard","· Prévenir du retard de livraison",""))))</f>
        <v/>
      </c>
      <c r="S477" s="28">
        <f>IF(B477="","",IF(LEFT(Q477,9)="Relance 3","Bonjour "&amp;D477&amp;", nous revenons vers vous au sujet de la commande "&amp;A477&amp;" du "&amp;TEXT(B477,"dd/mm/yyyy")&amp;" : "&amp;SUBSTITUTE(TEXT(O477,"#,##0"),","," ")&amp;" FCFA restent à régler depuis le "&amp;TEXT(M477,"dd/mm/yyyy")&amp;". Notre responsable souhaite vous appeler pour convenir ensemble d'une solution. Quel moment vous arrange cette semaine ? "&amp;Paramètres!$B$11&amp;", "&amp;Paramètres!$B$12,IF(LEFT(Q477,7)="Relance","Bonjour "&amp;D477&amp;", sauf erreur de notre part, la commande "&amp;A477&amp;" du "&amp;TEXT(B477,"dd/mm/yyyy")&amp;" ("&amp;E477&amp;") présente un reste à payer de "&amp;SUBSTITUTE(TEXT(O477,"#,##0"),","," ")&amp;" FCFA, échu depuis le "&amp;TEXT(M477,"dd/mm/yyyy")&amp;". Pouvez-vous nous indiquer la date de règlement prévue ? Si le paiement est déjà parti, merci de nous envoyer la preuve et ne tenez pas compte de ce message. "&amp;Paramètres!$B$11&amp;", "&amp;Paramètres!$B$12,IF(K477="En retard","Bonjour "&amp;D477&amp;", votre commande "&amp;A477&amp;" ("&amp;E477&amp;", "&amp;F477&amp;" pièces) prévue le "&amp;TEXT(I477,"dd/mm/yyyy")&amp;" a pris du retard. Nous vous confirmons la nouvelle date de livraison dans la journée. Toutes nos excuses pour ce contretemps. "&amp;Paramètres!$B$11&amp;", "&amp;Paramètres!$B$12,""))))</f>
        <v/>
      </c>
      <c r="T477" s="21" t="n"/>
      <c r="U477" s="26" t="n"/>
      <c r="V477" s="21" t="n"/>
    </row>
    <row r="478">
      <c r="A478" s="21" t="n"/>
      <c r="B478" s="26" t="n"/>
      <c r="C478" s="21" t="n"/>
      <c r="D478" s="25">
        <f>IF(C478="","",IFERROR(VLOOKUP(C478,Revendeurs!$A:$B,2,FALSE),"Code inconnu"))</f>
        <v/>
      </c>
      <c r="E478" s="21" t="n"/>
      <c r="F478" s="21" t="n"/>
      <c r="G478" s="22" t="n"/>
      <c r="H478" s="23">
        <f>IF(OR(F478="",G478=""),"",F478*G478)</f>
        <v/>
      </c>
      <c r="I478" s="26" t="n"/>
      <c r="J478" s="26" t="n"/>
      <c r="K478" s="25">
        <f>IF(B478="","",IF(J478&lt;&gt;"","Livrée",IF(I478="","À planifier",IF(Paramètres!$B$4&gt;I478+Paramètres!$B$8,"En retard","En cours"))))</f>
        <v/>
      </c>
      <c r="L478" s="25">
        <f>IF(K478="En retard",Paramètres!$B$4-I478,"")</f>
        <v/>
      </c>
      <c r="M478" s="27">
        <f>IF(OR(B478="",J478=""),"",J478+IFERROR(IF(VLOOKUP(C478,Revendeurs!$A:$G,7,FALSE)="",Paramètres!$B$9,VLOOKUP(C478,Revendeurs!$A:$G,7,FALSE)),Paramètres!$B$9))</f>
        <v/>
      </c>
      <c r="N478" s="22" t="n"/>
      <c r="O478" s="23">
        <f>IF(H478="","",H478-N478)</f>
        <v/>
      </c>
      <c r="P478" s="25">
        <f>IF(OR(M478="",O478=""),"",IF(O478&lt;=0,0,MAX(0,Paramètres!$B$4-M478)))</f>
        <v/>
      </c>
      <c r="Q478" s="25">
        <f>IF(H478="","",IF(O478&lt;=0,"Payée",IF(M478="","Pas encore livrée",IF(P478=0,"Non échue",IF(P478&gt;=Paramètres!$B$7,"Relance 3 : appel direction",IF(P478&gt;=Paramètres!$B$6,"Relance 2",IF(P478&gt;=Paramètres!$B$5,"Relance 1","Échue, relance à venir")))))))</f>
        <v/>
      </c>
      <c r="R478" s="25">
        <f>IF(B478="","",IF(U478=Paramètres!$B$4,"Relancé aujourd'hui",TRIM(IF(LEFT(Q478,7)="Relance",Q478&amp;" ","")&amp;IF(K478="En retard","· Prévenir du retard de livraison",""))))</f>
        <v/>
      </c>
      <c r="S478" s="28">
        <f>IF(B478="","",IF(LEFT(Q478,9)="Relance 3","Bonjour "&amp;D478&amp;", nous revenons vers vous au sujet de la commande "&amp;A478&amp;" du "&amp;TEXT(B478,"dd/mm/yyyy")&amp;" : "&amp;SUBSTITUTE(TEXT(O478,"#,##0"),","," ")&amp;" FCFA restent à régler depuis le "&amp;TEXT(M478,"dd/mm/yyyy")&amp;". Notre responsable souhaite vous appeler pour convenir ensemble d'une solution. Quel moment vous arrange cette semaine ? "&amp;Paramètres!$B$11&amp;", "&amp;Paramètres!$B$12,IF(LEFT(Q478,7)="Relance","Bonjour "&amp;D478&amp;", sauf erreur de notre part, la commande "&amp;A478&amp;" du "&amp;TEXT(B478,"dd/mm/yyyy")&amp;" ("&amp;E478&amp;") présente un reste à payer de "&amp;SUBSTITUTE(TEXT(O478,"#,##0"),","," ")&amp;" FCFA, échu depuis le "&amp;TEXT(M478,"dd/mm/yyyy")&amp;". Pouvez-vous nous indiquer la date de règlement prévue ? Si le paiement est déjà parti, merci de nous envoyer la preuve et ne tenez pas compte de ce message. "&amp;Paramètres!$B$11&amp;", "&amp;Paramètres!$B$12,IF(K478="En retard","Bonjour "&amp;D478&amp;", votre commande "&amp;A478&amp;" ("&amp;E478&amp;", "&amp;F478&amp;" pièces) prévue le "&amp;TEXT(I478,"dd/mm/yyyy")&amp;" a pris du retard. Nous vous confirmons la nouvelle date de livraison dans la journée. Toutes nos excuses pour ce contretemps. "&amp;Paramètres!$B$11&amp;", "&amp;Paramètres!$B$12,""))))</f>
        <v/>
      </c>
      <c r="T478" s="21" t="n"/>
      <c r="U478" s="26" t="n"/>
      <c r="V478" s="21" t="n"/>
    </row>
    <row r="479">
      <c r="A479" s="21" t="n"/>
      <c r="B479" s="26" t="n"/>
      <c r="C479" s="21" t="n"/>
      <c r="D479" s="25">
        <f>IF(C479="","",IFERROR(VLOOKUP(C479,Revendeurs!$A:$B,2,FALSE),"Code inconnu"))</f>
        <v/>
      </c>
      <c r="E479" s="21" t="n"/>
      <c r="F479" s="21" t="n"/>
      <c r="G479" s="22" t="n"/>
      <c r="H479" s="23">
        <f>IF(OR(F479="",G479=""),"",F479*G479)</f>
        <v/>
      </c>
      <c r="I479" s="26" t="n"/>
      <c r="J479" s="26" t="n"/>
      <c r="K479" s="25">
        <f>IF(B479="","",IF(J479&lt;&gt;"","Livrée",IF(I479="","À planifier",IF(Paramètres!$B$4&gt;I479+Paramètres!$B$8,"En retard","En cours"))))</f>
        <v/>
      </c>
      <c r="L479" s="25">
        <f>IF(K479="En retard",Paramètres!$B$4-I479,"")</f>
        <v/>
      </c>
      <c r="M479" s="27">
        <f>IF(OR(B479="",J479=""),"",J479+IFERROR(IF(VLOOKUP(C479,Revendeurs!$A:$G,7,FALSE)="",Paramètres!$B$9,VLOOKUP(C479,Revendeurs!$A:$G,7,FALSE)),Paramètres!$B$9))</f>
        <v/>
      </c>
      <c r="N479" s="22" t="n"/>
      <c r="O479" s="23">
        <f>IF(H479="","",H479-N479)</f>
        <v/>
      </c>
      <c r="P479" s="25">
        <f>IF(OR(M479="",O479=""),"",IF(O479&lt;=0,0,MAX(0,Paramètres!$B$4-M479)))</f>
        <v/>
      </c>
      <c r="Q479" s="25">
        <f>IF(H479="","",IF(O479&lt;=0,"Payée",IF(M479="","Pas encore livrée",IF(P479=0,"Non échue",IF(P479&gt;=Paramètres!$B$7,"Relance 3 : appel direction",IF(P479&gt;=Paramètres!$B$6,"Relance 2",IF(P479&gt;=Paramètres!$B$5,"Relance 1","Échue, relance à venir")))))))</f>
        <v/>
      </c>
      <c r="R479" s="25">
        <f>IF(B479="","",IF(U479=Paramètres!$B$4,"Relancé aujourd'hui",TRIM(IF(LEFT(Q479,7)="Relance",Q479&amp;" ","")&amp;IF(K479="En retard","· Prévenir du retard de livraison",""))))</f>
        <v/>
      </c>
      <c r="S479" s="28">
        <f>IF(B479="","",IF(LEFT(Q479,9)="Relance 3","Bonjour "&amp;D479&amp;", nous revenons vers vous au sujet de la commande "&amp;A479&amp;" du "&amp;TEXT(B479,"dd/mm/yyyy")&amp;" : "&amp;SUBSTITUTE(TEXT(O479,"#,##0"),","," ")&amp;" FCFA restent à régler depuis le "&amp;TEXT(M479,"dd/mm/yyyy")&amp;". Notre responsable souhaite vous appeler pour convenir ensemble d'une solution. Quel moment vous arrange cette semaine ? "&amp;Paramètres!$B$11&amp;", "&amp;Paramètres!$B$12,IF(LEFT(Q479,7)="Relance","Bonjour "&amp;D479&amp;", sauf erreur de notre part, la commande "&amp;A479&amp;" du "&amp;TEXT(B479,"dd/mm/yyyy")&amp;" ("&amp;E479&amp;") présente un reste à payer de "&amp;SUBSTITUTE(TEXT(O479,"#,##0"),","," ")&amp;" FCFA, échu depuis le "&amp;TEXT(M479,"dd/mm/yyyy")&amp;". Pouvez-vous nous indiquer la date de règlement prévue ? Si le paiement est déjà parti, merci de nous envoyer la preuve et ne tenez pas compte de ce message. "&amp;Paramètres!$B$11&amp;", "&amp;Paramètres!$B$12,IF(K479="En retard","Bonjour "&amp;D479&amp;", votre commande "&amp;A479&amp;" ("&amp;E479&amp;", "&amp;F479&amp;" pièces) prévue le "&amp;TEXT(I479,"dd/mm/yyyy")&amp;" a pris du retard. Nous vous confirmons la nouvelle date de livraison dans la journée. Toutes nos excuses pour ce contretemps. "&amp;Paramètres!$B$11&amp;", "&amp;Paramètres!$B$12,""))))</f>
        <v/>
      </c>
      <c r="T479" s="21" t="n"/>
      <c r="U479" s="26" t="n"/>
      <c r="V479" s="21" t="n"/>
    </row>
    <row r="480">
      <c r="A480" s="21" t="n"/>
      <c r="B480" s="26" t="n"/>
      <c r="C480" s="21" t="n"/>
      <c r="D480" s="25">
        <f>IF(C480="","",IFERROR(VLOOKUP(C480,Revendeurs!$A:$B,2,FALSE),"Code inconnu"))</f>
        <v/>
      </c>
      <c r="E480" s="21" t="n"/>
      <c r="F480" s="21" t="n"/>
      <c r="G480" s="22" t="n"/>
      <c r="H480" s="23">
        <f>IF(OR(F480="",G480=""),"",F480*G480)</f>
        <v/>
      </c>
      <c r="I480" s="26" t="n"/>
      <c r="J480" s="26" t="n"/>
      <c r="K480" s="25">
        <f>IF(B480="","",IF(J480&lt;&gt;"","Livrée",IF(I480="","À planifier",IF(Paramètres!$B$4&gt;I480+Paramètres!$B$8,"En retard","En cours"))))</f>
        <v/>
      </c>
      <c r="L480" s="25">
        <f>IF(K480="En retard",Paramètres!$B$4-I480,"")</f>
        <v/>
      </c>
      <c r="M480" s="27">
        <f>IF(OR(B480="",J480=""),"",J480+IFERROR(IF(VLOOKUP(C480,Revendeurs!$A:$G,7,FALSE)="",Paramètres!$B$9,VLOOKUP(C480,Revendeurs!$A:$G,7,FALSE)),Paramètres!$B$9))</f>
        <v/>
      </c>
      <c r="N480" s="22" t="n"/>
      <c r="O480" s="23">
        <f>IF(H480="","",H480-N480)</f>
        <v/>
      </c>
      <c r="P480" s="25">
        <f>IF(OR(M480="",O480=""),"",IF(O480&lt;=0,0,MAX(0,Paramètres!$B$4-M480)))</f>
        <v/>
      </c>
      <c r="Q480" s="25">
        <f>IF(H480="","",IF(O480&lt;=0,"Payée",IF(M480="","Pas encore livrée",IF(P480=0,"Non échue",IF(P480&gt;=Paramètres!$B$7,"Relance 3 : appel direction",IF(P480&gt;=Paramètres!$B$6,"Relance 2",IF(P480&gt;=Paramètres!$B$5,"Relance 1","Échue, relance à venir")))))))</f>
        <v/>
      </c>
      <c r="R480" s="25">
        <f>IF(B480="","",IF(U480=Paramètres!$B$4,"Relancé aujourd'hui",TRIM(IF(LEFT(Q480,7)="Relance",Q480&amp;" ","")&amp;IF(K480="En retard","· Prévenir du retard de livraison",""))))</f>
        <v/>
      </c>
      <c r="S480" s="28">
        <f>IF(B480="","",IF(LEFT(Q480,9)="Relance 3","Bonjour "&amp;D480&amp;", nous revenons vers vous au sujet de la commande "&amp;A480&amp;" du "&amp;TEXT(B480,"dd/mm/yyyy")&amp;" : "&amp;SUBSTITUTE(TEXT(O480,"#,##0"),","," ")&amp;" FCFA restent à régler depuis le "&amp;TEXT(M480,"dd/mm/yyyy")&amp;". Notre responsable souhaite vous appeler pour convenir ensemble d'une solution. Quel moment vous arrange cette semaine ? "&amp;Paramètres!$B$11&amp;", "&amp;Paramètres!$B$12,IF(LEFT(Q480,7)="Relance","Bonjour "&amp;D480&amp;", sauf erreur de notre part, la commande "&amp;A480&amp;" du "&amp;TEXT(B480,"dd/mm/yyyy")&amp;" ("&amp;E480&amp;") présente un reste à payer de "&amp;SUBSTITUTE(TEXT(O480,"#,##0"),","," ")&amp;" FCFA, échu depuis le "&amp;TEXT(M480,"dd/mm/yyyy")&amp;". Pouvez-vous nous indiquer la date de règlement prévue ? Si le paiement est déjà parti, merci de nous envoyer la preuve et ne tenez pas compte de ce message. "&amp;Paramètres!$B$11&amp;", "&amp;Paramètres!$B$12,IF(K480="En retard","Bonjour "&amp;D480&amp;", votre commande "&amp;A480&amp;" ("&amp;E480&amp;", "&amp;F480&amp;" pièces) prévue le "&amp;TEXT(I480,"dd/mm/yyyy")&amp;" a pris du retard. Nous vous confirmons la nouvelle date de livraison dans la journée. Toutes nos excuses pour ce contretemps. "&amp;Paramètres!$B$11&amp;", "&amp;Paramètres!$B$12,""))))</f>
        <v/>
      </c>
      <c r="T480" s="21" t="n"/>
      <c r="U480" s="26" t="n"/>
      <c r="V480" s="21" t="n"/>
    </row>
    <row r="481">
      <c r="A481" s="21" t="n"/>
      <c r="B481" s="26" t="n"/>
      <c r="C481" s="21" t="n"/>
      <c r="D481" s="25">
        <f>IF(C481="","",IFERROR(VLOOKUP(C481,Revendeurs!$A:$B,2,FALSE),"Code inconnu"))</f>
        <v/>
      </c>
      <c r="E481" s="21" t="n"/>
      <c r="F481" s="21" t="n"/>
      <c r="G481" s="22" t="n"/>
      <c r="H481" s="23">
        <f>IF(OR(F481="",G481=""),"",F481*G481)</f>
        <v/>
      </c>
      <c r="I481" s="26" t="n"/>
      <c r="J481" s="26" t="n"/>
      <c r="K481" s="25">
        <f>IF(B481="","",IF(J481&lt;&gt;"","Livrée",IF(I481="","À planifier",IF(Paramètres!$B$4&gt;I481+Paramètres!$B$8,"En retard","En cours"))))</f>
        <v/>
      </c>
      <c r="L481" s="25">
        <f>IF(K481="En retard",Paramètres!$B$4-I481,"")</f>
        <v/>
      </c>
      <c r="M481" s="27">
        <f>IF(OR(B481="",J481=""),"",J481+IFERROR(IF(VLOOKUP(C481,Revendeurs!$A:$G,7,FALSE)="",Paramètres!$B$9,VLOOKUP(C481,Revendeurs!$A:$G,7,FALSE)),Paramètres!$B$9))</f>
        <v/>
      </c>
      <c r="N481" s="22" t="n"/>
      <c r="O481" s="23">
        <f>IF(H481="","",H481-N481)</f>
        <v/>
      </c>
      <c r="P481" s="25">
        <f>IF(OR(M481="",O481=""),"",IF(O481&lt;=0,0,MAX(0,Paramètres!$B$4-M481)))</f>
        <v/>
      </c>
      <c r="Q481" s="25">
        <f>IF(H481="","",IF(O481&lt;=0,"Payée",IF(M481="","Pas encore livrée",IF(P481=0,"Non échue",IF(P481&gt;=Paramètres!$B$7,"Relance 3 : appel direction",IF(P481&gt;=Paramètres!$B$6,"Relance 2",IF(P481&gt;=Paramètres!$B$5,"Relance 1","Échue, relance à venir")))))))</f>
        <v/>
      </c>
      <c r="R481" s="25">
        <f>IF(B481="","",IF(U481=Paramètres!$B$4,"Relancé aujourd'hui",TRIM(IF(LEFT(Q481,7)="Relance",Q481&amp;" ","")&amp;IF(K481="En retard","· Prévenir du retard de livraison",""))))</f>
        <v/>
      </c>
      <c r="S481" s="28">
        <f>IF(B481="","",IF(LEFT(Q481,9)="Relance 3","Bonjour "&amp;D481&amp;", nous revenons vers vous au sujet de la commande "&amp;A481&amp;" du "&amp;TEXT(B481,"dd/mm/yyyy")&amp;" : "&amp;SUBSTITUTE(TEXT(O481,"#,##0"),","," ")&amp;" FCFA restent à régler depuis le "&amp;TEXT(M481,"dd/mm/yyyy")&amp;". Notre responsable souhaite vous appeler pour convenir ensemble d'une solution. Quel moment vous arrange cette semaine ? "&amp;Paramètres!$B$11&amp;", "&amp;Paramètres!$B$12,IF(LEFT(Q481,7)="Relance","Bonjour "&amp;D481&amp;", sauf erreur de notre part, la commande "&amp;A481&amp;" du "&amp;TEXT(B481,"dd/mm/yyyy")&amp;" ("&amp;E481&amp;") présente un reste à payer de "&amp;SUBSTITUTE(TEXT(O481,"#,##0"),","," ")&amp;" FCFA, échu depuis le "&amp;TEXT(M481,"dd/mm/yyyy")&amp;". Pouvez-vous nous indiquer la date de règlement prévue ? Si le paiement est déjà parti, merci de nous envoyer la preuve et ne tenez pas compte de ce message. "&amp;Paramètres!$B$11&amp;", "&amp;Paramètres!$B$12,IF(K481="En retard","Bonjour "&amp;D481&amp;", votre commande "&amp;A481&amp;" ("&amp;E481&amp;", "&amp;F481&amp;" pièces) prévue le "&amp;TEXT(I481,"dd/mm/yyyy")&amp;" a pris du retard. Nous vous confirmons la nouvelle date de livraison dans la journée. Toutes nos excuses pour ce contretemps. "&amp;Paramètres!$B$11&amp;", "&amp;Paramètres!$B$12,""))))</f>
        <v/>
      </c>
      <c r="T481" s="21" t="n"/>
      <c r="U481" s="26" t="n"/>
      <c r="V481" s="21" t="n"/>
    </row>
    <row r="482">
      <c r="A482" s="21" t="n"/>
      <c r="B482" s="26" t="n"/>
      <c r="C482" s="21" t="n"/>
      <c r="D482" s="25">
        <f>IF(C482="","",IFERROR(VLOOKUP(C482,Revendeurs!$A:$B,2,FALSE),"Code inconnu"))</f>
        <v/>
      </c>
      <c r="E482" s="21" t="n"/>
      <c r="F482" s="21" t="n"/>
      <c r="G482" s="22" t="n"/>
      <c r="H482" s="23">
        <f>IF(OR(F482="",G482=""),"",F482*G482)</f>
        <v/>
      </c>
      <c r="I482" s="26" t="n"/>
      <c r="J482" s="26" t="n"/>
      <c r="K482" s="25">
        <f>IF(B482="","",IF(J482&lt;&gt;"","Livrée",IF(I482="","À planifier",IF(Paramètres!$B$4&gt;I482+Paramètres!$B$8,"En retard","En cours"))))</f>
        <v/>
      </c>
      <c r="L482" s="25">
        <f>IF(K482="En retard",Paramètres!$B$4-I482,"")</f>
        <v/>
      </c>
      <c r="M482" s="27">
        <f>IF(OR(B482="",J482=""),"",J482+IFERROR(IF(VLOOKUP(C482,Revendeurs!$A:$G,7,FALSE)="",Paramètres!$B$9,VLOOKUP(C482,Revendeurs!$A:$G,7,FALSE)),Paramètres!$B$9))</f>
        <v/>
      </c>
      <c r="N482" s="22" t="n"/>
      <c r="O482" s="23">
        <f>IF(H482="","",H482-N482)</f>
        <v/>
      </c>
      <c r="P482" s="25">
        <f>IF(OR(M482="",O482=""),"",IF(O482&lt;=0,0,MAX(0,Paramètres!$B$4-M482)))</f>
        <v/>
      </c>
      <c r="Q482" s="25">
        <f>IF(H482="","",IF(O482&lt;=0,"Payée",IF(M482="","Pas encore livrée",IF(P482=0,"Non échue",IF(P482&gt;=Paramètres!$B$7,"Relance 3 : appel direction",IF(P482&gt;=Paramètres!$B$6,"Relance 2",IF(P482&gt;=Paramètres!$B$5,"Relance 1","Échue, relance à venir")))))))</f>
        <v/>
      </c>
      <c r="R482" s="25">
        <f>IF(B482="","",IF(U482=Paramètres!$B$4,"Relancé aujourd'hui",TRIM(IF(LEFT(Q482,7)="Relance",Q482&amp;" ","")&amp;IF(K482="En retard","· Prévenir du retard de livraison",""))))</f>
        <v/>
      </c>
      <c r="S482" s="28">
        <f>IF(B482="","",IF(LEFT(Q482,9)="Relance 3","Bonjour "&amp;D482&amp;", nous revenons vers vous au sujet de la commande "&amp;A482&amp;" du "&amp;TEXT(B482,"dd/mm/yyyy")&amp;" : "&amp;SUBSTITUTE(TEXT(O482,"#,##0"),","," ")&amp;" FCFA restent à régler depuis le "&amp;TEXT(M482,"dd/mm/yyyy")&amp;". Notre responsable souhaite vous appeler pour convenir ensemble d'une solution. Quel moment vous arrange cette semaine ? "&amp;Paramètres!$B$11&amp;", "&amp;Paramètres!$B$12,IF(LEFT(Q482,7)="Relance","Bonjour "&amp;D482&amp;", sauf erreur de notre part, la commande "&amp;A482&amp;" du "&amp;TEXT(B482,"dd/mm/yyyy")&amp;" ("&amp;E482&amp;") présente un reste à payer de "&amp;SUBSTITUTE(TEXT(O482,"#,##0"),","," ")&amp;" FCFA, échu depuis le "&amp;TEXT(M482,"dd/mm/yyyy")&amp;". Pouvez-vous nous indiquer la date de règlement prévue ? Si le paiement est déjà parti, merci de nous envoyer la preuve et ne tenez pas compte de ce message. "&amp;Paramètres!$B$11&amp;", "&amp;Paramètres!$B$12,IF(K482="En retard","Bonjour "&amp;D482&amp;", votre commande "&amp;A482&amp;" ("&amp;E482&amp;", "&amp;F482&amp;" pièces) prévue le "&amp;TEXT(I482,"dd/mm/yyyy")&amp;" a pris du retard. Nous vous confirmons la nouvelle date de livraison dans la journée. Toutes nos excuses pour ce contretemps. "&amp;Paramètres!$B$11&amp;", "&amp;Paramètres!$B$12,""))))</f>
        <v/>
      </c>
      <c r="T482" s="21" t="n"/>
      <c r="U482" s="26" t="n"/>
      <c r="V482" s="21" t="n"/>
    </row>
    <row r="483">
      <c r="A483" s="21" t="n"/>
      <c r="B483" s="26" t="n"/>
      <c r="C483" s="21" t="n"/>
      <c r="D483" s="25">
        <f>IF(C483="","",IFERROR(VLOOKUP(C483,Revendeurs!$A:$B,2,FALSE),"Code inconnu"))</f>
        <v/>
      </c>
      <c r="E483" s="21" t="n"/>
      <c r="F483" s="21" t="n"/>
      <c r="G483" s="22" t="n"/>
      <c r="H483" s="23">
        <f>IF(OR(F483="",G483=""),"",F483*G483)</f>
        <v/>
      </c>
      <c r="I483" s="26" t="n"/>
      <c r="J483" s="26" t="n"/>
      <c r="K483" s="25">
        <f>IF(B483="","",IF(J483&lt;&gt;"","Livrée",IF(I483="","À planifier",IF(Paramètres!$B$4&gt;I483+Paramètres!$B$8,"En retard","En cours"))))</f>
        <v/>
      </c>
      <c r="L483" s="25">
        <f>IF(K483="En retard",Paramètres!$B$4-I483,"")</f>
        <v/>
      </c>
      <c r="M483" s="27">
        <f>IF(OR(B483="",J483=""),"",J483+IFERROR(IF(VLOOKUP(C483,Revendeurs!$A:$G,7,FALSE)="",Paramètres!$B$9,VLOOKUP(C483,Revendeurs!$A:$G,7,FALSE)),Paramètres!$B$9))</f>
        <v/>
      </c>
      <c r="N483" s="22" t="n"/>
      <c r="O483" s="23">
        <f>IF(H483="","",H483-N483)</f>
        <v/>
      </c>
      <c r="P483" s="25">
        <f>IF(OR(M483="",O483=""),"",IF(O483&lt;=0,0,MAX(0,Paramètres!$B$4-M483)))</f>
        <v/>
      </c>
      <c r="Q483" s="25">
        <f>IF(H483="","",IF(O483&lt;=0,"Payée",IF(M483="","Pas encore livrée",IF(P483=0,"Non échue",IF(P483&gt;=Paramètres!$B$7,"Relance 3 : appel direction",IF(P483&gt;=Paramètres!$B$6,"Relance 2",IF(P483&gt;=Paramètres!$B$5,"Relance 1","Échue, relance à venir")))))))</f>
        <v/>
      </c>
      <c r="R483" s="25">
        <f>IF(B483="","",IF(U483=Paramètres!$B$4,"Relancé aujourd'hui",TRIM(IF(LEFT(Q483,7)="Relance",Q483&amp;" ","")&amp;IF(K483="En retard","· Prévenir du retard de livraison",""))))</f>
        <v/>
      </c>
      <c r="S483" s="28">
        <f>IF(B483="","",IF(LEFT(Q483,9)="Relance 3","Bonjour "&amp;D483&amp;", nous revenons vers vous au sujet de la commande "&amp;A483&amp;" du "&amp;TEXT(B483,"dd/mm/yyyy")&amp;" : "&amp;SUBSTITUTE(TEXT(O483,"#,##0"),","," ")&amp;" FCFA restent à régler depuis le "&amp;TEXT(M483,"dd/mm/yyyy")&amp;". Notre responsable souhaite vous appeler pour convenir ensemble d'une solution. Quel moment vous arrange cette semaine ? "&amp;Paramètres!$B$11&amp;", "&amp;Paramètres!$B$12,IF(LEFT(Q483,7)="Relance","Bonjour "&amp;D483&amp;", sauf erreur de notre part, la commande "&amp;A483&amp;" du "&amp;TEXT(B483,"dd/mm/yyyy")&amp;" ("&amp;E483&amp;") présente un reste à payer de "&amp;SUBSTITUTE(TEXT(O483,"#,##0"),","," ")&amp;" FCFA, échu depuis le "&amp;TEXT(M483,"dd/mm/yyyy")&amp;". Pouvez-vous nous indiquer la date de règlement prévue ? Si le paiement est déjà parti, merci de nous envoyer la preuve et ne tenez pas compte de ce message. "&amp;Paramètres!$B$11&amp;", "&amp;Paramètres!$B$12,IF(K483="En retard","Bonjour "&amp;D483&amp;", votre commande "&amp;A483&amp;" ("&amp;E483&amp;", "&amp;F483&amp;" pièces) prévue le "&amp;TEXT(I483,"dd/mm/yyyy")&amp;" a pris du retard. Nous vous confirmons la nouvelle date de livraison dans la journée. Toutes nos excuses pour ce contretemps. "&amp;Paramètres!$B$11&amp;", "&amp;Paramètres!$B$12,""))))</f>
        <v/>
      </c>
      <c r="T483" s="21" t="n"/>
      <c r="U483" s="26" t="n"/>
      <c r="V483" s="21" t="n"/>
    </row>
    <row r="484">
      <c r="A484" s="21" t="n"/>
      <c r="B484" s="26" t="n"/>
      <c r="C484" s="21" t="n"/>
      <c r="D484" s="25">
        <f>IF(C484="","",IFERROR(VLOOKUP(C484,Revendeurs!$A:$B,2,FALSE),"Code inconnu"))</f>
        <v/>
      </c>
      <c r="E484" s="21" t="n"/>
      <c r="F484" s="21" t="n"/>
      <c r="G484" s="22" t="n"/>
      <c r="H484" s="23">
        <f>IF(OR(F484="",G484=""),"",F484*G484)</f>
        <v/>
      </c>
      <c r="I484" s="26" t="n"/>
      <c r="J484" s="26" t="n"/>
      <c r="K484" s="25">
        <f>IF(B484="","",IF(J484&lt;&gt;"","Livrée",IF(I484="","À planifier",IF(Paramètres!$B$4&gt;I484+Paramètres!$B$8,"En retard","En cours"))))</f>
        <v/>
      </c>
      <c r="L484" s="25">
        <f>IF(K484="En retard",Paramètres!$B$4-I484,"")</f>
        <v/>
      </c>
      <c r="M484" s="27">
        <f>IF(OR(B484="",J484=""),"",J484+IFERROR(IF(VLOOKUP(C484,Revendeurs!$A:$G,7,FALSE)="",Paramètres!$B$9,VLOOKUP(C484,Revendeurs!$A:$G,7,FALSE)),Paramètres!$B$9))</f>
        <v/>
      </c>
      <c r="N484" s="22" t="n"/>
      <c r="O484" s="23">
        <f>IF(H484="","",H484-N484)</f>
        <v/>
      </c>
      <c r="P484" s="25">
        <f>IF(OR(M484="",O484=""),"",IF(O484&lt;=0,0,MAX(0,Paramètres!$B$4-M484)))</f>
        <v/>
      </c>
      <c r="Q484" s="25">
        <f>IF(H484="","",IF(O484&lt;=0,"Payée",IF(M484="","Pas encore livrée",IF(P484=0,"Non échue",IF(P484&gt;=Paramètres!$B$7,"Relance 3 : appel direction",IF(P484&gt;=Paramètres!$B$6,"Relance 2",IF(P484&gt;=Paramètres!$B$5,"Relance 1","Échue, relance à venir")))))))</f>
        <v/>
      </c>
      <c r="R484" s="25">
        <f>IF(B484="","",IF(U484=Paramètres!$B$4,"Relancé aujourd'hui",TRIM(IF(LEFT(Q484,7)="Relance",Q484&amp;" ","")&amp;IF(K484="En retard","· Prévenir du retard de livraison",""))))</f>
        <v/>
      </c>
      <c r="S484" s="28">
        <f>IF(B484="","",IF(LEFT(Q484,9)="Relance 3","Bonjour "&amp;D484&amp;", nous revenons vers vous au sujet de la commande "&amp;A484&amp;" du "&amp;TEXT(B484,"dd/mm/yyyy")&amp;" : "&amp;SUBSTITUTE(TEXT(O484,"#,##0"),","," ")&amp;" FCFA restent à régler depuis le "&amp;TEXT(M484,"dd/mm/yyyy")&amp;". Notre responsable souhaite vous appeler pour convenir ensemble d'une solution. Quel moment vous arrange cette semaine ? "&amp;Paramètres!$B$11&amp;", "&amp;Paramètres!$B$12,IF(LEFT(Q484,7)="Relance","Bonjour "&amp;D484&amp;", sauf erreur de notre part, la commande "&amp;A484&amp;" du "&amp;TEXT(B484,"dd/mm/yyyy")&amp;" ("&amp;E484&amp;") présente un reste à payer de "&amp;SUBSTITUTE(TEXT(O484,"#,##0"),","," ")&amp;" FCFA, échu depuis le "&amp;TEXT(M484,"dd/mm/yyyy")&amp;". Pouvez-vous nous indiquer la date de règlement prévue ? Si le paiement est déjà parti, merci de nous envoyer la preuve et ne tenez pas compte de ce message. "&amp;Paramètres!$B$11&amp;", "&amp;Paramètres!$B$12,IF(K484="En retard","Bonjour "&amp;D484&amp;", votre commande "&amp;A484&amp;" ("&amp;E484&amp;", "&amp;F484&amp;" pièces) prévue le "&amp;TEXT(I484,"dd/mm/yyyy")&amp;" a pris du retard. Nous vous confirmons la nouvelle date de livraison dans la journée. Toutes nos excuses pour ce contretemps. "&amp;Paramètres!$B$11&amp;", "&amp;Paramètres!$B$12,""))))</f>
        <v/>
      </c>
      <c r="T484" s="21" t="n"/>
      <c r="U484" s="26" t="n"/>
      <c r="V484" s="21" t="n"/>
    </row>
    <row r="485">
      <c r="A485" s="21" t="n"/>
      <c r="B485" s="26" t="n"/>
      <c r="C485" s="21" t="n"/>
      <c r="D485" s="25">
        <f>IF(C485="","",IFERROR(VLOOKUP(C485,Revendeurs!$A:$B,2,FALSE),"Code inconnu"))</f>
        <v/>
      </c>
      <c r="E485" s="21" t="n"/>
      <c r="F485" s="21" t="n"/>
      <c r="G485" s="22" t="n"/>
      <c r="H485" s="23">
        <f>IF(OR(F485="",G485=""),"",F485*G485)</f>
        <v/>
      </c>
      <c r="I485" s="26" t="n"/>
      <c r="J485" s="26" t="n"/>
      <c r="K485" s="25">
        <f>IF(B485="","",IF(J485&lt;&gt;"","Livrée",IF(I485="","À planifier",IF(Paramètres!$B$4&gt;I485+Paramètres!$B$8,"En retard","En cours"))))</f>
        <v/>
      </c>
      <c r="L485" s="25">
        <f>IF(K485="En retard",Paramètres!$B$4-I485,"")</f>
        <v/>
      </c>
      <c r="M485" s="27">
        <f>IF(OR(B485="",J485=""),"",J485+IFERROR(IF(VLOOKUP(C485,Revendeurs!$A:$G,7,FALSE)="",Paramètres!$B$9,VLOOKUP(C485,Revendeurs!$A:$G,7,FALSE)),Paramètres!$B$9))</f>
        <v/>
      </c>
      <c r="N485" s="22" t="n"/>
      <c r="O485" s="23">
        <f>IF(H485="","",H485-N485)</f>
        <v/>
      </c>
      <c r="P485" s="25">
        <f>IF(OR(M485="",O485=""),"",IF(O485&lt;=0,0,MAX(0,Paramètres!$B$4-M485)))</f>
        <v/>
      </c>
      <c r="Q485" s="25">
        <f>IF(H485="","",IF(O485&lt;=0,"Payée",IF(M485="","Pas encore livrée",IF(P485=0,"Non échue",IF(P485&gt;=Paramètres!$B$7,"Relance 3 : appel direction",IF(P485&gt;=Paramètres!$B$6,"Relance 2",IF(P485&gt;=Paramètres!$B$5,"Relance 1","Échue, relance à venir")))))))</f>
        <v/>
      </c>
      <c r="R485" s="25">
        <f>IF(B485="","",IF(U485=Paramètres!$B$4,"Relancé aujourd'hui",TRIM(IF(LEFT(Q485,7)="Relance",Q485&amp;" ","")&amp;IF(K485="En retard","· Prévenir du retard de livraison",""))))</f>
        <v/>
      </c>
      <c r="S485" s="28">
        <f>IF(B485="","",IF(LEFT(Q485,9)="Relance 3","Bonjour "&amp;D485&amp;", nous revenons vers vous au sujet de la commande "&amp;A485&amp;" du "&amp;TEXT(B485,"dd/mm/yyyy")&amp;" : "&amp;SUBSTITUTE(TEXT(O485,"#,##0"),","," ")&amp;" FCFA restent à régler depuis le "&amp;TEXT(M485,"dd/mm/yyyy")&amp;". Notre responsable souhaite vous appeler pour convenir ensemble d'une solution. Quel moment vous arrange cette semaine ? "&amp;Paramètres!$B$11&amp;", "&amp;Paramètres!$B$12,IF(LEFT(Q485,7)="Relance","Bonjour "&amp;D485&amp;", sauf erreur de notre part, la commande "&amp;A485&amp;" du "&amp;TEXT(B485,"dd/mm/yyyy")&amp;" ("&amp;E485&amp;") présente un reste à payer de "&amp;SUBSTITUTE(TEXT(O485,"#,##0"),","," ")&amp;" FCFA, échu depuis le "&amp;TEXT(M485,"dd/mm/yyyy")&amp;". Pouvez-vous nous indiquer la date de règlement prévue ? Si le paiement est déjà parti, merci de nous envoyer la preuve et ne tenez pas compte de ce message. "&amp;Paramètres!$B$11&amp;", "&amp;Paramètres!$B$12,IF(K485="En retard","Bonjour "&amp;D485&amp;", votre commande "&amp;A485&amp;" ("&amp;E485&amp;", "&amp;F485&amp;" pièces) prévue le "&amp;TEXT(I485,"dd/mm/yyyy")&amp;" a pris du retard. Nous vous confirmons la nouvelle date de livraison dans la journée. Toutes nos excuses pour ce contretemps. "&amp;Paramètres!$B$11&amp;", "&amp;Paramètres!$B$12,""))))</f>
        <v/>
      </c>
      <c r="T485" s="21" t="n"/>
      <c r="U485" s="26" t="n"/>
      <c r="V485" s="21" t="n"/>
    </row>
    <row r="486">
      <c r="A486" s="21" t="n"/>
      <c r="B486" s="26" t="n"/>
      <c r="C486" s="21" t="n"/>
      <c r="D486" s="25">
        <f>IF(C486="","",IFERROR(VLOOKUP(C486,Revendeurs!$A:$B,2,FALSE),"Code inconnu"))</f>
        <v/>
      </c>
      <c r="E486" s="21" t="n"/>
      <c r="F486" s="21" t="n"/>
      <c r="G486" s="22" t="n"/>
      <c r="H486" s="23">
        <f>IF(OR(F486="",G486=""),"",F486*G486)</f>
        <v/>
      </c>
      <c r="I486" s="26" t="n"/>
      <c r="J486" s="26" t="n"/>
      <c r="K486" s="25">
        <f>IF(B486="","",IF(J486&lt;&gt;"","Livrée",IF(I486="","À planifier",IF(Paramètres!$B$4&gt;I486+Paramètres!$B$8,"En retard","En cours"))))</f>
        <v/>
      </c>
      <c r="L486" s="25">
        <f>IF(K486="En retard",Paramètres!$B$4-I486,"")</f>
        <v/>
      </c>
      <c r="M486" s="27">
        <f>IF(OR(B486="",J486=""),"",J486+IFERROR(IF(VLOOKUP(C486,Revendeurs!$A:$G,7,FALSE)="",Paramètres!$B$9,VLOOKUP(C486,Revendeurs!$A:$G,7,FALSE)),Paramètres!$B$9))</f>
        <v/>
      </c>
      <c r="N486" s="22" t="n"/>
      <c r="O486" s="23">
        <f>IF(H486="","",H486-N486)</f>
        <v/>
      </c>
      <c r="P486" s="25">
        <f>IF(OR(M486="",O486=""),"",IF(O486&lt;=0,0,MAX(0,Paramètres!$B$4-M486)))</f>
        <v/>
      </c>
      <c r="Q486" s="25">
        <f>IF(H486="","",IF(O486&lt;=0,"Payée",IF(M486="","Pas encore livrée",IF(P486=0,"Non échue",IF(P486&gt;=Paramètres!$B$7,"Relance 3 : appel direction",IF(P486&gt;=Paramètres!$B$6,"Relance 2",IF(P486&gt;=Paramètres!$B$5,"Relance 1","Échue, relance à venir")))))))</f>
        <v/>
      </c>
      <c r="R486" s="25">
        <f>IF(B486="","",IF(U486=Paramètres!$B$4,"Relancé aujourd'hui",TRIM(IF(LEFT(Q486,7)="Relance",Q486&amp;" ","")&amp;IF(K486="En retard","· Prévenir du retard de livraison",""))))</f>
        <v/>
      </c>
      <c r="S486" s="28">
        <f>IF(B486="","",IF(LEFT(Q486,9)="Relance 3","Bonjour "&amp;D486&amp;", nous revenons vers vous au sujet de la commande "&amp;A486&amp;" du "&amp;TEXT(B486,"dd/mm/yyyy")&amp;" : "&amp;SUBSTITUTE(TEXT(O486,"#,##0"),","," ")&amp;" FCFA restent à régler depuis le "&amp;TEXT(M486,"dd/mm/yyyy")&amp;". Notre responsable souhaite vous appeler pour convenir ensemble d'une solution. Quel moment vous arrange cette semaine ? "&amp;Paramètres!$B$11&amp;", "&amp;Paramètres!$B$12,IF(LEFT(Q486,7)="Relance","Bonjour "&amp;D486&amp;", sauf erreur de notre part, la commande "&amp;A486&amp;" du "&amp;TEXT(B486,"dd/mm/yyyy")&amp;" ("&amp;E486&amp;") présente un reste à payer de "&amp;SUBSTITUTE(TEXT(O486,"#,##0"),","," ")&amp;" FCFA, échu depuis le "&amp;TEXT(M486,"dd/mm/yyyy")&amp;". Pouvez-vous nous indiquer la date de règlement prévue ? Si le paiement est déjà parti, merci de nous envoyer la preuve et ne tenez pas compte de ce message. "&amp;Paramètres!$B$11&amp;", "&amp;Paramètres!$B$12,IF(K486="En retard","Bonjour "&amp;D486&amp;", votre commande "&amp;A486&amp;" ("&amp;E486&amp;", "&amp;F486&amp;" pièces) prévue le "&amp;TEXT(I486,"dd/mm/yyyy")&amp;" a pris du retard. Nous vous confirmons la nouvelle date de livraison dans la journée. Toutes nos excuses pour ce contretemps. "&amp;Paramètres!$B$11&amp;", "&amp;Paramètres!$B$12,""))))</f>
        <v/>
      </c>
      <c r="T486" s="21" t="n"/>
      <c r="U486" s="26" t="n"/>
      <c r="V486" s="21" t="n"/>
    </row>
    <row r="487">
      <c r="A487" s="21" t="n"/>
      <c r="B487" s="26" t="n"/>
      <c r="C487" s="21" t="n"/>
      <c r="D487" s="25">
        <f>IF(C487="","",IFERROR(VLOOKUP(C487,Revendeurs!$A:$B,2,FALSE),"Code inconnu"))</f>
        <v/>
      </c>
      <c r="E487" s="21" t="n"/>
      <c r="F487" s="21" t="n"/>
      <c r="G487" s="22" t="n"/>
      <c r="H487" s="23">
        <f>IF(OR(F487="",G487=""),"",F487*G487)</f>
        <v/>
      </c>
      <c r="I487" s="26" t="n"/>
      <c r="J487" s="26" t="n"/>
      <c r="K487" s="25">
        <f>IF(B487="","",IF(J487&lt;&gt;"","Livrée",IF(I487="","À planifier",IF(Paramètres!$B$4&gt;I487+Paramètres!$B$8,"En retard","En cours"))))</f>
        <v/>
      </c>
      <c r="L487" s="25">
        <f>IF(K487="En retard",Paramètres!$B$4-I487,"")</f>
        <v/>
      </c>
      <c r="M487" s="27">
        <f>IF(OR(B487="",J487=""),"",J487+IFERROR(IF(VLOOKUP(C487,Revendeurs!$A:$G,7,FALSE)="",Paramètres!$B$9,VLOOKUP(C487,Revendeurs!$A:$G,7,FALSE)),Paramètres!$B$9))</f>
        <v/>
      </c>
      <c r="N487" s="22" t="n"/>
      <c r="O487" s="23">
        <f>IF(H487="","",H487-N487)</f>
        <v/>
      </c>
      <c r="P487" s="25">
        <f>IF(OR(M487="",O487=""),"",IF(O487&lt;=0,0,MAX(0,Paramètres!$B$4-M487)))</f>
        <v/>
      </c>
      <c r="Q487" s="25">
        <f>IF(H487="","",IF(O487&lt;=0,"Payée",IF(M487="","Pas encore livrée",IF(P487=0,"Non échue",IF(P487&gt;=Paramètres!$B$7,"Relance 3 : appel direction",IF(P487&gt;=Paramètres!$B$6,"Relance 2",IF(P487&gt;=Paramètres!$B$5,"Relance 1","Échue, relance à venir")))))))</f>
        <v/>
      </c>
      <c r="R487" s="25">
        <f>IF(B487="","",IF(U487=Paramètres!$B$4,"Relancé aujourd'hui",TRIM(IF(LEFT(Q487,7)="Relance",Q487&amp;" ","")&amp;IF(K487="En retard","· Prévenir du retard de livraison",""))))</f>
        <v/>
      </c>
      <c r="S487" s="28">
        <f>IF(B487="","",IF(LEFT(Q487,9)="Relance 3","Bonjour "&amp;D487&amp;", nous revenons vers vous au sujet de la commande "&amp;A487&amp;" du "&amp;TEXT(B487,"dd/mm/yyyy")&amp;" : "&amp;SUBSTITUTE(TEXT(O487,"#,##0"),","," ")&amp;" FCFA restent à régler depuis le "&amp;TEXT(M487,"dd/mm/yyyy")&amp;". Notre responsable souhaite vous appeler pour convenir ensemble d'une solution. Quel moment vous arrange cette semaine ? "&amp;Paramètres!$B$11&amp;", "&amp;Paramètres!$B$12,IF(LEFT(Q487,7)="Relance","Bonjour "&amp;D487&amp;", sauf erreur de notre part, la commande "&amp;A487&amp;" du "&amp;TEXT(B487,"dd/mm/yyyy")&amp;" ("&amp;E487&amp;") présente un reste à payer de "&amp;SUBSTITUTE(TEXT(O487,"#,##0"),","," ")&amp;" FCFA, échu depuis le "&amp;TEXT(M487,"dd/mm/yyyy")&amp;". Pouvez-vous nous indiquer la date de règlement prévue ? Si le paiement est déjà parti, merci de nous envoyer la preuve et ne tenez pas compte de ce message. "&amp;Paramètres!$B$11&amp;", "&amp;Paramètres!$B$12,IF(K487="En retard","Bonjour "&amp;D487&amp;", votre commande "&amp;A487&amp;" ("&amp;E487&amp;", "&amp;F487&amp;" pièces) prévue le "&amp;TEXT(I487,"dd/mm/yyyy")&amp;" a pris du retard. Nous vous confirmons la nouvelle date de livraison dans la journée. Toutes nos excuses pour ce contretemps. "&amp;Paramètres!$B$11&amp;", "&amp;Paramètres!$B$12,""))))</f>
        <v/>
      </c>
      <c r="T487" s="21" t="n"/>
      <c r="U487" s="26" t="n"/>
      <c r="V487" s="21" t="n"/>
    </row>
    <row r="488">
      <c r="A488" s="21" t="n"/>
      <c r="B488" s="26" t="n"/>
      <c r="C488" s="21" t="n"/>
      <c r="D488" s="25">
        <f>IF(C488="","",IFERROR(VLOOKUP(C488,Revendeurs!$A:$B,2,FALSE),"Code inconnu"))</f>
        <v/>
      </c>
      <c r="E488" s="21" t="n"/>
      <c r="F488" s="21" t="n"/>
      <c r="G488" s="22" t="n"/>
      <c r="H488" s="23">
        <f>IF(OR(F488="",G488=""),"",F488*G488)</f>
        <v/>
      </c>
      <c r="I488" s="26" t="n"/>
      <c r="J488" s="26" t="n"/>
      <c r="K488" s="25">
        <f>IF(B488="","",IF(J488&lt;&gt;"","Livrée",IF(I488="","À planifier",IF(Paramètres!$B$4&gt;I488+Paramètres!$B$8,"En retard","En cours"))))</f>
        <v/>
      </c>
      <c r="L488" s="25">
        <f>IF(K488="En retard",Paramètres!$B$4-I488,"")</f>
        <v/>
      </c>
      <c r="M488" s="27">
        <f>IF(OR(B488="",J488=""),"",J488+IFERROR(IF(VLOOKUP(C488,Revendeurs!$A:$G,7,FALSE)="",Paramètres!$B$9,VLOOKUP(C488,Revendeurs!$A:$G,7,FALSE)),Paramètres!$B$9))</f>
        <v/>
      </c>
      <c r="N488" s="22" t="n"/>
      <c r="O488" s="23">
        <f>IF(H488="","",H488-N488)</f>
        <v/>
      </c>
      <c r="P488" s="25">
        <f>IF(OR(M488="",O488=""),"",IF(O488&lt;=0,0,MAX(0,Paramètres!$B$4-M488)))</f>
        <v/>
      </c>
      <c r="Q488" s="25">
        <f>IF(H488="","",IF(O488&lt;=0,"Payée",IF(M488="","Pas encore livrée",IF(P488=0,"Non échue",IF(P488&gt;=Paramètres!$B$7,"Relance 3 : appel direction",IF(P488&gt;=Paramètres!$B$6,"Relance 2",IF(P488&gt;=Paramètres!$B$5,"Relance 1","Échue, relance à venir")))))))</f>
        <v/>
      </c>
      <c r="R488" s="25">
        <f>IF(B488="","",IF(U488=Paramètres!$B$4,"Relancé aujourd'hui",TRIM(IF(LEFT(Q488,7)="Relance",Q488&amp;" ","")&amp;IF(K488="En retard","· Prévenir du retard de livraison",""))))</f>
        <v/>
      </c>
      <c r="S488" s="28">
        <f>IF(B488="","",IF(LEFT(Q488,9)="Relance 3","Bonjour "&amp;D488&amp;", nous revenons vers vous au sujet de la commande "&amp;A488&amp;" du "&amp;TEXT(B488,"dd/mm/yyyy")&amp;" : "&amp;SUBSTITUTE(TEXT(O488,"#,##0"),","," ")&amp;" FCFA restent à régler depuis le "&amp;TEXT(M488,"dd/mm/yyyy")&amp;". Notre responsable souhaite vous appeler pour convenir ensemble d'une solution. Quel moment vous arrange cette semaine ? "&amp;Paramètres!$B$11&amp;", "&amp;Paramètres!$B$12,IF(LEFT(Q488,7)="Relance","Bonjour "&amp;D488&amp;", sauf erreur de notre part, la commande "&amp;A488&amp;" du "&amp;TEXT(B488,"dd/mm/yyyy")&amp;" ("&amp;E488&amp;") présente un reste à payer de "&amp;SUBSTITUTE(TEXT(O488,"#,##0"),","," ")&amp;" FCFA, échu depuis le "&amp;TEXT(M488,"dd/mm/yyyy")&amp;". Pouvez-vous nous indiquer la date de règlement prévue ? Si le paiement est déjà parti, merci de nous envoyer la preuve et ne tenez pas compte de ce message. "&amp;Paramètres!$B$11&amp;", "&amp;Paramètres!$B$12,IF(K488="En retard","Bonjour "&amp;D488&amp;", votre commande "&amp;A488&amp;" ("&amp;E488&amp;", "&amp;F488&amp;" pièces) prévue le "&amp;TEXT(I488,"dd/mm/yyyy")&amp;" a pris du retard. Nous vous confirmons la nouvelle date de livraison dans la journée. Toutes nos excuses pour ce contretemps. "&amp;Paramètres!$B$11&amp;", "&amp;Paramètres!$B$12,""))))</f>
        <v/>
      </c>
      <c r="T488" s="21" t="n"/>
      <c r="U488" s="26" t="n"/>
      <c r="V488" s="21" t="n"/>
    </row>
    <row r="489">
      <c r="A489" s="21" t="n"/>
      <c r="B489" s="26" t="n"/>
      <c r="C489" s="21" t="n"/>
      <c r="D489" s="25">
        <f>IF(C489="","",IFERROR(VLOOKUP(C489,Revendeurs!$A:$B,2,FALSE),"Code inconnu"))</f>
        <v/>
      </c>
      <c r="E489" s="21" t="n"/>
      <c r="F489" s="21" t="n"/>
      <c r="G489" s="22" t="n"/>
      <c r="H489" s="23">
        <f>IF(OR(F489="",G489=""),"",F489*G489)</f>
        <v/>
      </c>
      <c r="I489" s="26" t="n"/>
      <c r="J489" s="26" t="n"/>
      <c r="K489" s="25">
        <f>IF(B489="","",IF(J489&lt;&gt;"","Livrée",IF(I489="","À planifier",IF(Paramètres!$B$4&gt;I489+Paramètres!$B$8,"En retard","En cours"))))</f>
        <v/>
      </c>
      <c r="L489" s="25">
        <f>IF(K489="En retard",Paramètres!$B$4-I489,"")</f>
        <v/>
      </c>
      <c r="M489" s="27">
        <f>IF(OR(B489="",J489=""),"",J489+IFERROR(IF(VLOOKUP(C489,Revendeurs!$A:$G,7,FALSE)="",Paramètres!$B$9,VLOOKUP(C489,Revendeurs!$A:$G,7,FALSE)),Paramètres!$B$9))</f>
        <v/>
      </c>
      <c r="N489" s="22" t="n"/>
      <c r="O489" s="23">
        <f>IF(H489="","",H489-N489)</f>
        <v/>
      </c>
      <c r="P489" s="25">
        <f>IF(OR(M489="",O489=""),"",IF(O489&lt;=0,0,MAX(0,Paramètres!$B$4-M489)))</f>
        <v/>
      </c>
      <c r="Q489" s="25">
        <f>IF(H489="","",IF(O489&lt;=0,"Payée",IF(M489="","Pas encore livrée",IF(P489=0,"Non échue",IF(P489&gt;=Paramètres!$B$7,"Relance 3 : appel direction",IF(P489&gt;=Paramètres!$B$6,"Relance 2",IF(P489&gt;=Paramètres!$B$5,"Relance 1","Échue, relance à venir")))))))</f>
        <v/>
      </c>
      <c r="R489" s="25">
        <f>IF(B489="","",IF(U489=Paramètres!$B$4,"Relancé aujourd'hui",TRIM(IF(LEFT(Q489,7)="Relance",Q489&amp;" ","")&amp;IF(K489="En retard","· Prévenir du retard de livraison",""))))</f>
        <v/>
      </c>
      <c r="S489" s="28">
        <f>IF(B489="","",IF(LEFT(Q489,9)="Relance 3","Bonjour "&amp;D489&amp;", nous revenons vers vous au sujet de la commande "&amp;A489&amp;" du "&amp;TEXT(B489,"dd/mm/yyyy")&amp;" : "&amp;SUBSTITUTE(TEXT(O489,"#,##0"),","," ")&amp;" FCFA restent à régler depuis le "&amp;TEXT(M489,"dd/mm/yyyy")&amp;". Notre responsable souhaite vous appeler pour convenir ensemble d'une solution. Quel moment vous arrange cette semaine ? "&amp;Paramètres!$B$11&amp;", "&amp;Paramètres!$B$12,IF(LEFT(Q489,7)="Relance","Bonjour "&amp;D489&amp;", sauf erreur de notre part, la commande "&amp;A489&amp;" du "&amp;TEXT(B489,"dd/mm/yyyy")&amp;" ("&amp;E489&amp;") présente un reste à payer de "&amp;SUBSTITUTE(TEXT(O489,"#,##0"),","," ")&amp;" FCFA, échu depuis le "&amp;TEXT(M489,"dd/mm/yyyy")&amp;". Pouvez-vous nous indiquer la date de règlement prévue ? Si le paiement est déjà parti, merci de nous envoyer la preuve et ne tenez pas compte de ce message. "&amp;Paramètres!$B$11&amp;", "&amp;Paramètres!$B$12,IF(K489="En retard","Bonjour "&amp;D489&amp;", votre commande "&amp;A489&amp;" ("&amp;E489&amp;", "&amp;F489&amp;" pièces) prévue le "&amp;TEXT(I489,"dd/mm/yyyy")&amp;" a pris du retard. Nous vous confirmons la nouvelle date de livraison dans la journée. Toutes nos excuses pour ce contretemps. "&amp;Paramètres!$B$11&amp;", "&amp;Paramètres!$B$12,""))))</f>
        <v/>
      </c>
      <c r="T489" s="21" t="n"/>
      <c r="U489" s="26" t="n"/>
      <c r="V489" s="21" t="n"/>
    </row>
    <row r="490">
      <c r="A490" s="21" t="n"/>
      <c r="B490" s="26" t="n"/>
      <c r="C490" s="21" t="n"/>
      <c r="D490" s="25">
        <f>IF(C490="","",IFERROR(VLOOKUP(C490,Revendeurs!$A:$B,2,FALSE),"Code inconnu"))</f>
        <v/>
      </c>
      <c r="E490" s="21" t="n"/>
      <c r="F490" s="21" t="n"/>
      <c r="G490" s="22" t="n"/>
      <c r="H490" s="23">
        <f>IF(OR(F490="",G490=""),"",F490*G490)</f>
        <v/>
      </c>
      <c r="I490" s="26" t="n"/>
      <c r="J490" s="26" t="n"/>
      <c r="K490" s="25">
        <f>IF(B490="","",IF(J490&lt;&gt;"","Livrée",IF(I490="","À planifier",IF(Paramètres!$B$4&gt;I490+Paramètres!$B$8,"En retard","En cours"))))</f>
        <v/>
      </c>
      <c r="L490" s="25">
        <f>IF(K490="En retard",Paramètres!$B$4-I490,"")</f>
        <v/>
      </c>
      <c r="M490" s="27">
        <f>IF(OR(B490="",J490=""),"",J490+IFERROR(IF(VLOOKUP(C490,Revendeurs!$A:$G,7,FALSE)="",Paramètres!$B$9,VLOOKUP(C490,Revendeurs!$A:$G,7,FALSE)),Paramètres!$B$9))</f>
        <v/>
      </c>
      <c r="N490" s="22" t="n"/>
      <c r="O490" s="23">
        <f>IF(H490="","",H490-N490)</f>
        <v/>
      </c>
      <c r="P490" s="25">
        <f>IF(OR(M490="",O490=""),"",IF(O490&lt;=0,0,MAX(0,Paramètres!$B$4-M490)))</f>
        <v/>
      </c>
      <c r="Q490" s="25">
        <f>IF(H490="","",IF(O490&lt;=0,"Payée",IF(M490="","Pas encore livrée",IF(P490=0,"Non échue",IF(P490&gt;=Paramètres!$B$7,"Relance 3 : appel direction",IF(P490&gt;=Paramètres!$B$6,"Relance 2",IF(P490&gt;=Paramètres!$B$5,"Relance 1","Échue, relance à venir")))))))</f>
        <v/>
      </c>
      <c r="R490" s="25">
        <f>IF(B490="","",IF(U490=Paramètres!$B$4,"Relancé aujourd'hui",TRIM(IF(LEFT(Q490,7)="Relance",Q490&amp;" ","")&amp;IF(K490="En retard","· Prévenir du retard de livraison",""))))</f>
        <v/>
      </c>
      <c r="S490" s="28">
        <f>IF(B490="","",IF(LEFT(Q490,9)="Relance 3","Bonjour "&amp;D490&amp;", nous revenons vers vous au sujet de la commande "&amp;A490&amp;" du "&amp;TEXT(B490,"dd/mm/yyyy")&amp;" : "&amp;SUBSTITUTE(TEXT(O490,"#,##0"),","," ")&amp;" FCFA restent à régler depuis le "&amp;TEXT(M490,"dd/mm/yyyy")&amp;". Notre responsable souhaite vous appeler pour convenir ensemble d'une solution. Quel moment vous arrange cette semaine ? "&amp;Paramètres!$B$11&amp;", "&amp;Paramètres!$B$12,IF(LEFT(Q490,7)="Relance","Bonjour "&amp;D490&amp;", sauf erreur de notre part, la commande "&amp;A490&amp;" du "&amp;TEXT(B490,"dd/mm/yyyy")&amp;" ("&amp;E490&amp;") présente un reste à payer de "&amp;SUBSTITUTE(TEXT(O490,"#,##0"),","," ")&amp;" FCFA, échu depuis le "&amp;TEXT(M490,"dd/mm/yyyy")&amp;". Pouvez-vous nous indiquer la date de règlement prévue ? Si le paiement est déjà parti, merci de nous envoyer la preuve et ne tenez pas compte de ce message. "&amp;Paramètres!$B$11&amp;", "&amp;Paramètres!$B$12,IF(K490="En retard","Bonjour "&amp;D490&amp;", votre commande "&amp;A490&amp;" ("&amp;E490&amp;", "&amp;F490&amp;" pièces) prévue le "&amp;TEXT(I490,"dd/mm/yyyy")&amp;" a pris du retard. Nous vous confirmons la nouvelle date de livraison dans la journée. Toutes nos excuses pour ce contretemps. "&amp;Paramètres!$B$11&amp;", "&amp;Paramètres!$B$12,""))))</f>
        <v/>
      </c>
      <c r="T490" s="21" t="n"/>
      <c r="U490" s="26" t="n"/>
      <c r="V490" s="21" t="n"/>
    </row>
    <row r="491">
      <c r="A491" s="21" t="n"/>
      <c r="B491" s="26" t="n"/>
      <c r="C491" s="21" t="n"/>
      <c r="D491" s="25">
        <f>IF(C491="","",IFERROR(VLOOKUP(C491,Revendeurs!$A:$B,2,FALSE),"Code inconnu"))</f>
        <v/>
      </c>
      <c r="E491" s="21" t="n"/>
      <c r="F491" s="21" t="n"/>
      <c r="G491" s="22" t="n"/>
      <c r="H491" s="23">
        <f>IF(OR(F491="",G491=""),"",F491*G491)</f>
        <v/>
      </c>
      <c r="I491" s="26" t="n"/>
      <c r="J491" s="26" t="n"/>
      <c r="K491" s="25">
        <f>IF(B491="","",IF(J491&lt;&gt;"","Livrée",IF(I491="","À planifier",IF(Paramètres!$B$4&gt;I491+Paramètres!$B$8,"En retard","En cours"))))</f>
        <v/>
      </c>
      <c r="L491" s="25">
        <f>IF(K491="En retard",Paramètres!$B$4-I491,"")</f>
        <v/>
      </c>
      <c r="M491" s="27">
        <f>IF(OR(B491="",J491=""),"",J491+IFERROR(IF(VLOOKUP(C491,Revendeurs!$A:$G,7,FALSE)="",Paramètres!$B$9,VLOOKUP(C491,Revendeurs!$A:$G,7,FALSE)),Paramètres!$B$9))</f>
        <v/>
      </c>
      <c r="N491" s="22" t="n"/>
      <c r="O491" s="23">
        <f>IF(H491="","",H491-N491)</f>
        <v/>
      </c>
      <c r="P491" s="25">
        <f>IF(OR(M491="",O491=""),"",IF(O491&lt;=0,0,MAX(0,Paramètres!$B$4-M491)))</f>
        <v/>
      </c>
      <c r="Q491" s="25">
        <f>IF(H491="","",IF(O491&lt;=0,"Payée",IF(M491="","Pas encore livrée",IF(P491=0,"Non échue",IF(P491&gt;=Paramètres!$B$7,"Relance 3 : appel direction",IF(P491&gt;=Paramètres!$B$6,"Relance 2",IF(P491&gt;=Paramètres!$B$5,"Relance 1","Échue, relance à venir")))))))</f>
        <v/>
      </c>
      <c r="R491" s="25">
        <f>IF(B491="","",IF(U491=Paramètres!$B$4,"Relancé aujourd'hui",TRIM(IF(LEFT(Q491,7)="Relance",Q491&amp;" ","")&amp;IF(K491="En retard","· Prévenir du retard de livraison",""))))</f>
        <v/>
      </c>
      <c r="S491" s="28">
        <f>IF(B491="","",IF(LEFT(Q491,9)="Relance 3","Bonjour "&amp;D491&amp;", nous revenons vers vous au sujet de la commande "&amp;A491&amp;" du "&amp;TEXT(B491,"dd/mm/yyyy")&amp;" : "&amp;SUBSTITUTE(TEXT(O491,"#,##0"),","," ")&amp;" FCFA restent à régler depuis le "&amp;TEXT(M491,"dd/mm/yyyy")&amp;". Notre responsable souhaite vous appeler pour convenir ensemble d'une solution. Quel moment vous arrange cette semaine ? "&amp;Paramètres!$B$11&amp;", "&amp;Paramètres!$B$12,IF(LEFT(Q491,7)="Relance","Bonjour "&amp;D491&amp;", sauf erreur de notre part, la commande "&amp;A491&amp;" du "&amp;TEXT(B491,"dd/mm/yyyy")&amp;" ("&amp;E491&amp;") présente un reste à payer de "&amp;SUBSTITUTE(TEXT(O491,"#,##0"),","," ")&amp;" FCFA, échu depuis le "&amp;TEXT(M491,"dd/mm/yyyy")&amp;". Pouvez-vous nous indiquer la date de règlement prévue ? Si le paiement est déjà parti, merci de nous envoyer la preuve et ne tenez pas compte de ce message. "&amp;Paramètres!$B$11&amp;", "&amp;Paramètres!$B$12,IF(K491="En retard","Bonjour "&amp;D491&amp;", votre commande "&amp;A491&amp;" ("&amp;E491&amp;", "&amp;F491&amp;" pièces) prévue le "&amp;TEXT(I491,"dd/mm/yyyy")&amp;" a pris du retard. Nous vous confirmons la nouvelle date de livraison dans la journée. Toutes nos excuses pour ce contretemps. "&amp;Paramètres!$B$11&amp;", "&amp;Paramètres!$B$12,""))))</f>
        <v/>
      </c>
      <c r="T491" s="21" t="n"/>
      <c r="U491" s="26" t="n"/>
      <c r="V491" s="21" t="n"/>
    </row>
    <row r="492">
      <c r="A492" s="21" t="n"/>
      <c r="B492" s="26" t="n"/>
      <c r="C492" s="21" t="n"/>
      <c r="D492" s="25">
        <f>IF(C492="","",IFERROR(VLOOKUP(C492,Revendeurs!$A:$B,2,FALSE),"Code inconnu"))</f>
        <v/>
      </c>
      <c r="E492" s="21" t="n"/>
      <c r="F492" s="21" t="n"/>
      <c r="G492" s="22" t="n"/>
      <c r="H492" s="23">
        <f>IF(OR(F492="",G492=""),"",F492*G492)</f>
        <v/>
      </c>
      <c r="I492" s="26" t="n"/>
      <c r="J492" s="26" t="n"/>
      <c r="K492" s="25">
        <f>IF(B492="","",IF(J492&lt;&gt;"","Livrée",IF(I492="","À planifier",IF(Paramètres!$B$4&gt;I492+Paramètres!$B$8,"En retard","En cours"))))</f>
        <v/>
      </c>
      <c r="L492" s="25">
        <f>IF(K492="En retard",Paramètres!$B$4-I492,"")</f>
        <v/>
      </c>
      <c r="M492" s="27">
        <f>IF(OR(B492="",J492=""),"",J492+IFERROR(IF(VLOOKUP(C492,Revendeurs!$A:$G,7,FALSE)="",Paramètres!$B$9,VLOOKUP(C492,Revendeurs!$A:$G,7,FALSE)),Paramètres!$B$9))</f>
        <v/>
      </c>
      <c r="N492" s="22" t="n"/>
      <c r="O492" s="23">
        <f>IF(H492="","",H492-N492)</f>
        <v/>
      </c>
      <c r="P492" s="25">
        <f>IF(OR(M492="",O492=""),"",IF(O492&lt;=0,0,MAX(0,Paramètres!$B$4-M492)))</f>
        <v/>
      </c>
      <c r="Q492" s="25">
        <f>IF(H492="","",IF(O492&lt;=0,"Payée",IF(M492="","Pas encore livrée",IF(P492=0,"Non échue",IF(P492&gt;=Paramètres!$B$7,"Relance 3 : appel direction",IF(P492&gt;=Paramètres!$B$6,"Relance 2",IF(P492&gt;=Paramètres!$B$5,"Relance 1","Échue, relance à venir")))))))</f>
        <v/>
      </c>
      <c r="R492" s="25">
        <f>IF(B492="","",IF(U492=Paramètres!$B$4,"Relancé aujourd'hui",TRIM(IF(LEFT(Q492,7)="Relance",Q492&amp;" ","")&amp;IF(K492="En retard","· Prévenir du retard de livraison",""))))</f>
        <v/>
      </c>
      <c r="S492" s="28">
        <f>IF(B492="","",IF(LEFT(Q492,9)="Relance 3","Bonjour "&amp;D492&amp;", nous revenons vers vous au sujet de la commande "&amp;A492&amp;" du "&amp;TEXT(B492,"dd/mm/yyyy")&amp;" : "&amp;SUBSTITUTE(TEXT(O492,"#,##0"),","," ")&amp;" FCFA restent à régler depuis le "&amp;TEXT(M492,"dd/mm/yyyy")&amp;". Notre responsable souhaite vous appeler pour convenir ensemble d'une solution. Quel moment vous arrange cette semaine ? "&amp;Paramètres!$B$11&amp;", "&amp;Paramètres!$B$12,IF(LEFT(Q492,7)="Relance","Bonjour "&amp;D492&amp;", sauf erreur de notre part, la commande "&amp;A492&amp;" du "&amp;TEXT(B492,"dd/mm/yyyy")&amp;" ("&amp;E492&amp;") présente un reste à payer de "&amp;SUBSTITUTE(TEXT(O492,"#,##0"),","," ")&amp;" FCFA, échu depuis le "&amp;TEXT(M492,"dd/mm/yyyy")&amp;". Pouvez-vous nous indiquer la date de règlement prévue ? Si le paiement est déjà parti, merci de nous envoyer la preuve et ne tenez pas compte de ce message. "&amp;Paramètres!$B$11&amp;", "&amp;Paramètres!$B$12,IF(K492="En retard","Bonjour "&amp;D492&amp;", votre commande "&amp;A492&amp;" ("&amp;E492&amp;", "&amp;F492&amp;" pièces) prévue le "&amp;TEXT(I492,"dd/mm/yyyy")&amp;" a pris du retard. Nous vous confirmons la nouvelle date de livraison dans la journée. Toutes nos excuses pour ce contretemps. "&amp;Paramètres!$B$11&amp;", "&amp;Paramètres!$B$12,""))))</f>
        <v/>
      </c>
      <c r="T492" s="21" t="n"/>
      <c r="U492" s="26" t="n"/>
      <c r="V492" s="21" t="n"/>
    </row>
    <row r="493">
      <c r="A493" s="21" t="n"/>
      <c r="B493" s="26" t="n"/>
      <c r="C493" s="21" t="n"/>
      <c r="D493" s="25">
        <f>IF(C493="","",IFERROR(VLOOKUP(C493,Revendeurs!$A:$B,2,FALSE),"Code inconnu"))</f>
        <v/>
      </c>
      <c r="E493" s="21" t="n"/>
      <c r="F493" s="21" t="n"/>
      <c r="G493" s="22" t="n"/>
      <c r="H493" s="23">
        <f>IF(OR(F493="",G493=""),"",F493*G493)</f>
        <v/>
      </c>
      <c r="I493" s="26" t="n"/>
      <c r="J493" s="26" t="n"/>
      <c r="K493" s="25">
        <f>IF(B493="","",IF(J493&lt;&gt;"","Livrée",IF(I493="","À planifier",IF(Paramètres!$B$4&gt;I493+Paramètres!$B$8,"En retard","En cours"))))</f>
        <v/>
      </c>
      <c r="L493" s="25">
        <f>IF(K493="En retard",Paramètres!$B$4-I493,"")</f>
        <v/>
      </c>
      <c r="M493" s="27">
        <f>IF(OR(B493="",J493=""),"",J493+IFERROR(IF(VLOOKUP(C493,Revendeurs!$A:$G,7,FALSE)="",Paramètres!$B$9,VLOOKUP(C493,Revendeurs!$A:$G,7,FALSE)),Paramètres!$B$9))</f>
        <v/>
      </c>
      <c r="N493" s="22" t="n"/>
      <c r="O493" s="23">
        <f>IF(H493="","",H493-N493)</f>
        <v/>
      </c>
      <c r="P493" s="25">
        <f>IF(OR(M493="",O493=""),"",IF(O493&lt;=0,0,MAX(0,Paramètres!$B$4-M493)))</f>
        <v/>
      </c>
      <c r="Q493" s="25">
        <f>IF(H493="","",IF(O493&lt;=0,"Payée",IF(M493="","Pas encore livrée",IF(P493=0,"Non échue",IF(P493&gt;=Paramètres!$B$7,"Relance 3 : appel direction",IF(P493&gt;=Paramètres!$B$6,"Relance 2",IF(P493&gt;=Paramètres!$B$5,"Relance 1","Échue, relance à venir")))))))</f>
        <v/>
      </c>
      <c r="R493" s="25">
        <f>IF(B493="","",IF(U493=Paramètres!$B$4,"Relancé aujourd'hui",TRIM(IF(LEFT(Q493,7)="Relance",Q493&amp;" ","")&amp;IF(K493="En retard","· Prévenir du retard de livraison",""))))</f>
        <v/>
      </c>
      <c r="S493" s="28">
        <f>IF(B493="","",IF(LEFT(Q493,9)="Relance 3","Bonjour "&amp;D493&amp;", nous revenons vers vous au sujet de la commande "&amp;A493&amp;" du "&amp;TEXT(B493,"dd/mm/yyyy")&amp;" : "&amp;SUBSTITUTE(TEXT(O493,"#,##0"),","," ")&amp;" FCFA restent à régler depuis le "&amp;TEXT(M493,"dd/mm/yyyy")&amp;". Notre responsable souhaite vous appeler pour convenir ensemble d'une solution. Quel moment vous arrange cette semaine ? "&amp;Paramètres!$B$11&amp;", "&amp;Paramètres!$B$12,IF(LEFT(Q493,7)="Relance","Bonjour "&amp;D493&amp;", sauf erreur de notre part, la commande "&amp;A493&amp;" du "&amp;TEXT(B493,"dd/mm/yyyy")&amp;" ("&amp;E493&amp;") présente un reste à payer de "&amp;SUBSTITUTE(TEXT(O493,"#,##0"),","," ")&amp;" FCFA, échu depuis le "&amp;TEXT(M493,"dd/mm/yyyy")&amp;". Pouvez-vous nous indiquer la date de règlement prévue ? Si le paiement est déjà parti, merci de nous envoyer la preuve et ne tenez pas compte de ce message. "&amp;Paramètres!$B$11&amp;", "&amp;Paramètres!$B$12,IF(K493="En retard","Bonjour "&amp;D493&amp;", votre commande "&amp;A493&amp;" ("&amp;E493&amp;", "&amp;F493&amp;" pièces) prévue le "&amp;TEXT(I493,"dd/mm/yyyy")&amp;" a pris du retard. Nous vous confirmons la nouvelle date de livraison dans la journée. Toutes nos excuses pour ce contretemps. "&amp;Paramètres!$B$11&amp;", "&amp;Paramètres!$B$12,""))))</f>
        <v/>
      </c>
      <c r="T493" s="21" t="n"/>
      <c r="U493" s="26" t="n"/>
      <c r="V493" s="21" t="n"/>
    </row>
    <row r="494">
      <c r="A494" s="21" t="n"/>
      <c r="B494" s="26" t="n"/>
      <c r="C494" s="21" t="n"/>
      <c r="D494" s="25">
        <f>IF(C494="","",IFERROR(VLOOKUP(C494,Revendeurs!$A:$B,2,FALSE),"Code inconnu"))</f>
        <v/>
      </c>
      <c r="E494" s="21" t="n"/>
      <c r="F494" s="21" t="n"/>
      <c r="G494" s="22" t="n"/>
      <c r="H494" s="23">
        <f>IF(OR(F494="",G494=""),"",F494*G494)</f>
        <v/>
      </c>
      <c r="I494" s="26" t="n"/>
      <c r="J494" s="26" t="n"/>
      <c r="K494" s="25">
        <f>IF(B494="","",IF(J494&lt;&gt;"","Livrée",IF(I494="","À planifier",IF(Paramètres!$B$4&gt;I494+Paramètres!$B$8,"En retard","En cours"))))</f>
        <v/>
      </c>
      <c r="L494" s="25">
        <f>IF(K494="En retard",Paramètres!$B$4-I494,"")</f>
        <v/>
      </c>
      <c r="M494" s="27">
        <f>IF(OR(B494="",J494=""),"",J494+IFERROR(IF(VLOOKUP(C494,Revendeurs!$A:$G,7,FALSE)="",Paramètres!$B$9,VLOOKUP(C494,Revendeurs!$A:$G,7,FALSE)),Paramètres!$B$9))</f>
        <v/>
      </c>
      <c r="N494" s="22" t="n"/>
      <c r="O494" s="23">
        <f>IF(H494="","",H494-N494)</f>
        <v/>
      </c>
      <c r="P494" s="25">
        <f>IF(OR(M494="",O494=""),"",IF(O494&lt;=0,0,MAX(0,Paramètres!$B$4-M494)))</f>
        <v/>
      </c>
      <c r="Q494" s="25">
        <f>IF(H494="","",IF(O494&lt;=0,"Payée",IF(M494="","Pas encore livrée",IF(P494=0,"Non échue",IF(P494&gt;=Paramètres!$B$7,"Relance 3 : appel direction",IF(P494&gt;=Paramètres!$B$6,"Relance 2",IF(P494&gt;=Paramètres!$B$5,"Relance 1","Échue, relance à venir")))))))</f>
        <v/>
      </c>
      <c r="R494" s="25">
        <f>IF(B494="","",IF(U494=Paramètres!$B$4,"Relancé aujourd'hui",TRIM(IF(LEFT(Q494,7)="Relance",Q494&amp;" ","")&amp;IF(K494="En retard","· Prévenir du retard de livraison",""))))</f>
        <v/>
      </c>
      <c r="S494" s="28">
        <f>IF(B494="","",IF(LEFT(Q494,9)="Relance 3","Bonjour "&amp;D494&amp;", nous revenons vers vous au sujet de la commande "&amp;A494&amp;" du "&amp;TEXT(B494,"dd/mm/yyyy")&amp;" : "&amp;SUBSTITUTE(TEXT(O494,"#,##0"),","," ")&amp;" FCFA restent à régler depuis le "&amp;TEXT(M494,"dd/mm/yyyy")&amp;". Notre responsable souhaite vous appeler pour convenir ensemble d'une solution. Quel moment vous arrange cette semaine ? "&amp;Paramètres!$B$11&amp;", "&amp;Paramètres!$B$12,IF(LEFT(Q494,7)="Relance","Bonjour "&amp;D494&amp;", sauf erreur de notre part, la commande "&amp;A494&amp;" du "&amp;TEXT(B494,"dd/mm/yyyy")&amp;" ("&amp;E494&amp;") présente un reste à payer de "&amp;SUBSTITUTE(TEXT(O494,"#,##0"),","," ")&amp;" FCFA, échu depuis le "&amp;TEXT(M494,"dd/mm/yyyy")&amp;". Pouvez-vous nous indiquer la date de règlement prévue ? Si le paiement est déjà parti, merci de nous envoyer la preuve et ne tenez pas compte de ce message. "&amp;Paramètres!$B$11&amp;", "&amp;Paramètres!$B$12,IF(K494="En retard","Bonjour "&amp;D494&amp;", votre commande "&amp;A494&amp;" ("&amp;E494&amp;", "&amp;F494&amp;" pièces) prévue le "&amp;TEXT(I494,"dd/mm/yyyy")&amp;" a pris du retard. Nous vous confirmons la nouvelle date de livraison dans la journée. Toutes nos excuses pour ce contretemps. "&amp;Paramètres!$B$11&amp;", "&amp;Paramètres!$B$12,""))))</f>
        <v/>
      </c>
      <c r="T494" s="21" t="n"/>
      <c r="U494" s="26" t="n"/>
      <c r="V494" s="21" t="n"/>
    </row>
    <row r="495">
      <c r="A495" s="21" t="n"/>
      <c r="B495" s="26" t="n"/>
      <c r="C495" s="21" t="n"/>
      <c r="D495" s="25">
        <f>IF(C495="","",IFERROR(VLOOKUP(C495,Revendeurs!$A:$B,2,FALSE),"Code inconnu"))</f>
        <v/>
      </c>
      <c r="E495" s="21" t="n"/>
      <c r="F495" s="21" t="n"/>
      <c r="G495" s="22" t="n"/>
      <c r="H495" s="23">
        <f>IF(OR(F495="",G495=""),"",F495*G495)</f>
        <v/>
      </c>
      <c r="I495" s="26" t="n"/>
      <c r="J495" s="26" t="n"/>
      <c r="K495" s="25">
        <f>IF(B495="","",IF(J495&lt;&gt;"","Livrée",IF(I495="","À planifier",IF(Paramètres!$B$4&gt;I495+Paramètres!$B$8,"En retard","En cours"))))</f>
        <v/>
      </c>
      <c r="L495" s="25">
        <f>IF(K495="En retard",Paramètres!$B$4-I495,"")</f>
        <v/>
      </c>
      <c r="M495" s="27">
        <f>IF(OR(B495="",J495=""),"",J495+IFERROR(IF(VLOOKUP(C495,Revendeurs!$A:$G,7,FALSE)="",Paramètres!$B$9,VLOOKUP(C495,Revendeurs!$A:$G,7,FALSE)),Paramètres!$B$9))</f>
        <v/>
      </c>
      <c r="N495" s="22" t="n"/>
      <c r="O495" s="23">
        <f>IF(H495="","",H495-N495)</f>
        <v/>
      </c>
      <c r="P495" s="25">
        <f>IF(OR(M495="",O495=""),"",IF(O495&lt;=0,0,MAX(0,Paramètres!$B$4-M495)))</f>
        <v/>
      </c>
      <c r="Q495" s="25">
        <f>IF(H495="","",IF(O495&lt;=0,"Payée",IF(M495="","Pas encore livrée",IF(P495=0,"Non échue",IF(P495&gt;=Paramètres!$B$7,"Relance 3 : appel direction",IF(P495&gt;=Paramètres!$B$6,"Relance 2",IF(P495&gt;=Paramètres!$B$5,"Relance 1","Échue, relance à venir")))))))</f>
        <v/>
      </c>
      <c r="R495" s="25">
        <f>IF(B495="","",IF(U495=Paramètres!$B$4,"Relancé aujourd'hui",TRIM(IF(LEFT(Q495,7)="Relance",Q495&amp;" ","")&amp;IF(K495="En retard","· Prévenir du retard de livraison",""))))</f>
        <v/>
      </c>
      <c r="S495" s="28">
        <f>IF(B495="","",IF(LEFT(Q495,9)="Relance 3","Bonjour "&amp;D495&amp;", nous revenons vers vous au sujet de la commande "&amp;A495&amp;" du "&amp;TEXT(B495,"dd/mm/yyyy")&amp;" : "&amp;SUBSTITUTE(TEXT(O495,"#,##0"),","," ")&amp;" FCFA restent à régler depuis le "&amp;TEXT(M495,"dd/mm/yyyy")&amp;". Notre responsable souhaite vous appeler pour convenir ensemble d'une solution. Quel moment vous arrange cette semaine ? "&amp;Paramètres!$B$11&amp;", "&amp;Paramètres!$B$12,IF(LEFT(Q495,7)="Relance","Bonjour "&amp;D495&amp;", sauf erreur de notre part, la commande "&amp;A495&amp;" du "&amp;TEXT(B495,"dd/mm/yyyy")&amp;" ("&amp;E495&amp;") présente un reste à payer de "&amp;SUBSTITUTE(TEXT(O495,"#,##0"),","," ")&amp;" FCFA, échu depuis le "&amp;TEXT(M495,"dd/mm/yyyy")&amp;". Pouvez-vous nous indiquer la date de règlement prévue ? Si le paiement est déjà parti, merci de nous envoyer la preuve et ne tenez pas compte de ce message. "&amp;Paramètres!$B$11&amp;", "&amp;Paramètres!$B$12,IF(K495="En retard","Bonjour "&amp;D495&amp;", votre commande "&amp;A495&amp;" ("&amp;E495&amp;", "&amp;F495&amp;" pièces) prévue le "&amp;TEXT(I495,"dd/mm/yyyy")&amp;" a pris du retard. Nous vous confirmons la nouvelle date de livraison dans la journée. Toutes nos excuses pour ce contretemps. "&amp;Paramètres!$B$11&amp;", "&amp;Paramètres!$B$12,""))))</f>
        <v/>
      </c>
      <c r="T495" s="21" t="n"/>
      <c r="U495" s="26" t="n"/>
      <c r="V495" s="21" t="n"/>
    </row>
    <row r="496">
      <c r="A496" s="21" t="n"/>
      <c r="B496" s="26" t="n"/>
      <c r="C496" s="21" t="n"/>
      <c r="D496" s="25">
        <f>IF(C496="","",IFERROR(VLOOKUP(C496,Revendeurs!$A:$B,2,FALSE),"Code inconnu"))</f>
        <v/>
      </c>
      <c r="E496" s="21" t="n"/>
      <c r="F496" s="21" t="n"/>
      <c r="G496" s="22" t="n"/>
      <c r="H496" s="23">
        <f>IF(OR(F496="",G496=""),"",F496*G496)</f>
        <v/>
      </c>
      <c r="I496" s="26" t="n"/>
      <c r="J496" s="26" t="n"/>
      <c r="K496" s="25">
        <f>IF(B496="","",IF(J496&lt;&gt;"","Livrée",IF(I496="","À planifier",IF(Paramètres!$B$4&gt;I496+Paramètres!$B$8,"En retard","En cours"))))</f>
        <v/>
      </c>
      <c r="L496" s="25">
        <f>IF(K496="En retard",Paramètres!$B$4-I496,"")</f>
        <v/>
      </c>
      <c r="M496" s="27">
        <f>IF(OR(B496="",J496=""),"",J496+IFERROR(IF(VLOOKUP(C496,Revendeurs!$A:$G,7,FALSE)="",Paramètres!$B$9,VLOOKUP(C496,Revendeurs!$A:$G,7,FALSE)),Paramètres!$B$9))</f>
        <v/>
      </c>
      <c r="N496" s="22" t="n"/>
      <c r="O496" s="23">
        <f>IF(H496="","",H496-N496)</f>
        <v/>
      </c>
      <c r="P496" s="25">
        <f>IF(OR(M496="",O496=""),"",IF(O496&lt;=0,0,MAX(0,Paramètres!$B$4-M496)))</f>
        <v/>
      </c>
      <c r="Q496" s="25">
        <f>IF(H496="","",IF(O496&lt;=0,"Payée",IF(M496="","Pas encore livrée",IF(P496=0,"Non échue",IF(P496&gt;=Paramètres!$B$7,"Relance 3 : appel direction",IF(P496&gt;=Paramètres!$B$6,"Relance 2",IF(P496&gt;=Paramètres!$B$5,"Relance 1","Échue, relance à venir")))))))</f>
        <v/>
      </c>
      <c r="R496" s="25">
        <f>IF(B496="","",IF(U496=Paramètres!$B$4,"Relancé aujourd'hui",TRIM(IF(LEFT(Q496,7)="Relance",Q496&amp;" ","")&amp;IF(K496="En retard","· Prévenir du retard de livraison",""))))</f>
        <v/>
      </c>
      <c r="S496" s="28">
        <f>IF(B496="","",IF(LEFT(Q496,9)="Relance 3","Bonjour "&amp;D496&amp;", nous revenons vers vous au sujet de la commande "&amp;A496&amp;" du "&amp;TEXT(B496,"dd/mm/yyyy")&amp;" : "&amp;SUBSTITUTE(TEXT(O496,"#,##0"),","," ")&amp;" FCFA restent à régler depuis le "&amp;TEXT(M496,"dd/mm/yyyy")&amp;". Notre responsable souhaite vous appeler pour convenir ensemble d'une solution. Quel moment vous arrange cette semaine ? "&amp;Paramètres!$B$11&amp;", "&amp;Paramètres!$B$12,IF(LEFT(Q496,7)="Relance","Bonjour "&amp;D496&amp;", sauf erreur de notre part, la commande "&amp;A496&amp;" du "&amp;TEXT(B496,"dd/mm/yyyy")&amp;" ("&amp;E496&amp;") présente un reste à payer de "&amp;SUBSTITUTE(TEXT(O496,"#,##0"),","," ")&amp;" FCFA, échu depuis le "&amp;TEXT(M496,"dd/mm/yyyy")&amp;". Pouvez-vous nous indiquer la date de règlement prévue ? Si le paiement est déjà parti, merci de nous envoyer la preuve et ne tenez pas compte de ce message. "&amp;Paramètres!$B$11&amp;", "&amp;Paramètres!$B$12,IF(K496="En retard","Bonjour "&amp;D496&amp;", votre commande "&amp;A496&amp;" ("&amp;E496&amp;", "&amp;F496&amp;" pièces) prévue le "&amp;TEXT(I496,"dd/mm/yyyy")&amp;" a pris du retard. Nous vous confirmons la nouvelle date de livraison dans la journée. Toutes nos excuses pour ce contretemps. "&amp;Paramètres!$B$11&amp;", "&amp;Paramètres!$B$12,""))))</f>
        <v/>
      </c>
      <c r="T496" s="21" t="n"/>
      <c r="U496" s="26" t="n"/>
      <c r="V496" s="21" t="n"/>
    </row>
    <row r="497">
      <c r="A497" s="21" t="n"/>
      <c r="B497" s="26" t="n"/>
      <c r="C497" s="21" t="n"/>
      <c r="D497" s="25">
        <f>IF(C497="","",IFERROR(VLOOKUP(C497,Revendeurs!$A:$B,2,FALSE),"Code inconnu"))</f>
        <v/>
      </c>
      <c r="E497" s="21" t="n"/>
      <c r="F497" s="21" t="n"/>
      <c r="G497" s="22" t="n"/>
      <c r="H497" s="23">
        <f>IF(OR(F497="",G497=""),"",F497*G497)</f>
        <v/>
      </c>
      <c r="I497" s="26" t="n"/>
      <c r="J497" s="26" t="n"/>
      <c r="K497" s="25">
        <f>IF(B497="","",IF(J497&lt;&gt;"","Livrée",IF(I497="","À planifier",IF(Paramètres!$B$4&gt;I497+Paramètres!$B$8,"En retard","En cours"))))</f>
        <v/>
      </c>
      <c r="L497" s="25">
        <f>IF(K497="En retard",Paramètres!$B$4-I497,"")</f>
        <v/>
      </c>
      <c r="M497" s="27">
        <f>IF(OR(B497="",J497=""),"",J497+IFERROR(IF(VLOOKUP(C497,Revendeurs!$A:$G,7,FALSE)="",Paramètres!$B$9,VLOOKUP(C497,Revendeurs!$A:$G,7,FALSE)),Paramètres!$B$9))</f>
        <v/>
      </c>
      <c r="N497" s="22" t="n"/>
      <c r="O497" s="23">
        <f>IF(H497="","",H497-N497)</f>
        <v/>
      </c>
      <c r="P497" s="25">
        <f>IF(OR(M497="",O497=""),"",IF(O497&lt;=0,0,MAX(0,Paramètres!$B$4-M497)))</f>
        <v/>
      </c>
      <c r="Q497" s="25">
        <f>IF(H497="","",IF(O497&lt;=0,"Payée",IF(M497="","Pas encore livrée",IF(P497=0,"Non échue",IF(P497&gt;=Paramètres!$B$7,"Relance 3 : appel direction",IF(P497&gt;=Paramètres!$B$6,"Relance 2",IF(P497&gt;=Paramètres!$B$5,"Relance 1","Échue, relance à venir")))))))</f>
        <v/>
      </c>
      <c r="R497" s="25">
        <f>IF(B497="","",IF(U497=Paramètres!$B$4,"Relancé aujourd'hui",TRIM(IF(LEFT(Q497,7)="Relance",Q497&amp;" ","")&amp;IF(K497="En retard","· Prévenir du retard de livraison",""))))</f>
        <v/>
      </c>
      <c r="S497" s="28">
        <f>IF(B497="","",IF(LEFT(Q497,9)="Relance 3","Bonjour "&amp;D497&amp;", nous revenons vers vous au sujet de la commande "&amp;A497&amp;" du "&amp;TEXT(B497,"dd/mm/yyyy")&amp;" : "&amp;SUBSTITUTE(TEXT(O497,"#,##0"),","," ")&amp;" FCFA restent à régler depuis le "&amp;TEXT(M497,"dd/mm/yyyy")&amp;". Notre responsable souhaite vous appeler pour convenir ensemble d'une solution. Quel moment vous arrange cette semaine ? "&amp;Paramètres!$B$11&amp;", "&amp;Paramètres!$B$12,IF(LEFT(Q497,7)="Relance","Bonjour "&amp;D497&amp;", sauf erreur de notre part, la commande "&amp;A497&amp;" du "&amp;TEXT(B497,"dd/mm/yyyy")&amp;" ("&amp;E497&amp;") présente un reste à payer de "&amp;SUBSTITUTE(TEXT(O497,"#,##0"),","," ")&amp;" FCFA, échu depuis le "&amp;TEXT(M497,"dd/mm/yyyy")&amp;". Pouvez-vous nous indiquer la date de règlement prévue ? Si le paiement est déjà parti, merci de nous envoyer la preuve et ne tenez pas compte de ce message. "&amp;Paramètres!$B$11&amp;", "&amp;Paramètres!$B$12,IF(K497="En retard","Bonjour "&amp;D497&amp;", votre commande "&amp;A497&amp;" ("&amp;E497&amp;", "&amp;F497&amp;" pièces) prévue le "&amp;TEXT(I497,"dd/mm/yyyy")&amp;" a pris du retard. Nous vous confirmons la nouvelle date de livraison dans la journée. Toutes nos excuses pour ce contretemps. "&amp;Paramètres!$B$11&amp;", "&amp;Paramètres!$B$12,""))))</f>
        <v/>
      </c>
      <c r="T497" s="21" t="n"/>
      <c r="U497" s="26" t="n"/>
      <c r="V497" s="21" t="n"/>
    </row>
    <row r="498">
      <c r="A498" s="21" t="n"/>
      <c r="B498" s="26" t="n"/>
      <c r="C498" s="21" t="n"/>
      <c r="D498" s="25">
        <f>IF(C498="","",IFERROR(VLOOKUP(C498,Revendeurs!$A:$B,2,FALSE),"Code inconnu"))</f>
        <v/>
      </c>
      <c r="E498" s="21" t="n"/>
      <c r="F498" s="21" t="n"/>
      <c r="G498" s="22" t="n"/>
      <c r="H498" s="23">
        <f>IF(OR(F498="",G498=""),"",F498*G498)</f>
        <v/>
      </c>
      <c r="I498" s="26" t="n"/>
      <c r="J498" s="26" t="n"/>
      <c r="K498" s="25">
        <f>IF(B498="","",IF(J498&lt;&gt;"","Livrée",IF(I498="","À planifier",IF(Paramètres!$B$4&gt;I498+Paramètres!$B$8,"En retard","En cours"))))</f>
        <v/>
      </c>
      <c r="L498" s="25">
        <f>IF(K498="En retard",Paramètres!$B$4-I498,"")</f>
        <v/>
      </c>
      <c r="M498" s="27">
        <f>IF(OR(B498="",J498=""),"",J498+IFERROR(IF(VLOOKUP(C498,Revendeurs!$A:$G,7,FALSE)="",Paramètres!$B$9,VLOOKUP(C498,Revendeurs!$A:$G,7,FALSE)),Paramètres!$B$9))</f>
        <v/>
      </c>
      <c r="N498" s="22" t="n"/>
      <c r="O498" s="23">
        <f>IF(H498="","",H498-N498)</f>
        <v/>
      </c>
      <c r="P498" s="25">
        <f>IF(OR(M498="",O498=""),"",IF(O498&lt;=0,0,MAX(0,Paramètres!$B$4-M498)))</f>
        <v/>
      </c>
      <c r="Q498" s="25">
        <f>IF(H498="","",IF(O498&lt;=0,"Payée",IF(M498="","Pas encore livrée",IF(P498=0,"Non échue",IF(P498&gt;=Paramètres!$B$7,"Relance 3 : appel direction",IF(P498&gt;=Paramètres!$B$6,"Relance 2",IF(P498&gt;=Paramètres!$B$5,"Relance 1","Échue, relance à venir")))))))</f>
        <v/>
      </c>
      <c r="R498" s="25">
        <f>IF(B498="","",IF(U498=Paramètres!$B$4,"Relancé aujourd'hui",TRIM(IF(LEFT(Q498,7)="Relance",Q498&amp;" ","")&amp;IF(K498="En retard","· Prévenir du retard de livraison",""))))</f>
        <v/>
      </c>
      <c r="S498" s="28">
        <f>IF(B498="","",IF(LEFT(Q498,9)="Relance 3","Bonjour "&amp;D498&amp;", nous revenons vers vous au sujet de la commande "&amp;A498&amp;" du "&amp;TEXT(B498,"dd/mm/yyyy")&amp;" : "&amp;SUBSTITUTE(TEXT(O498,"#,##0"),","," ")&amp;" FCFA restent à régler depuis le "&amp;TEXT(M498,"dd/mm/yyyy")&amp;". Notre responsable souhaite vous appeler pour convenir ensemble d'une solution. Quel moment vous arrange cette semaine ? "&amp;Paramètres!$B$11&amp;", "&amp;Paramètres!$B$12,IF(LEFT(Q498,7)="Relance","Bonjour "&amp;D498&amp;", sauf erreur de notre part, la commande "&amp;A498&amp;" du "&amp;TEXT(B498,"dd/mm/yyyy")&amp;" ("&amp;E498&amp;") présente un reste à payer de "&amp;SUBSTITUTE(TEXT(O498,"#,##0"),","," ")&amp;" FCFA, échu depuis le "&amp;TEXT(M498,"dd/mm/yyyy")&amp;". Pouvez-vous nous indiquer la date de règlement prévue ? Si le paiement est déjà parti, merci de nous envoyer la preuve et ne tenez pas compte de ce message. "&amp;Paramètres!$B$11&amp;", "&amp;Paramètres!$B$12,IF(K498="En retard","Bonjour "&amp;D498&amp;", votre commande "&amp;A498&amp;" ("&amp;E498&amp;", "&amp;F498&amp;" pièces) prévue le "&amp;TEXT(I498,"dd/mm/yyyy")&amp;" a pris du retard. Nous vous confirmons la nouvelle date de livraison dans la journée. Toutes nos excuses pour ce contretemps. "&amp;Paramètres!$B$11&amp;", "&amp;Paramètres!$B$12,""))))</f>
        <v/>
      </c>
      <c r="T498" s="21" t="n"/>
      <c r="U498" s="26" t="n"/>
      <c r="V498" s="21" t="n"/>
    </row>
    <row r="499">
      <c r="A499" s="21" t="n"/>
      <c r="B499" s="26" t="n"/>
      <c r="C499" s="21" t="n"/>
      <c r="D499" s="25">
        <f>IF(C499="","",IFERROR(VLOOKUP(C499,Revendeurs!$A:$B,2,FALSE),"Code inconnu"))</f>
        <v/>
      </c>
      <c r="E499" s="21" t="n"/>
      <c r="F499" s="21" t="n"/>
      <c r="G499" s="22" t="n"/>
      <c r="H499" s="23">
        <f>IF(OR(F499="",G499=""),"",F499*G499)</f>
        <v/>
      </c>
      <c r="I499" s="26" t="n"/>
      <c r="J499" s="26" t="n"/>
      <c r="K499" s="25">
        <f>IF(B499="","",IF(J499&lt;&gt;"","Livrée",IF(I499="","À planifier",IF(Paramètres!$B$4&gt;I499+Paramètres!$B$8,"En retard","En cours"))))</f>
        <v/>
      </c>
      <c r="L499" s="25">
        <f>IF(K499="En retard",Paramètres!$B$4-I499,"")</f>
        <v/>
      </c>
      <c r="M499" s="27">
        <f>IF(OR(B499="",J499=""),"",J499+IFERROR(IF(VLOOKUP(C499,Revendeurs!$A:$G,7,FALSE)="",Paramètres!$B$9,VLOOKUP(C499,Revendeurs!$A:$G,7,FALSE)),Paramètres!$B$9))</f>
        <v/>
      </c>
      <c r="N499" s="22" t="n"/>
      <c r="O499" s="23">
        <f>IF(H499="","",H499-N499)</f>
        <v/>
      </c>
      <c r="P499" s="25">
        <f>IF(OR(M499="",O499=""),"",IF(O499&lt;=0,0,MAX(0,Paramètres!$B$4-M499)))</f>
        <v/>
      </c>
      <c r="Q499" s="25">
        <f>IF(H499="","",IF(O499&lt;=0,"Payée",IF(M499="","Pas encore livrée",IF(P499=0,"Non échue",IF(P499&gt;=Paramètres!$B$7,"Relance 3 : appel direction",IF(P499&gt;=Paramètres!$B$6,"Relance 2",IF(P499&gt;=Paramètres!$B$5,"Relance 1","Échue, relance à venir")))))))</f>
        <v/>
      </c>
      <c r="R499" s="25">
        <f>IF(B499="","",IF(U499=Paramètres!$B$4,"Relancé aujourd'hui",TRIM(IF(LEFT(Q499,7)="Relance",Q499&amp;" ","")&amp;IF(K499="En retard","· Prévenir du retard de livraison",""))))</f>
        <v/>
      </c>
      <c r="S499" s="28">
        <f>IF(B499="","",IF(LEFT(Q499,9)="Relance 3","Bonjour "&amp;D499&amp;", nous revenons vers vous au sujet de la commande "&amp;A499&amp;" du "&amp;TEXT(B499,"dd/mm/yyyy")&amp;" : "&amp;SUBSTITUTE(TEXT(O499,"#,##0"),","," ")&amp;" FCFA restent à régler depuis le "&amp;TEXT(M499,"dd/mm/yyyy")&amp;". Notre responsable souhaite vous appeler pour convenir ensemble d'une solution. Quel moment vous arrange cette semaine ? "&amp;Paramètres!$B$11&amp;", "&amp;Paramètres!$B$12,IF(LEFT(Q499,7)="Relance","Bonjour "&amp;D499&amp;", sauf erreur de notre part, la commande "&amp;A499&amp;" du "&amp;TEXT(B499,"dd/mm/yyyy")&amp;" ("&amp;E499&amp;") présente un reste à payer de "&amp;SUBSTITUTE(TEXT(O499,"#,##0"),","," ")&amp;" FCFA, échu depuis le "&amp;TEXT(M499,"dd/mm/yyyy")&amp;". Pouvez-vous nous indiquer la date de règlement prévue ? Si le paiement est déjà parti, merci de nous envoyer la preuve et ne tenez pas compte de ce message. "&amp;Paramètres!$B$11&amp;", "&amp;Paramètres!$B$12,IF(K499="En retard","Bonjour "&amp;D499&amp;", votre commande "&amp;A499&amp;" ("&amp;E499&amp;", "&amp;F499&amp;" pièces) prévue le "&amp;TEXT(I499,"dd/mm/yyyy")&amp;" a pris du retard. Nous vous confirmons la nouvelle date de livraison dans la journée. Toutes nos excuses pour ce contretemps. "&amp;Paramètres!$B$11&amp;", "&amp;Paramètres!$B$12,""))))</f>
        <v/>
      </c>
      <c r="T499" s="21" t="n"/>
      <c r="U499" s="26" t="n"/>
      <c r="V499" s="21" t="n"/>
    </row>
    <row r="500">
      <c r="A500" s="21" t="n"/>
      <c r="B500" s="26" t="n"/>
      <c r="C500" s="21" t="n"/>
      <c r="D500" s="25">
        <f>IF(C500="","",IFERROR(VLOOKUP(C500,Revendeurs!$A:$B,2,FALSE),"Code inconnu"))</f>
        <v/>
      </c>
      <c r="E500" s="21" t="n"/>
      <c r="F500" s="21" t="n"/>
      <c r="G500" s="22" t="n"/>
      <c r="H500" s="23">
        <f>IF(OR(F500="",G500=""),"",F500*G500)</f>
        <v/>
      </c>
      <c r="I500" s="26" t="n"/>
      <c r="J500" s="26" t="n"/>
      <c r="K500" s="25">
        <f>IF(B500="","",IF(J500&lt;&gt;"","Livrée",IF(I500="","À planifier",IF(Paramètres!$B$4&gt;I500+Paramètres!$B$8,"En retard","En cours"))))</f>
        <v/>
      </c>
      <c r="L500" s="25">
        <f>IF(K500="En retard",Paramètres!$B$4-I500,"")</f>
        <v/>
      </c>
      <c r="M500" s="27">
        <f>IF(OR(B500="",J500=""),"",J500+IFERROR(IF(VLOOKUP(C500,Revendeurs!$A:$G,7,FALSE)="",Paramètres!$B$9,VLOOKUP(C500,Revendeurs!$A:$G,7,FALSE)),Paramètres!$B$9))</f>
        <v/>
      </c>
      <c r="N500" s="22" t="n"/>
      <c r="O500" s="23">
        <f>IF(H500="","",H500-N500)</f>
        <v/>
      </c>
      <c r="P500" s="25">
        <f>IF(OR(M500="",O500=""),"",IF(O500&lt;=0,0,MAX(0,Paramètres!$B$4-M500)))</f>
        <v/>
      </c>
      <c r="Q500" s="25">
        <f>IF(H500="","",IF(O500&lt;=0,"Payée",IF(M500="","Pas encore livrée",IF(P500=0,"Non échue",IF(P500&gt;=Paramètres!$B$7,"Relance 3 : appel direction",IF(P500&gt;=Paramètres!$B$6,"Relance 2",IF(P500&gt;=Paramètres!$B$5,"Relance 1","Échue, relance à venir")))))))</f>
        <v/>
      </c>
      <c r="R500" s="25">
        <f>IF(B500="","",IF(U500=Paramètres!$B$4,"Relancé aujourd'hui",TRIM(IF(LEFT(Q500,7)="Relance",Q500&amp;" ","")&amp;IF(K500="En retard","· Prévenir du retard de livraison",""))))</f>
        <v/>
      </c>
      <c r="S500" s="28">
        <f>IF(B500="","",IF(LEFT(Q500,9)="Relance 3","Bonjour "&amp;D500&amp;", nous revenons vers vous au sujet de la commande "&amp;A500&amp;" du "&amp;TEXT(B500,"dd/mm/yyyy")&amp;" : "&amp;SUBSTITUTE(TEXT(O500,"#,##0"),","," ")&amp;" FCFA restent à régler depuis le "&amp;TEXT(M500,"dd/mm/yyyy")&amp;". Notre responsable souhaite vous appeler pour convenir ensemble d'une solution. Quel moment vous arrange cette semaine ? "&amp;Paramètres!$B$11&amp;", "&amp;Paramètres!$B$12,IF(LEFT(Q500,7)="Relance","Bonjour "&amp;D500&amp;", sauf erreur de notre part, la commande "&amp;A500&amp;" du "&amp;TEXT(B500,"dd/mm/yyyy")&amp;" ("&amp;E500&amp;") présente un reste à payer de "&amp;SUBSTITUTE(TEXT(O500,"#,##0"),","," ")&amp;" FCFA, échu depuis le "&amp;TEXT(M500,"dd/mm/yyyy")&amp;". Pouvez-vous nous indiquer la date de règlement prévue ? Si le paiement est déjà parti, merci de nous envoyer la preuve et ne tenez pas compte de ce message. "&amp;Paramètres!$B$11&amp;", "&amp;Paramètres!$B$12,IF(K500="En retard","Bonjour "&amp;D500&amp;", votre commande "&amp;A500&amp;" ("&amp;E500&amp;", "&amp;F500&amp;" pièces) prévue le "&amp;TEXT(I500,"dd/mm/yyyy")&amp;" a pris du retard. Nous vous confirmons la nouvelle date de livraison dans la journée. Toutes nos excuses pour ce contretemps. "&amp;Paramètres!$B$11&amp;", "&amp;Paramètres!$B$12,""))))</f>
        <v/>
      </c>
      <c r="T500" s="21" t="n"/>
      <c r="U500" s="26" t="n"/>
      <c r="V500" s="21" t="n"/>
    </row>
    <row r="501">
      <c r="A501" s="21" t="n"/>
      <c r="B501" s="26" t="n"/>
      <c r="C501" s="21" t="n"/>
      <c r="D501" s="25">
        <f>IF(C501="","",IFERROR(VLOOKUP(C501,Revendeurs!$A:$B,2,FALSE),"Code inconnu"))</f>
        <v/>
      </c>
      <c r="E501" s="21" t="n"/>
      <c r="F501" s="21" t="n"/>
      <c r="G501" s="22" t="n"/>
      <c r="H501" s="23">
        <f>IF(OR(F501="",G501=""),"",F501*G501)</f>
        <v/>
      </c>
      <c r="I501" s="26" t="n"/>
      <c r="J501" s="26" t="n"/>
      <c r="K501" s="25">
        <f>IF(B501="","",IF(J501&lt;&gt;"","Livrée",IF(I501="","À planifier",IF(Paramètres!$B$4&gt;I501+Paramètres!$B$8,"En retard","En cours"))))</f>
        <v/>
      </c>
      <c r="L501" s="25">
        <f>IF(K501="En retard",Paramètres!$B$4-I501,"")</f>
        <v/>
      </c>
      <c r="M501" s="27">
        <f>IF(OR(B501="",J501=""),"",J501+IFERROR(IF(VLOOKUP(C501,Revendeurs!$A:$G,7,FALSE)="",Paramètres!$B$9,VLOOKUP(C501,Revendeurs!$A:$G,7,FALSE)),Paramètres!$B$9))</f>
        <v/>
      </c>
      <c r="N501" s="22" t="n"/>
      <c r="O501" s="23">
        <f>IF(H501="","",H501-N501)</f>
        <v/>
      </c>
      <c r="P501" s="25">
        <f>IF(OR(M501="",O501=""),"",IF(O501&lt;=0,0,MAX(0,Paramètres!$B$4-M501)))</f>
        <v/>
      </c>
      <c r="Q501" s="25">
        <f>IF(H501="","",IF(O501&lt;=0,"Payée",IF(M501="","Pas encore livrée",IF(P501=0,"Non échue",IF(P501&gt;=Paramètres!$B$7,"Relance 3 : appel direction",IF(P501&gt;=Paramètres!$B$6,"Relance 2",IF(P501&gt;=Paramètres!$B$5,"Relance 1","Échue, relance à venir")))))))</f>
        <v/>
      </c>
      <c r="R501" s="25">
        <f>IF(B501="","",IF(U501=Paramètres!$B$4,"Relancé aujourd'hui",TRIM(IF(LEFT(Q501,7)="Relance",Q501&amp;" ","")&amp;IF(K501="En retard","· Prévenir du retard de livraison",""))))</f>
        <v/>
      </c>
      <c r="S501" s="28">
        <f>IF(B501="","",IF(LEFT(Q501,9)="Relance 3","Bonjour "&amp;D501&amp;", nous revenons vers vous au sujet de la commande "&amp;A501&amp;" du "&amp;TEXT(B501,"dd/mm/yyyy")&amp;" : "&amp;SUBSTITUTE(TEXT(O501,"#,##0"),","," ")&amp;" FCFA restent à régler depuis le "&amp;TEXT(M501,"dd/mm/yyyy")&amp;". Notre responsable souhaite vous appeler pour convenir ensemble d'une solution. Quel moment vous arrange cette semaine ? "&amp;Paramètres!$B$11&amp;", "&amp;Paramètres!$B$12,IF(LEFT(Q501,7)="Relance","Bonjour "&amp;D501&amp;", sauf erreur de notre part, la commande "&amp;A501&amp;" du "&amp;TEXT(B501,"dd/mm/yyyy")&amp;" ("&amp;E501&amp;") présente un reste à payer de "&amp;SUBSTITUTE(TEXT(O501,"#,##0"),","," ")&amp;" FCFA, échu depuis le "&amp;TEXT(M501,"dd/mm/yyyy")&amp;". Pouvez-vous nous indiquer la date de règlement prévue ? Si le paiement est déjà parti, merci de nous envoyer la preuve et ne tenez pas compte de ce message. "&amp;Paramètres!$B$11&amp;", "&amp;Paramètres!$B$12,IF(K501="En retard","Bonjour "&amp;D501&amp;", votre commande "&amp;A501&amp;" ("&amp;E501&amp;", "&amp;F501&amp;" pièces) prévue le "&amp;TEXT(I501,"dd/mm/yyyy")&amp;" a pris du retard. Nous vous confirmons la nouvelle date de livraison dans la journée. Toutes nos excuses pour ce contretemps. "&amp;Paramètres!$B$11&amp;", "&amp;Paramètres!$B$12,""))))</f>
        <v/>
      </c>
      <c r="T501" s="21" t="n"/>
      <c r="U501" s="26" t="n"/>
      <c r="V501" s="21" t="n"/>
    </row>
  </sheetData>
  <autoFilter ref="A1:V501"/>
  <conditionalFormatting sqref="K2:K501">
    <cfRule type="expression" priority="1" dxfId="0">
      <formula>$K2="En retard"</formula>
    </cfRule>
    <cfRule type="expression" priority="2" dxfId="2">
      <formula>$K2="Livrée"</formula>
    </cfRule>
  </conditionalFormatting>
  <conditionalFormatting sqref="Q2:Q501">
    <cfRule type="expression" priority="3" dxfId="3">
      <formula>LEFT($Q2,9)="Relance 3"</formula>
    </cfRule>
    <cfRule type="expression" priority="4" dxfId="0">
      <formula>LEFT($Q2,7)="Relance"</formula>
    </cfRule>
    <cfRule type="expression" priority="5" dxfId="2">
      <formula>$Q2="Payée"</formula>
    </cfRule>
    <cfRule type="expression" priority="6" dxfId="1">
      <formula>$Q2="Échue, relance à venir"</formula>
    </cfRule>
  </conditionalFormatting>
  <dataValidations count="2">
    <dataValidation sqref="E2:E501" showDropDown="0" showInputMessage="0" showErrorMessage="0" allowBlank="1" type="list">
      <formula1>=Produits!$A$2:$A$200</formula1>
    </dataValidation>
    <dataValidation sqref="C2:C501" showDropDown="0" showInputMessage="0" showErrorMessage="0" allowBlank="1" type="list">
      <formula1>=Revendeurs!$A$2:$A$200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4808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22" customWidth="1" min="5" max="5"/>
    <col width="80" customWidth="1" min="6" max="6"/>
    <col width="14" customWidth="1" min="7" max="7"/>
  </cols>
  <sheetData>
    <row r="1">
      <c r="A1" s="6" t="inlineStr">
        <is>
          <t>Relances du jour</t>
        </is>
      </c>
    </row>
    <row r="2">
      <c r="A2" s="29" t="inlineStr">
        <is>
          <t>Calculé chaque matin à partir de l'onglet Commandes. Rien ne part sans validation : relire, inscrire son nom dans « Validé par » (onglet Commandes), envoyer, noter la date.</t>
        </is>
      </c>
    </row>
    <row r="4">
      <c r="A4" s="9" t="inlineStr">
        <is>
          <t>Paiements à relancer</t>
        </is>
      </c>
    </row>
    <row r="5" ht="34" customHeight="1">
      <c r="A5" s="8" t="inlineStr">
        <is>
          <t>N° commande</t>
        </is>
      </c>
      <c r="B5" s="8" t="inlineStr">
        <is>
          <t>Revendeur</t>
        </is>
      </c>
      <c r="C5" s="8" t="inlineStr">
        <is>
          <t>Reste à payer (FCFA)</t>
        </is>
      </c>
      <c r="D5" s="8" t="inlineStr">
        <is>
          <t>Jours de retard</t>
        </is>
      </c>
      <c r="E5" s="8" t="inlineStr">
        <is>
          <t>Niveau</t>
        </is>
      </c>
      <c r="F5" s="8" t="inlineStr">
        <is>
          <t>Message préparé</t>
        </is>
      </c>
      <c r="G5" s="8" t="inlineStr">
        <is>
          <t>Validé par</t>
        </is>
      </c>
    </row>
    <row r="28">
      <c r="A28" s="9" t="inlineStr">
        <is>
          <t>Livraisons en retard</t>
        </is>
      </c>
    </row>
    <row r="29" ht="34" customHeight="1">
      <c r="A29" s="8" t="inlineStr">
        <is>
          <t>N° commande</t>
        </is>
      </c>
      <c r="B29" s="8" t="inlineStr">
        <is>
          <t>Revendeur</t>
        </is>
      </c>
      <c r="C29" s="8" t="inlineStr">
        <is>
          <t>Produit</t>
        </is>
      </c>
      <c r="D29" s="8" t="inlineStr">
        <is>
          <t>Promise le</t>
        </is>
      </c>
      <c r="E29" s="8" t="inlineStr">
        <is>
          <t>Jours de retard</t>
        </is>
      </c>
      <c r="F29" s="8" t="inlineStr">
        <is>
          <t>Message préparé</t>
        </is>
      </c>
      <c r="G29" s="8" t="inlineStr">
        <is>
          <t>Validé 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2026-10-27T19:26:28Z</dcterms:created>
  <dcterms:modified xmlns:dcterms="http://purl.org/dc/terms/" xmlns:xsi="http://www.w3.org/2001/XMLSchema-instance" xsi:type="dcterms:W3CDTF">2026-10-27T19:26:29Z</dcterms:modified>
</cp:coreProperties>
</file>