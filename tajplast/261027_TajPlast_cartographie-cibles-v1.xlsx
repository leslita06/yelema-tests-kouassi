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ibles" sheetId="3" state="visible" r:id="rId3"/>
    <sheet xmlns:r="http://schemas.openxmlformats.org/officeDocument/2006/relationships" name="Zones d'Adjamé" sheetId="4" state="visible" r:id="rId4"/>
    <sheet xmlns:r="http://schemas.openxmlformats.org/officeDocument/2006/relationships" name="Méthode et limites" sheetId="5" state="visible" r:id="rId5"/>
  </sheets>
  <definedNames>
    <definedName name="_xlnm._FilterDatabase" localSheetId="2" hidden="1">'Cibles'!$A$1:$O$90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Roboto"/>
      <b val="1"/>
      <color rgb="00E84808"/>
      <sz val="18"/>
    </font>
    <font>
      <name val="Roboto"/>
      <color rgb="006B6B6B"/>
      <sz val="10"/>
    </font>
    <font>
      <name val="Roboto"/>
      <color rgb="001F1F1F"/>
      <sz val="10"/>
    </font>
    <font>
      <name val="Roboto"/>
      <b val="1"/>
      <color rgb="00109040"/>
      <sz val="12"/>
    </font>
    <font>
      <name val="Roboto"/>
      <b val="1"/>
      <color rgb="00FFFFFF"/>
      <sz val="10"/>
    </font>
    <font>
      <name val="Roboto"/>
      <color rgb="001F1F1F"/>
      <sz val="9"/>
    </font>
    <font>
      <name val="Roboto"/>
      <b val="1"/>
      <sz val="10"/>
    </font>
    <font>
      <name val="Roboto"/>
      <b val="1"/>
      <color rgb="001F1F1F"/>
      <sz val="9"/>
    </font>
    <font>
      <name val="Roboto"/>
      <color rgb="001155CC"/>
      <sz val="8"/>
      <u val="single"/>
    </font>
    <font>
      <name val="Roboto"/>
      <b val="1"/>
      <color rgb="00E84808"/>
      <sz val="16"/>
    </font>
    <font>
      <name val="Roboto"/>
      <color rgb="006B6B6B"/>
      <sz val="9"/>
    </font>
    <font>
      <name val="Roboto"/>
      <i val="1"/>
      <color rgb="006B6B6B"/>
      <sz val="9"/>
    </font>
  </fonts>
  <fills count="4">
    <fill>
      <patternFill/>
    </fill>
    <fill>
      <patternFill patternType="gray125"/>
    </fill>
    <fill>
      <patternFill patternType="solid">
        <fgColor rgb="00E84808"/>
      </patternFill>
    </fill>
    <fill>
      <patternFill patternType="solid">
        <fgColor rgb="00109040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center" wrapText="1"/>
    </xf>
    <xf numFmtId="0" fontId="12" fillId="0" borderId="0" pivotButton="0" quotePrefix="0" xfId="0"/>
  </cellXfs>
  <cellStyles count="1">
    <cellStyle name="Normal" xfId="0" builtinId="0" hidden="0"/>
  </cellStyles>
  <dxfs count="4">
    <dxf>
      <font>
        <b val="1"/>
        <color rgb="007A5A00"/>
      </font>
      <fill>
        <patternFill patternType="solid">
          <fgColor rgb="00FFF3B0"/>
        </patternFill>
      </fill>
    </dxf>
    <dxf>
      <font>
        <b val="1"/>
        <color rgb="000B6B2E"/>
      </font>
      <fill>
        <patternFill patternType="solid">
          <fgColor rgb="00DDF2E3"/>
        </patternFill>
      </fill>
    </dxf>
    <dxf>
      <font>
        <b val="1"/>
        <color rgb="00B33600"/>
      </font>
      <fill>
        <patternFill patternType="solid">
          <fgColor rgb="00FCD9C8"/>
        </patternFill>
      </fill>
    </dxf>
    <dxf>
      <fill>
        <patternFill patternType="solid">
          <fgColor rgb="00DD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africaonline.com/ci/annuaire/quincailleries" TargetMode="External" Id="rId1"/><Relationship Type="http://schemas.openxmlformats.org/officeDocument/2006/relationships/hyperlink" Target="https://www.goafricaonline.com/ci/annuaire/quincailleries" TargetMode="External" Id="rId2"/><Relationship Type="http://schemas.openxmlformats.org/officeDocument/2006/relationships/hyperlink" Target="https://www.goafricaonline.com/ci/573051-dmd-distributeur" TargetMode="External" Id="rId3"/><Relationship Type="http://schemas.openxmlformats.org/officeDocument/2006/relationships/hyperlink" Target="https://www.goafricaonline.com/ci/45537-sodimat-quincaillerie-abidjan-cote-ivoire" TargetMode="External" Id="rId4"/><Relationship Type="http://schemas.openxmlformats.org/officeDocument/2006/relationships/hyperlink" Target="https://universelleindustries.com/revendeurs-2" TargetMode="External" Id="rId5"/><Relationship Type="http://schemas.openxmlformats.org/officeDocument/2006/relationships/hyperlink" Target="https://www.goafricaonline.com/ci/annuaire/materiaux-construction" TargetMode="External" Id="rId6"/><Relationship Type="http://schemas.openxmlformats.org/officeDocument/2006/relationships/hyperlink" Target="https://www.goafricaonline.com/ci/annuaire/quincailleries?p=2" TargetMode="External" Id="rId7"/><Relationship Type="http://schemas.openxmlformats.org/officeDocument/2006/relationships/hyperlink" Target="https://www.goafricaonline.com/ci/45402-qgh-quincaillerie-general-hawaraa-abidjan-cote-ivoire" TargetMode="External" Id="rId8"/><Relationship Type="http://schemas.openxmlformats.org/officeDocument/2006/relationships/hyperlink" Target="https://www.goafricaonline.com/ci/812566-quincaillerie-solid-btp" TargetMode="External" Id="rId9"/><Relationship Type="http://schemas.openxmlformats.org/officeDocument/2006/relationships/hyperlink" Target="https://www.goafricaonline.com/ci/646590-quincaillerie-centre-bouake-cote-ivoire" TargetMode="External" Id="rId10"/><Relationship Type="http://schemas.openxmlformats.org/officeDocument/2006/relationships/hyperlink" Target="https://annuaireci.com/entreprises/quincaillerie-konate-adja-abidjan-cote-divoire/" TargetMode="External" Id="rId11"/><Relationship Type="http://schemas.openxmlformats.org/officeDocument/2006/relationships/hyperlink" Target="https://www.goafricaonline.com/ci/101704-gsd-quincaillerie-yamoussoukro-cote-ivoire" TargetMode="External" Id="rId12"/><Relationship Type="http://schemas.openxmlformats.org/officeDocument/2006/relationships/hyperlink" Target="https://www.goafricaonline.com/ci/812472-geant-etoile-de-construction-yakro" TargetMode="External" Id="rId13"/><Relationship Type="http://schemas.openxmlformats.org/officeDocument/2006/relationships/hyperlink" Target="https://www.goafricaonline.com/ci/100355-atico-quincaillerie-san-pedro-cote-ivoire" TargetMode="External" Id="rId14"/><Relationship Type="http://schemas.openxmlformats.org/officeDocument/2006/relationships/hyperlink" Target="https://www.goafricaonline.com/ci/45125-bouna-quincaillerie-daloa-cote-ivoire" TargetMode="External" Id="rId15"/><Relationship Type="http://schemas.openxmlformats.org/officeDocument/2006/relationships/hyperlink" Target="https://www.goafricaonline.com/ci/812381-quincaillerie-general-de-mara-et-freres" TargetMode="External" Id="rId16"/><Relationship Type="http://schemas.openxmlformats.org/officeDocument/2006/relationships/hyperlink" Target="https://www.goafricaonline.com/ci/85580-etablissement-decorplast-commerce-general-abidjan-cote-ivoire" TargetMode="External" Id="rId17"/><Relationship Type="http://schemas.openxmlformats.org/officeDocument/2006/relationships/hyperlink" Target="https://www.goafricaonline.com/ci/85633-mondial-menage-articles-menagers-abidjan-cote-ivoire" TargetMode="External" Id="rId18"/><Relationship Type="http://schemas.openxmlformats.org/officeDocument/2006/relationships/hyperlink" Target="https://www.goafricaonline.com/ci/542156-chic-shop-adjame-articles-menagers-abidjan-cote-ivoire" TargetMode="External" Id="rId19"/><Relationship Type="http://schemas.openxmlformats.org/officeDocument/2006/relationships/hyperlink" Target="https://www.goafricaonline.com/ci/85639-foire-chine-adjame-appareils-electromenagers-abidjan-cote-ivoire" TargetMode="External" Id="rId20"/><Relationship Type="http://schemas.openxmlformats.org/officeDocument/2006/relationships/hyperlink" Target="https://www.goafricaonline.com/ci/499519-abdallah-nina-articles-menagers-abidjan-cote-ivoire" TargetMode="External" Id="rId21"/><Relationship Type="http://schemas.openxmlformats.org/officeDocument/2006/relationships/hyperlink" Target="https://www.goafricaonline.com/ci/594103-printemps-commerce-general-abidjan-cote-ivoire" TargetMode="External" Id="rId22"/><Relationship Type="http://schemas.openxmlformats.org/officeDocument/2006/relationships/hyperlink" Target="https://www.goafricaonline.com/ci/annuaire/quincailleries" TargetMode="External" Id="rId23"/><Relationship Type="http://schemas.openxmlformats.org/officeDocument/2006/relationships/hyperlink" Target="https://www.goafricaonline.com/ci/annuaire/quincailleries" TargetMode="External" Id="rId24"/><Relationship Type="http://schemas.openxmlformats.org/officeDocument/2006/relationships/hyperlink" Target="https://www.goafricaonline.com/ci/annuaire/quincailleries" TargetMode="External" Id="rId25"/><Relationship Type="http://schemas.openxmlformats.org/officeDocument/2006/relationships/hyperlink" Target="https://www.goafricaonline.com/ci/annuaire/quincailleries" TargetMode="External" Id="rId26"/><Relationship Type="http://schemas.openxmlformats.org/officeDocument/2006/relationships/hyperlink" Target="https://www.goafricaonline.com/ci/90159-rdv-commerce-general-abidjan-cote-ivoire" TargetMode="External" Id="rId27"/><Relationship Type="http://schemas.openxmlformats.org/officeDocument/2006/relationships/hyperlink" Target="https://www.goafricaonline.com/ci/593835-ok-plast-industrie-plastique-abidjan-cote-ivoire" TargetMode="External" Id="rId28"/><Relationship Type="http://schemas.openxmlformats.org/officeDocument/2006/relationships/hyperlink" Target="https://www.goafricaonline.com/ci/593841-el-boustani-randa-industrie-plastique-abidjan-cote-ivoire" TargetMode="External" Id="rId29"/><Relationship Type="http://schemas.openxmlformats.org/officeDocument/2006/relationships/hyperlink" Target="https://www.goafricaonline.com/ci/371793-klj-distribution-industrie-plastique-abidjan-cote-ivoire" TargetMode="External" Id="rId30"/><Relationship Type="http://schemas.openxmlformats.org/officeDocument/2006/relationships/hyperlink" Target="https://groupeprosuma.com/presentation/dispositif-d-enseignes" TargetMode="External" Id="rId31"/><Relationship Type="http://schemas.openxmlformats.org/officeDocument/2006/relationships/hyperlink" Target="https://groupeprosuma.com/presentation/dispositif-d-enseignes" TargetMode="External" Id="rId32"/><Relationship Type="http://schemas.openxmlformats.org/officeDocument/2006/relationships/hyperlink" Target="https://groupeprosuma.com/presentation/dispositif-d-enseignes" TargetMode="External" Id="rId33"/><Relationship Type="http://schemas.openxmlformats.org/officeDocument/2006/relationships/hyperlink" Target="https://groupeprosuma.com/enseigne/hyper-u-abidjan" TargetMode="External" Id="rId34"/><Relationship Type="http://schemas.openxmlformats.org/officeDocument/2006/relationships/hyperlink" Target="https://groupeprosuma.com/presentation/dispositif-d-enseignes" TargetMode="External" Id="rId35"/><Relationship Type="http://schemas.openxmlformats.org/officeDocument/2006/relationships/hyperlink" Target="https://www.carrefour.ci/nos-magasins" TargetMode="External" Id="rId36"/><Relationship Type="http://schemas.openxmlformats.org/officeDocument/2006/relationships/hyperlink" Target="https://www.cfaogroup.com" TargetMode="External" Id="rId37"/><Relationship Type="http://schemas.openxmlformats.org/officeDocument/2006/relationships/hyperlink" Target="https://www.auchan-retail.com/fr/location/auchan-retail-cote-divoire/" TargetMode="External" Id="rId38"/><Relationship Type="http://schemas.openxmlformats.org/officeDocument/2006/relationships/hyperlink" Target="https://www.ifc.org" TargetMode="External" Id="rId39"/><Relationship Type="http://schemas.openxmlformats.org/officeDocument/2006/relationships/hyperlink" Target="https://cotedivoire.business/listing/king-cash" TargetMode="External" Id="rId40"/><Relationship Type="http://schemas.openxmlformats.org/officeDocument/2006/relationships/hyperlink" Target="https://www.goafricaonline.com/ci/102534-socofrais" TargetMode="External" Id="rId41"/><Relationship Type="http://schemas.openxmlformats.org/officeDocument/2006/relationships/hyperlink" Target="https://www.cfaogroup.com/en/consumer-en/cfao-consumer-retail/" TargetMode="External" Id="rId42"/><Relationship Type="http://schemas.openxmlformats.org/officeDocument/2006/relationships/hyperlink" Target="https://group.jumia.com" TargetMode="External" Id="rId43"/><Relationship Type="http://schemas.openxmlformats.org/officeDocument/2006/relationships/hyperlink" Target="https://construction.gouv.ci/uploads/publications/178834236850.pdf" TargetMode="External" Id="rId44"/><Relationship Type="http://schemas.openxmlformats.org/officeDocument/2006/relationships/hyperlink" Target="https://imonga.com/en/projets/hpp-merveille-4-golf-city-1-2-3" TargetMode="External" Id="rId45"/><Relationship Type="http://schemas.openxmlformats.org/officeDocument/2006/relationships/hyperlink" Target="https://news.abidjan.net/articles/741603/" TargetMode="External" Id="rId46"/><Relationship Type="http://schemas.openxmlformats.org/officeDocument/2006/relationships/hyperlink" Target="https://www.aip.ci/217536/" TargetMode="External" Id="rId47"/><Relationship Type="http://schemas.openxmlformats.org/officeDocument/2006/relationships/hyperlink" Target="https://ah-africa.com/our-projects" TargetMode="External" Id="rId48"/><Relationship Type="http://schemas.openxmlformats.org/officeDocument/2006/relationships/hyperlink" Target="https://infodirecte.net/e2js-construction-presente-les-avancees-du-programme-bledja-4" TargetMode="External" Id="rId49"/><Relationship Type="http://schemas.openxmlformats.org/officeDocument/2006/relationships/hyperlink" Target="https://imonga.com/en/projets/cite-opes-2" TargetMode="External" Id="rId50"/><Relationship Type="http://schemas.openxmlformats.org/officeDocument/2006/relationships/hyperlink" Target="https://promogimci.org/project/olympe-3/" TargetMode="External" Id="rId51"/><Relationship Type="http://schemas.openxmlformats.org/officeDocument/2006/relationships/hyperlink" Target="https://www.koaci.com/article/2025/05/01/cote-divoire/societe/cote-divoire-logement-social-un-partenariat-strategique-pour-10-000-nouveaux-logements_186522.html" TargetMode="External" Id="rId52"/><Relationship Type="http://schemas.openxmlformats.org/officeDocument/2006/relationships/hyperlink" Target="https://www.ivoiriendelexterieur.com/opportunites/programme-immobilier-diaspora-habitat-5-000-logements-a-abidjan" TargetMode="External" Id="rId53"/><Relationship Type="http://schemas.openxmlformats.org/officeDocument/2006/relationships/hyperlink" Target="https://construction.gouv.ci/uploads/publications/178834236850.pdf" TargetMode="External" Id="rId54"/><Relationship Type="http://schemas.openxmlformats.org/officeDocument/2006/relationships/hyperlink" Target="https://construction.gouv.ci/uploads/publications/178834236850.pdf" TargetMode="External" Id="rId55"/><Relationship Type="http://schemas.openxmlformats.org/officeDocument/2006/relationships/hyperlink" Target="https://construction.gouv.ci/uploads/publications/178834236850.pdf" TargetMode="External" Id="rId56"/><Relationship Type="http://schemas.openxmlformats.org/officeDocument/2006/relationships/hyperlink" Target="https://construction.gouv.ci/uploads/publications/178834236850.pdf" TargetMode="External" Id="rId57"/><Relationship Type="http://schemas.openxmlformats.org/officeDocument/2006/relationships/hyperlink" Target="https://construction.gouv.ci/uploads/publications/178834236850.pdf" TargetMode="External" Id="rId58"/><Relationship Type="http://schemas.openxmlformats.org/officeDocument/2006/relationships/hyperlink" Target="https://www.goafricaonline.com/ci/84291-trouvay-cauvin-plomberie-abidjan-cote-ivoire" TargetMode="External" Id="rId59"/><Relationship Type="http://schemas.openxmlformats.org/officeDocument/2006/relationships/hyperlink" Target="https://www.goafricaonline.com/ci/584202-afri-fluides-belyazide-plomberie-abidjan-cote-ivoire" TargetMode="External" Id="rId60"/><Relationship Type="http://schemas.openxmlformats.org/officeDocument/2006/relationships/hyperlink" Target="https://www.aefe.gouv.fr/fr/etablissements/lycee-international-jean-mermoz" TargetMode="External" Id="rId61"/><Relationship Type="http://schemas.openxmlformats.org/officeDocument/2006/relationships/hyperlink" Target="https://fr.lycee-blaisepascal.com/" TargetMode="External" Id="rId62"/><Relationship Type="http://schemas.openxmlformats.org/officeDocument/2006/relationships/hyperlink" Target="https://www.leslaureats.net/" TargetMode="External" Id="rId63"/><Relationship Type="http://schemas.openxmlformats.org/officeDocument/2006/relationships/hyperlink" Target="http://enkoeducation.com/contact" TargetMode="External" Id="rId64"/><Relationship Type="http://schemas.openxmlformats.org/officeDocument/2006/relationships/hyperlink" Target="https://ucaouua.com/" TargetMode="External" Id="rId65"/><Relationship Type="http://schemas.openxmlformats.org/officeDocument/2006/relationships/hyperlink" Target="https://pigierci.com" TargetMode="External" Id="rId66"/><Relationship Type="http://schemas.openxmlformats.org/officeDocument/2006/relationships/hyperlink" Target="https://istcpolytechnique.ci/contact.php" TargetMode="External" Id="rId67"/><Relationship Type="http://schemas.openxmlformats.org/officeDocument/2006/relationships/hyperlink" Target="https://annuaireci.com/entreprises/ile-institut-libanais-denseignement-abidjan-cote-divoire/" TargetMode="External" Id="rId68"/><Relationship Type="http://schemas.openxmlformats.org/officeDocument/2006/relationships/hyperlink" Target="https://saintjeanboscotreichville.org/contact" TargetMode="External" Id="rId69"/><Relationship Type="http://schemas.openxmlformats.org/officeDocument/2006/relationships/hyperlink" Target="https://fr.wikipedia.org/wiki/Liste_d%27%C3%A9tablissements_scolaires_d%27Abidjan" TargetMode="External" Id="rId70"/><Relationship Type="http://schemas.openxmlformats.org/officeDocument/2006/relationships/hyperlink" Target="https://college-saint-viateur-bouake.com/" TargetMode="External" Id="rId71"/><Relationship Type="http://schemas.openxmlformats.org/officeDocument/2006/relationships/hyperlink" Target="https://www.fratmat.info/article/2638446/societe/enseignement-superieur-luniversite-internationale-ick-de-bouake-fait-sa-rentree-academique" TargetMode="External" Id="rId72"/><Relationship Type="http://schemas.openxmlformats.org/officeDocument/2006/relationships/hyperlink" Target="https://fede.education/en/ecoles/hec-abidjan" TargetMode="External" Id="rId73"/><Relationship Type="http://schemas.openxmlformats.org/officeDocument/2006/relationships/hyperlink" Target="https://archidiocesedebouake.org/services-diocesains/enseignement-catholique" TargetMode="External" Id="rId74"/><Relationship Type="http://schemas.openxmlformats.org/officeDocument/2006/relationships/hyperlink" Target="https://lhorizoninfo.com/1er-conseil-municipal-a-koumassi-le-triomphe-du-maire-sortant-cisse-bacongo/" TargetMode="External" Id="rId75"/><Relationship Type="http://schemas.openxmlformats.org/officeDocument/2006/relationships/hyperlink" Target="https://mairiecocody.com/detail_news.php?etat=0&amp;news=108" TargetMode="External" Id="rId76"/><Relationship Type="http://schemas.openxmlformats.org/officeDocument/2006/relationships/hyperlink" Target="https://news.abidjan.net/articles/724692/adama-bictogo-prend-officiellement-fonction-a-la-tete-de-la-mairie-de-yopougon" TargetMode="External" Id="rId77"/><Relationship Type="http://schemas.openxmlformats.org/officeDocument/2006/relationships/hyperlink" Target="https://www.fratmat.info/article/233479/politique/abobo-kandia-camara-elue-maire-avec-985-des-suffrages" TargetMode="External" Id="rId78"/><Relationship Type="http://schemas.openxmlformats.org/officeDocument/2006/relationships/hyperlink" Target="https://www.marcory.ci/" TargetMode="External" Id="rId79"/><Relationship Type="http://schemas.openxmlformats.org/officeDocument/2006/relationships/hyperlink" Target="https://www.fratmat.info/article/233706/politique/eacutelections-municipales/treichville-amichia-francois-reelu-a-la-tete-du-conseil-municipal" TargetMode="External" Id="rId80"/><Relationship Type="http://schemas.openxmlformats.org/officeDocument/2006/relationships/hyperlink" Target="https://www.fratmat.info/article/232388/politique/eacutelections-municipales/municipales-aby-raoul-et-ehouo-jacques-reelus" TargetMode="External" Id="rId81"/><Relationship Type="http://schemas.openxmlformats.org/officeDocument/2006/relationships/hyperlink" Target="https://www.koaci.com/article/2023/09/21/cote-divoire/politique/cote-divoire-confirme-maire-de-yamoussoukro-par-les-conseillers-municipaux-kkp-tend-la-main-a-ses-adversaires_172430.html" TargetMode="External" Id="rId82"/><Relationship Type="http://schemas.openxmlformats.org/officeDocument/2006/relationships/hyperlink" Target="https://www.mairiedebouake.ci/" TargetMode="External" Id="rId83"/><Relationship Type="http://schemas.openxmlformats.org/officeDocument/2006/relationships/hyperlink" Target="https://www.aip.ci/cote-divoire-aip-le-conseil-municipal-de-korhogo-adopte-un-budget-primitif-2025-avec-des-projets-innovants/" TargetMode="External" Id="rId84"/><Relationship Type="http://schemas.openxmlformats.org/officeDocument/2006/relationships/hyperlink" Target="https://www.aip.ci/cote-divoire-aip-keita-epouse-cisse-nakaridja-recoit-les-charges-de-sa-fonction-de-maire-de-san-pedro/" TargetMode="External" Id="rId85"/><Relationship Type="http://schemas.openxmlformats.org/officeDocument/2006/relationships/hyperlink" Target="https://ci.sangobids.com/tenders/cmn1eugg605e5oy0p56tguuyk/acquisition-de-deux-mille-cinq-cents-2500-chaises-malaga-pour-la-mairie-de-kolia" TargetMode="External" Id="rId86"/><Relationship Type="http://schemas.openxmlformats.org/officeDocument/2006/relationships/hyperlink" Target="https://ci.sangobids.com/tenders/cmmofphlj05v0o30pvsv6mfb9/ce-marche-porte-sur-l-equipement-en-mobilier-administratif-des-services-de-la-ma" TargetMode="External" Id="rId87"/><Relationship Type="http://schemas.openxmlformats.org/officeDocument/2006/relationships/hyperlink" Target="https://marchespublics.ci/appel_offre" TargetMode="External" Id="rId88"/><Relationship Type="http://schemas.openxmlformats.org/officeDocument/2006/relationships/hyperlink" Target="https://marchespublics.ci" TargetMode="External" Id="rId89"/></Relationships>
</file>

<file path=xl/worksheets/sheet1.xml><?xml version="1.0" encoding="utf-8"?>
<worksheet xmlns="http://schemas.openxmlformats.org/spreadsheetml/2006/main">
  <sheetPr>
    <tabColor rgb="00E84808"/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TAJ PLAST · Cartographie des cibles commerciales</t>
        </is>
      </c>
    </row>
    <row r="3">
      <c r="B3" s="2" t="inlineStr">
        <is>
          <t>Abidjan et intérieur · relevé du 27/10/2026 · préparé par Kouassi, Expert commercial (Yelema)</t>
        </is>
      </c>
    </row>
    <row r="4">
      <c r="B4" s="3" t="inlineStr"/>
    </row>
    <row r="5">
      <c r="B5" s="4" t="inlineStr">
        <is>
          <t>Ce que contient ce classeur</t>
        </is>
      </c>
    </row>
    <row r="6">
      <c r="B6" s="3" t="inlineStr">
        <is>
          <t>• Synthèse : le nombre de cibles par catégorie, vérifiées et à vérifier, et les priorités A. Les chiffres se recalculent quand on modifie l'onglet Cibles.</t>
        </is>
      </c>
    </row>
    <row r="7">
      <c r="B7" s="3" t="inlineStr">
        <is>
          <t>• Cibles : une ligne par entreprise, avec la commune, les produits Taj Plast à pousser, le contact public, l'angle d'approche, la source et le statut. Filtres actifs en ligne d'en-tête.</t>
        </is>
      </c>
    </row>
    <row r="8">
      <c r="B8" s="3" t="inlineStr">
        <is>
          <t>• Zones d'Adjamé : les pôles de grossistes à couvrir à pied, faute de liste nominative fiable.</t>
        </is>
      </c>
    </row>
    <row r="9">
      <c r="B9" s="3" t="inlineStr">
        <is>
          <t>• Méthode et limites : comment la liste a été construite et ce qu'il reste à faire.</t>
        </is>
      </c>
    </row>
    <row r="10">
      <c r="B10" s="3" t="inlineStr"/>
    </row>
    <row r="11">
      <c r="B11" s="4" t="inlineStr">
        <is>
          <t>Comment lire la colonne Certitude</t>
        </is>
      </c>
    </row>
    <row r="12">
      <c r="B12" s="3" t="inlineStr">
        <is>
          <t>• Vérifié : l'entreprise existe, confirmée par une source officielle, un site actif ou la presse récente.</t>
        </is>
      </c>
    </row>
    <row r="13">
      <c r="B13" s="3" t="inlineStr">
        <is>
          <t>• À vérifier : nom trouvé sur une seule fiche d'annuaire ou dans une source ancienne. Un appel ou un passage avant toute approche.</t>
        </is>
      </c>
    </row>
    <row r="14">
      <c r="B14" s="3" t="inlineStr"/>
    </row>
    <row r="15">
      <c r="B15" s="4" t="inlineStr">
        <is>
          <t>Priorité</t>
        </is>
      </c>
    </row>
    <row r="16">
      <c r="B16" s="3" t="inlineStr">
        <is>
          <t>• A : volume ou effet de réseau important, signal d'achat daté. À ouvrir dans les deux semaines.</t>
        </is>
      </c>
    </row>
    <row r="17">
      <c r="B17" s="3" t="inlineStr">
        <is>
          <t>• B : bonne cible, à traiter dans le mois.  • C : à qualifier, ou cible secondaire.</t>
        </is>
      </c>
    </row>
    <row r="18">
      <c r="B18" s="3" t="inlineStr"/>
    </row>
    <row r="19">
      <c r="B19" s="4" t="inlineStr">
        <is>
          <t>Règle</t>
        </is>
      </c>
    </row>
    <row r="20">
      <c r="B20" s="3" t="inlineStr">
        <is>
          <t>Aucun nom n'a été inventé : chaque ligne renvoie à sa source. Les contacts sont des numéros publics (standard, annuaire). Aucun contact n'a été pris au nom de Taj Plast.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4808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Synthèse de la cartographie</t>
        </is>
      </c>
    </row>
    <row r="2">
      <c r="A2" s="6" t="inlineStr">
        <is>
          <t>Se recalcule à partir de l'onglet Cibles.</t>
        </is>
      </c>
    </row>
    <row r="4" ht="30" customHeight="1">
      <c r="A4" s="7" t="inlineStr">
        <is>
          <t>Catégorie</t>
        </is>
      </c>
      <c r="B4" s="7" t="inlineStr">
        <is>
          <t>Cibles</t>
        </is>
      </c>
      <c r="C4" s="7" t="inlineStr">
        <is>
          <t>Vérifiées</t>
        </is>
      </c>
      <c r="D4" s="7" t="inlineStr">
        <is>
          <t>À vérifier</t>
        </is>
      </c>
      <c r="E4" s="7" t="inlineStr">
        <is>
          <t>Priorité A</t>
        </is>
      </c>
      <c r="F4" s="7" t="inlineStr">
        <is>
          <t>Abidjan</t>
        </is>
      </c>
      <c r="G4" s="7" t="inlineStr">
        <is>
          <t>Intérieur ou national</t>
        </is>
      </c>
      <c r="H4" s="7" t="inlineStr">
        <is>
          <t>Revendeurs ouverts</t>
        </is>
      </c>
    </row>
    <row r="5">
      <c r="A5" s="8" t="inlineStr">
        <is>
          <t>Quincailleries &amp; matériaux</t>
        </is>
      </c>
      <c r="B5" s="9">
        <f>COUNTIF(Cibles!$C:$C,A5)</f>
        <v/>
      </c>
      <c r="C5" s="9">
        <f>COUNTIFS(Cibles!$C:$C,A5,Cibles!$K:$K,"Vérifié")</f>
        <v/>
      </c>
      <c r="D5" s="9">
        <f>COUNTIFS(Cibles!$C:$C,A5,Cibles!$K:$K,"À vérifier")</f>
        <v/>
      </c>
      <c r="E5" s="9">
        <f>COUNTIFS(Cibles!$C:$C,A5,Cibles!$L:$L,"A")</f>
        <v/>
      </c>
      <c r="F5" s="9">
        <f>COUNTIFS(Cibles!$C:$C,A5,Cibles!$D:$D,"Abidjan")</f>
        <v/>
      </c>
      <c r="G5" s="9">
        <f>B5-F5</f>
        <v/>
      </c>
      <c r="H5" s="9">
        <f>COUNTIFS(Cibles!$C:$C,A5,Cibles!$M:$M,"Revendeur ouvert")</f>
        <v/>
      </c>
    </row>
    <row r="6">
      <c r="A6" s="8" t="inlineStr">
        <is>
          <t>Grossistes Adjamé &amp; marchés</t>
        </is>
      </c>
      <c r="B6" s="9">
        <f>COUNTIF(Cibles!$C:$C,A6)</f>
        <v/>
      </c>
      <c r="C6" s="9">
        <f>COUNTIFS(Cibles!$C:$C,A6,Cibles!$K:$K,"Vérifié")</f>
        <v/>
      </c>
      <c r="D6" s="9">
        <f>COUNTIFS(Cibles!$C:$C,A6,Cibles!$K:$K,"À vérifier")</f>
        <v/>
      </c>
      <c r="E6" s="9">
        <f>COUNTIFS(Cibles!$C:$C,A6,Cibles!$L:$L,"A")</f>
        <v/>
      </c>
      <c r="F6" s="9">
        <f>COUNTIFS(Cibles!$C:$C,A6,Cibles!$D:$D,"Abidjan")</f>
        <v/>
      </c>
      <c r="G6" s="9">
        <f>B6-F6</f>
        <v/>
      </c>
      <c r="H6" s="9">
        <f>COUNTIFS(Cibles!$C:$C,A6,Cibles!$M:$M,"Revendeur ouvert")</f>
        <v/>
      </c>
    </row>
    <row r="7">
      <c r="A7" s="8" t="inlineStr">
        <is>
          <t>Supermarchés &amp; distribution</t>
        </is>
      </c>
      <c r="B7" s="9">
        <f>COUNTIF(Cibles!$C:$C,A7)</f>
        <v/>
      </c>
      <c r="C7" s="9">
        <f>COUNTIFS(Cibles!$C:$C,A7,Cibles!$K:$K,"Vérifié")</f>
        <v/>
      </c>
      <c r="D7" s="9">
        <f>COUNTIFS(Cibles!$C:$C,A7,Cibles!$K:$K,"À vérifier")</f>
        <v/>
      </c>
      <c r="E7" s="9">
        <f>COUNTIFS(Cibles!$C:$C,A7,Cibles!$L:$L,"A")</f>
        <v/>
      </c>
      <c r="F7" s="9">
        <f>COUNTIFS(Cibles!$C:$C,A7,Cibles!$D:$D,"Abidjan")</f>
        <v/>
      </c>
      <c r="G7" s="9">
        <f>B7-F7</f>
        <v/>
      </c>
      <c r="H7" s="9">
        <f>COUNTIFS(Cibles!$C:$C,A7,Cibles!$M:$M,"Revendeur ouvert")</f>
        <v/>
      </c>
    </row>
    <row r="8">
      <c r="A8" s="8" t="inlineStr">
        <is>
          <t>BTP &amp; promoteurs (cuves, fosses)</t>
        </is>
      </c>
      <c r="B8" s="9">
        <f>COUNTIF(Cibles!$C:$C,A8)</f>
        <v/>
      </c>
      <c r="C8" s="9">
        <f>COUNTIFS(Cibles!$C:$C,A8,Cibles!$K:$K,"Vérifié")</f>
        <v/>
      </c>
      <c r="D8" s="9">
        <f>COUNTIFS(Cibles!$C:$C,A8,Cibles!$K:$K,"À vérifier")</f>
        <v/>
      </c>
      <c r="E8" s="9">
        <f>COUNTIFS(Cibles!$C:$C,A8,Cibles!$L:$L,"A")</f>
        <v/>
      </c>
      <c r="F8" s="9">
        <f>COUNTIFS(Cibles!$C:$C,A8,Cibles!$D:$D,"Abidjan")</f>
        <v/>
      </c>
      <c r="G8" s="9">
        <f>B8-F8</f>
        <v/>
      </c>
      <c r="H8" s="9">
        <f>COUNTIFS(Cibles!$C:$C,A8,Cibles!$M:$M,"Revendeur ouvert")</f>
        <v/>
      </c>
    </row>
    <row r="9">
      <c r="A9" s="8" t="inlineStr">
        <is>
          <t>Écoles &amp; universités privées</t>
        </is>
      </c>
      <c r="B9" s="9">
        <f>COUNTIF(Cibles!$C:$C,A9)</f>
        <v/>
      </c>
      <c r="C9" s="9">
        <f>COUNTIFS(Cibles!$C:$C,A9,Cibles!$K:$K,"Vérifié")</f>
        <v/>
      </c>
      <c r="D9" s="9">
        <f>COUNTIFS(Cibles!$C:$C,A9,Cibles!$K:$K,"À vérifier")</f>
        <v/>
      </c>
      <c r="E9" s="9">
        <f>COUNTIFS(Cibles!$C:$C,A9,Cibles!$L:$L,"A")</f>
        <v/>
      </c>
      <c r="F9" s="9">
        <f>COUNTIFS(Cibles!$C:$C,A9,Cibles!$D:$D,"Abidjan")</f>
        <v/>
      </c>
      <c r="G9" s="9">
        <f>B9-F9</f>
        <v/>
      </c>
      <c r="H9" s="9">
        <f>COUNTIFS(Cibles!$C:$C,A9,Cibles!$M:$M,"Revendeur ouvert")</f>
        <v/>
      </c>
    </row>
    <row r="10">
      <c r="A10" s="8" t="inlineStr">
        <is>
          <t>Mairies &amp; acheteurs publics</t>
        </is>
      </c>
      <c r="B10" s="9">
        <f>COUNTIF(Cibles!$C:$C,A10)</f>
        <v/>
      </c>
      <c r="C10" s="9">
        <f>COUNTIFS(Cibles!$C:$C,A10,Cibles!$K:$K,"Vérifié")</f>
        <v/>
      </c>
      <c r="D10" s="9">
        <f>COUNTIFS(Cibles!$C:$C,A10,Cibles!$K:$K,"À vérifier")</f>
        <v/>
      </c>
      <c r="E10" s="9">
        <f>COUNTIFS(Cibles!$C:$C,A10,Cibles!$L:$L,"A")</f>
        <v/>
      </c>
      <c r="F10" s="9">
        <f>COUNTIFS(Cibles!$C:$C,A10,Cibles!$D:$D,"Abidjan")</f>
        <v/>
      </c>
      <c r="G10" s="9">
        <f>B10-F10</f>
        <v/>
      </c>
      <c r="H10" s="9">
        <f>COUNTIFS(Cibles!$C:$C,A10,Cibles!$M:$M,"Revendeur ouvert")</f>
        <v/>
      </c>
    </row>
    <row r="11">
      <c r="A11" s="10" t="inlineStr">
        <is>
          <t>Total</t>
        </is>
      </c>
      <c r="B11" s="11">
        <f>SUM(B5:B10)</f>
        <v/>
      </c>
      <c r="C11" s="11">
        <f>SUM(C5:C10)</f>
        <v/>
      </c>
      <c r="D11" s="11">
        <f>SUM(D5:D10)</f>
        <v/>
      </c>
      <c r="E11" s="11">
        <f>SUM(E5:E10)</f>
        <v/>
      </c>
      <c r="F11" s="11">
        <f>SUM(F5:F10)</f>
        <v/>
      </c>
      <c r="G11" s="11">
        <f>SUM(G5:G10)</f>
        <v/>
      </c>
      <c r="H11" s="11">
        <f>SUM(H5:H10)</f>
        <v/>
      </c>
    </row>
    <row r="13">
      <c r="A13" s="12" t="inlineStr">
        <is>
          <t>Par où commencer demain</t>
        </is>
      </c>
    </row>
    <row r="14" ht="28" customHeight="1">
      <c r="A14" s="3" t="inlineStr">
        <is>
          <t>1. Centrales qui démultiplient : Prosuma (une centrale pour plus de 100 magasins), CDCI, Carrefour (CFAO), Auchan.</t>
        </is>
      </c>
    </row>
    <row r="15" ht="28" customHeight="1">
      <c r="A15" s="3" t="inlineStr">
        <is>
          <t>2. Réseaux de quincailleries : DMD (environ 29 succursales), Bernabé, SIMC CI. Ce sont eux qui vendent cuves et fosses au détail.</t>
        </is>
      </c>
    </row>
    <row r="16" ht="28" customHeight="1">
      <c r="A16" s="3" t="inlineStr">
        <is>
          <t>3. Chantiers datés : Addoha, SNGI, Kaydan, Folourgo, AH Africa, Contractor CI (liste du ministère de la Construction, version du 31/08/2026).</t>
        </is>
      </c>
    </row>
    <row r="17" ht="28" customHeight="1">
      <c r="A17" s="3" t="inlineStr">
        <is>
          <t>4. Achat public : s'inscrire sur marchespublics.ci. Kolia, Zuénoula et Bettié ont acheté des chaises ou des tables-bancs par appel d'offres en 2025-2026.</t>
        </is>
      </c>
    </row>
    <row r="18" ht="28" customHeight="1">
      <c r="A18" s="3" t="inlineStr">
        <is>
          <t>5. Adjamé : tournée à pied sur les pôles de l'onglet Zones, avec catalogue et échantillons.</t>
        </is>
      </c>
    </row>
  </sheetData>
  <mergeCells count="5">
    <mergeCell ref="A18:H18"/>
    <mergeCell ref="A15:H15"/>
    <mergeCell ref="A16:H16"/>
    <mergeCell ref="A14:H1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9040"/>
    <outlinePr summaryBelow="1" summaryRight="1"/>
    <pageSetUpPr/>
  </sheetPr>
  <dimension ref="A1:O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14" customWidth="1" min="4" max="4"/>
    <col width="30" customWidth="1" min="5" max="5"/>
    <col width="26" customWidth="1" min="6" max="6"/>
    <col width="28" customWidth="1" min="7" max="7"/>
    <col width="24" customWidth="1" min="8" max="8"/>
    <col width="40" customWidth="1" min="9" max="9"/>
    <col width="30" customWidth="1" min="10" max="10"/>
    <col width="11" customWidth="1" min="11" max="11"/>
    <col width="9" customWidth="1" min="12" max="12"/>
    <col width="16" customWidth="1" min="13" max="13"/>
    <col width="22" customWidth="1" min="14" max="14"/>
    <col width="14" customWidth="1" min="15" max="15"/>
  </cols>
  <sheetData>
    <row r="1" ht="30" customHeight="1">
      <c r="A1" s="7" t="inlineStr">
        <is>
          <t>N°</t>
        </is>
      </c>
      <c r="B1" s="7" t="inlineStr">
        <is>
          <t>Nom</t>
        </is>
      </c>
      <c r="C1" s="7" t="inlineStr">
        <is>
          <t>Catégorie</t>
        </is>
      </c>
      <c r="D1" s="7" t="inlineStr">
        <is>
          <t>Zone</t>
        </is>
      </c>
      <c r="E1" s="7" t="inlineStr">
        <is>
          <t>Commune / ville</t>
        </is>
      </c>
      <c r="F1" s="7" t="inlineStr">
        <is>
          <t>Type</t>
        </is>
      </c>
      <c r="G1" s="7" t="inlineStr">
        <is>
          <t>Produits Taj Plast à pousser</t>
        </is>
      </c>
      <c r="H1" s="7" t="inlineStr">
        <is>
          <t>Contact public</t>
        </is>
      </c>
      <c r="I1" s="7" t="inlineStr">
        <is>
          <t>Signal ou angle d'approche</t>
        </is>
      </c>
      <c r="J1" s="7" t="inlineStr">
        <is>
          <t>Source</t>
        </is>
      </c>
      <c r="K1" s="7" t="inlineStr">
        <is>
          <t>Certitude</t>
        </is>
      </c>
      <c r="L1" s="7" t="inlineStr">
        <is>
          <t>Priorité</t>
        </is>
      </c>
      <c r="M1" s="7" t="inlineStr">
        <is>
          <t>Statut de prospection</t>
        </is>
      </c>
      <c r="N1" s="7" t="inlineStr">
        <is>
          <t>Prochaine action</t>
        </is>
      </c>
      <c r="O1" s="7" t="inlineStr">
        <is>
          <t>Responsable</t>
        </is>
      </c>
    </row>
    <row r="2">
      <c r="A2" s="8" t="n">
        <v>1</v>
      </c>
      <c r="B2" s="13" t="inlineStr">
        <is>
          <t>Bernabé Côte d'Ivoire SA (groupe Yeshi)</t>
        </is>
      </c>
      <c r="C2" s="8" t="inlineStr">
        <is>
          <t>Quincailleries &amp; matériaux</t>
        </is>
      </c>
      <c r="D2" s="8" t="inlineStr">
        <is>
          <t>Abidjan + intérieur</t>
        </is>
      </c>
      <c r="E2" s="8" t="inlineStr">
        <is>
          <t>Treichville, bd de Marseille km 4 ; agence San-Pédro</t>
        </is>
      </c>
      <c r="F2" s="8" t="inlineStr">
        <is>
          <t>Grand négociant quincaillerie et matériaux</t>
        </is>
      </c>
      <c r="G2" s="8" t="inlineStr">
        <is>
          <t>Cuves, fosses septiques, puits d'infiltration, tube orange</t>
        </is>
      </c>
      <c r="H2" s="8" t="inlineStr">
        <is>
          <t>27 21 21 20 20 ; San-Pédro 27 34 71 14 49</t>
        </is>
      </c>
      <c r="I2" s="8" t="inlineStr">
        <is>
          <t>Réseau multi-sites : un référencement couvre Abidjan et San-Pédro</t>
        </is>
      </c>
      <c r="J2" s="14" t="inlineStr">
        <is>
          <t>https://www.goafricaonline.com/ci/annuaire/quincailleries</t>
        </is>
      </c>
      <c r="K2" s="15" t="inlineStr">
        <is>
          <t>Vérifié</t>
        </is>
      </c>
      <c r="L2" s="16" t="inlineStr">
        <is>
          <t>A</t>
        </is>
      </c>
      <c r="M2" s="8" t="inlineStr">
        <is>
          <t>À contacter</t>
        </is>
      </c>
      <c r="N2" s="8" t="inlineStr"/>
      <c r="O2" s="8" t="inlineStr"/>
    </row>
    <row r="3">
      <c r="A3" s="8" t="n">
        <v>2</v>
      </c>
      <c r="B3" s="13" t="inlineStr">
        <is>
          <t>Technibat</t>
        </is>
      </c>
      <c r="C3" s="8" t="inlineStr">
        <is>
          <t>Quincailleries &amp; matériaux</t>
        </is>
      </c>
      <c r="D3" s="8" t="inlineStr">
        <is>
          <t>Abidjan</t>
        </is>
      </c>
      <c r="E3" s="8" t="inlineStr">
        <is>
          <t>Treichville, bd de Marseille (même adresse que Bernabé)</t>
        </is>
      </c>
      <c r="F3" s="8" t="inlineStr">
        <is>
          <t>Quincaillerie, sanitaire, jardin</t>
        </is>
      </c>
      <c r="G3" s="8" t="inlineStr">
        <is>
          <t>Cuves, fosses, poubelles, articles de jardin</t>
        </is>
      </c>
      <c r="H3" s="8" t="inlineStr">
        <is>
          <t>27 21 21 20 20</t>
        </is>
      </c>
      <c r="I3" s="8" t="inlineStr">
        <is>
          <t>Rayon sanitaire : fosses et cuves en complément</t>
        </is>
      </c>
      <c r="J3" s="14" t="inlineStr">
        <is>
          <t>https://www.goafricaonline.com/ci/annuaire/quincailleries</t>
        </is>
      </c>
      <c r="K3" s="15" t="inlineStr">
        <is>
          <t>À vérifier</t>
        </is>
      </c>
      <c r="L3" s="16" t="inlineStr">
        <is>
          <t>B</t>
        </is>
      </c>
      <c r="M3" s="8" t="inlineStr">
        <is>
          <t>À contacter</t>
        </is>
      </c>
      <c r="N3" s="8" t="inlineStr"/>
      <c r="O3" s="8" t="inlineStr"/>
    </row>
    <row r="4">
      <c r="A4" s="8" t="n">
        <v>3</v>
      </c>
      <c r="B4" s="13" t="inlineStr">
        <is>
          <t>DMD SARL (Distribution de Marchandises Diverses)</t>
        </is>
      </c>
      <c r="C4" s="8" t="inlineStr">
        <is>
          <t>Quincailleries &amp; matériaux</t>
        </is>
      </c>
      <c r="D4" s="8" t="inlineStr">
        <is>
          <t>Abidjan + intérieur</t>
        </is>
      </c>
      <c r="E4" s="8" t="inlineStr">
        <is>
          <t>Adjamé (6 succursales), Angré, Treichville, Marcory VGE ; Bouaké, Divo</t>
        </is>
      </c>
      <c r="F4" s="8" t="inlineStr">
        <is>
          <t>Grossiste-quincaillier, environ 29 succursales</t>
        </is>
      </c>
      <c r="G4" s="8" t="inlineStr">
        <is>
          <t>Cuves, fosses, tube orange, mobilier</t>
        </is>
      </c>
      <c r="H4" s="8" t="inlineStr">
        <is>
          <t>Adjamé 07 08 28 19 49 ; showroom VGE 07 77 77 63 83</t>
        </is>
      </c>
      <c r="I4" s="8" t="inlineStr">
        <is>
          <t>Le plus grand réseau repéré : une seule centrale, des dizaines de points de vente</t>
        </is>
      </c>
      <c r="J4" s="14" t="inlineStr">
        <is>
          <t>https://www.goafricaonline.com/ci/573051-dmd-distributeur</t>
        </is>
      </c>
      <c r="K4" s="15" t="inlineStr">
        <is>
          <t>Vérifié</t>
        </is>
      </c>
      <c r="L4" s="16" t="inlineStr">
        <is>
          <t>A</t>
        </is>
      </c>
      <c r="M4" s="8" t="inlineStr">
        <is>
          <t>À contacter</t>
        </is>
      </c>
      <c r="N4" s="8" t="inlineStr"/>
      <c r="O4" s="8" t="inlineStr"/>
    </row>
    <row r="5">
      <c r="A5" s="8" t="n">
        <v>4</v>
      </c>
      <c r="B5" s="13" t="inlineStr">
        <is>
          <t>SODIMAT (Société de Distribution de Matériaux)</t>
        </is>
      </c>
      <c r="C5" s="8" t="inlineStr">
        <is>
          <t>Quincailleries &amp; matériaux</t>
        </is>
      </c>
      <c r="D5" s="8" t="inlineStr">
        <is>
          <t>Abidjan</t>
        </is>
      </c>
      <c r="E5" s="8" t="inlineStr">
        <is>
          <t>Treichville, bd de Marseille face au Palais des Sports</t>
        </is>
      </c>
      <c r="F5" s="8" t="inlineStr">
        <is>
          <t>Distributeur de matériaux</t>
        </is>
      </c>
      <c r="G5" s="8" t="inlineStr">
        <is>
          <t>Cuves, fosses, tube orange</t>
        </is>
      </c>
      <c r="H5" s="8" t="inlineStr">
        <is>
          <t>27 21 25 31 41</t>
        </is>
      </c>
      <c r="I5" s="8" t="inlineStr">
        <is>
          <t>Fiche d'annuaire seulement : appeler avant de visiter</t>
        </is>
      </c>
      <c r="J5" s="14" t="inlineStr">
        <is>
          <t>https://www.goafricaonline.com/ci/45537-sodimat-quincaillerie-abidjan-cote-ivoire</t>
        </is>
      </c>
      <c r="K5" s="15" t="inlineStr">
        <is>
          <t>À vérifier</t>
        </is>
      </c>
      <c r="L5" s="16" t="inlineStr">
        <is>
          <t>B</t>
        </is>
      </c>
      <c r="M5" s="8" t="inlineStr">
        <is>
          <t>À contacter</t>
        </is>
      </c>
      <c r="N5" s="8" t="inlineStr"/>
      <c r="O5" s="8" t="inlineStr"/>
    </row>
    <row r="6">
      <c r="A6" s="8" t="n">
        <v>5</v>
      </c>
      <c r="B6" s="13" t="inlineStr">
        <is>
          <t>Mondial Cycles Nouvelle</t>
        </is>
      </c>
      <c r="C6" s="8" t="inlineStr">
        <is>
          <t>Quincailleries &amp; matériaux</t>
        </is>
      </c>
      <c r="D6" s="8" t="inlineStr">
        <is>
          <t>Abidjan + intérieur</t>
        </is>
      </c>
      <c r="E6" s="8" t="inlineStr">
        <is>
          <t>Adjamé, Treichville, Yopougon, Bouaké, Daloa, Korhogo, San-Pédro, Man, Gagnoa, Divo, Soubré, Abengourou</t>
        </is>
      </c>
      <c r="F6" s="8" t="inlineStr">
        <is>
          <t>Revendeur multi-villes</t>
        </is>
      </c>
      <c r="G6" s="8" t="inlineStr">
        <is>
          <t>Articles de ménage, mobilier, cuves</t>
        </is>
      </c>
      <c r="H6" s="8" t="inlineStr">
        <is>
          <t>Bouaké 27 31 63 36 91 ; Daloa 27 32 78 33 75 ; Korhogo 27 36 86 35 67</t>
        </is>
      </c>
      <c r="I6" s="8" t="inlineStr">
        <is>
          <t>Présent dans 12 villes : porte d'entrée vers l'intérieur. Activité exacte à confirmer</t>
        </is>
      </c>
      <c r="J6" s="14" t="inlineStr">
        <is>
          <t>https://universelleindustries.com/revendeurs-2</t>
        </is>
      </c>
      <c r="K6" s="15" t="inlineStr">
        <is>
          <t>À vérifier</t>
        </is>
      </c>
      <c r="L6" s="16" t="inlineStr">
        <is>
          <t>A</t>
        </is>
      </c>
      <c r="M6" s="8" t="inlineStr">
        <is>
          <t>À contacter</t>
        </is>
      </c>
      <c r="N6" s="8" t="inlineStr"/>
      <c r="O6" s="8" t="inlineStr"/>
    </row>
    <row r="7">
      <c r="A7" s="8" t="n">
        <v>6</v>
      </c>
      <c r="B7" s="13" t="inlineStr">
        <is>
          <t>SIMC CI</t>
        </is>
      </c>
      <c r="C7" s="8" t="inlineStr">
        <is>
          <t>Quincailleries &amp; matériaux</t>
        </is>
      </c>
      <c r="D7" s="8" t="inlineStr">
        <is>
          <t>Abidjan</t>
        </is>
      </c>
      <c r="E7" s="8" t="inlineStr">
        <is>
          <t>Treichville, zone 3, rue des Carrossiers ; Riviera Faya</t>
        </is>
      </c>
      <c r="F7" s="8" t="inlineStr">
        <is>
          <t>Matériaux, plomberie, traitement de l'eau</t>
        </is>
      </c>
      <c r="G7" s="8" t="inlineStr">
        <is>
          <t>Cuves, fosses, puits d'infiltration</t>
        </is>
      </c>
      <c r="H7" s="8" t="inlineStr">
        <is>
          <t>07 67 09 99 99</t>
        </is>
      </c>
      <c r="I7" s="8" t="inlineStr">
        <is>
          <t>Spécialiste de l'eau : prescripteur naturel des cuves</t>
        </is>
      </c>
      <c r="J7" s="14" t="inlineStr">
        <is>
          <t>https://www.goafricaonline.com/ci/annuaire/materiaux-construction</t>
        </is>
      </c>
      <c r="K7" s="15" t="inlineStr">
        <is>
          <t>Vérifié</t>
        </is>
      </c>
      <c r="L7" s="16" t="inlineStr">
        <is>
          <t>A</t>
        </is>
      </c>
      <c r="M7" s="8" t="inlineStr">
        <is>
          <t>À contacter</t>
        </is>
      </c>
      <c r="N7" s="8" t="inlineStr"/>
      <c r="O7" s="8" t="inlineStr"/>
    </row>
    <row r="8">
      <c r="A8" s="8" t="n">
        <v>7</v>
      </c>
      <c r="B8" s="13" t="inlineStr">
        <is>
          <t>BATI-ONE</t>
        </is>
      </c>
      <c r="C8" s="8" t="inlineStr">
        <is>
          <t>Quincailleries &amp; matériaux</t>
        </is>
      </c>
      <c r="D8" s="8" t="inlineStr">
        <is>
          <t>Abidjan</t>
        </is>
      </c>
      <c r="E8" s="8" t="inlineStr">
        <is>
          <t>Cocody Riviera, route de Bingerville</t>
        </is>
      </c>
      <c r="F8" s="8" t="inlineStr">
        <is>
          <t>Quincaillerie</t>
        </is>
      </c>
      <c r="G8" s="8" t="inlineStr">
        <is>
          <t>Cuves, fosses (chantiers de Bingerville)</t>
        </is>
      </c>
      <c r="H8" s="8" t="inlineStr">
        <is>
          <t>27 22 47 47 49</t>
        </is>
      </c>
      <c r="I8" s="8" t="inlineStr">
        <is>
          <t>Sur l'axe des grands chantiers de Bingerville</t>
        </is>
      </c>
      <c r="J8" s="14" t="inlineStr">
        <is>
          <t>https://www.goafricaonline.com/ci/annuaire/quincailleries?p=2</t>
        </is>
      </c>
      <c r="K8" s="15" t="inlineStr">
        <is>
          <t>À vérifier</t>
        </is>
      </c>
      <c r="L8" s="16" t="inlineStr">
        <is>
          <t>B</t>
        </is>
      </c>
      <c r="M8" s="8" t="inlineStr">
        <is>
          <t>À contacter</t>
        </is>
      </c>
      <c r="N8" s="8" t="inlineStr"/>
      <c r="O8" s="8" t="inlineStr"/>
    </row>
    <row r="9">
      <c r="A9" s="8" t="n">
        <v>8</v>
      </c>
      <c r="B9" s="13" t="inlineStr">
        <is>
          <t>QGH (Quincaillerie Générale Hawaraa)</t>
        </is>
      </c>
      <c r="C9" s="8" t="inlineStr">
        <is>
          <t>Quincailleries &amp; matériaux</t>
        </is>
      </c>
      <c r="D9" s="8" t="inlineStr">
        <is>
          <t>Abidjan</t>
        </is>
      </c>
      <c r="E9" s="8" t="inlineStr">
        <is>
          <t>Cocody Riviera Palmeraie</t>
        </is>
      </c>
      <c r="F9" s="8" t="inlineStr">
        <is>
          <t>Quincaillerie générale</t>
        </is>
      </c>
      <c r="G9" s="8" t="inlineStr">
        <is>
          <t>Cuves, fosses, poubelles</t>
        </is>
      </c>
      <c r="H9" s="8" t="inlineStr">
        <is>
          <t>27 22 47 45 84</t>
        </is>
      </c>
      <c r="I9" s="8" t="inlineStr">
        <is>
          <t>Quartier résidentiel en construction</t>
        </is>
      </c>
      <c r="J9" s="14" t="inlineStr">
        <is>
          <t>https://www.goafricaonline.com/ci/45402-qgh-quincaillerie-general-hawaraa-abidjan-cote-ivoire</t>
        </is>
      </c>
      <c r="K9" s="15" t="inlineStr">
        <is>
          <t>À vérifier</t>
        </is>
      </c>
      <c r="L9" s="16" t="inlineStr">
        <is>
          <t>C</t>
        </is>
      </c>
      <c r="M9" s="8" t="inlineStr">
        <is>
          <t>À contacter</t>
        </is>
      </c>
      <c r="N9" s="8" t="inlineStr"/>
      <c r="O9" s="8" t="inlineStr"/>
    </row>
    <row r="10">
      <c r="A10" s="8" t="n">
        <v>9</v>
      </c>
      <c r="B10" s="13" t="inlineStr">
        <is>
          <t>Quincaillerie SOLID_BTP (« chez Mustapha »)</t>
        </is>
      </c>
      <c r="C10" s="8" t="inlineStr">
        <is>
          <t>Quincailleries &amp; matériaux</t>
        </is>
      </c>
      <c r="D10" s="8" t="inlineStr">
        <is>
          <t>Intérieur</t>
        </is>
      </c>
      <c r="E10" s="8" t="inlineStr">
        <is>
          <t>Daloa</t>
        </is>
      </c>
      <c r="F10" s="8" t="inlineStr">
        <is>
          <t>Quincaillerie BTP</t>
        </is>
      </c>
      <c r="G10" s="8" t="inlineStr">
        <is>
          <t>Cuves, fosses, tube orange</t>
        </is>
      </c>
      <c r="H10" s="8" t="inlineStr">
        <is>
          <t>07 77 24 25 77</t>
        </is>
      </c>
      <c r="I10" s="8" t="inlineStr">
        <is>
          <t>Active en 2026 (mention Facebook de juin 2026)</t>
        </is>
      </c>
      <c r="J10" s="14" t="inlineStr">
        <is>
          <t>https://www.goafricaonline.com/ci/812566-quincaillerie-solid-btp</t>
        </is>
      </c>
      <c r="K10" s="15" t="inlineStr">
        <is>
          <t>Vérifié</t>
        </is>
      </c>
      <c r="L10" s="16" t="inlineStr">
        <is>
          <t>B</t>
        </is>
      </c>
      <c r="M10" s="8" t="inlineStr">
        <is>
          <t>À contacter</t>
        </is>
      </c>
      <c r="N10" s="8" t="inlineStr"/>
      <c r="O10" s="8" t="inlineStr"/>
    </row>
    <row r="11">
      <c r="A11" s="8" t="n">
        <v>10</v>
      </c>
      <c r="B11" s="13" t="inlineStr">
        <is>
          <t>Quincaillerie du Centre</t>
        </is>
      </c>
      <c r="C11" s="8" t="inlineStr">
        <is>
          <t>Quincailleries &amp; matériaux</t>
        </is>
      </c>
      <c r="D11" s="8" t="inlineStr">
        <is>
          <t>Intérieur</t>
        </is>
      </c>
      <c r="E11" s="8" t="inlineStr">
        <is>
          <t>Bouaké, Grand marché</t>
        </is>
      </c>
      <c r="F11" s="8" t="inlineStr">
        <is>
          <t>Quincaillerie, fournitures bâtiment</t>
        </is>
      </c>
      <c r="G11" s="8" t="inlineStr">
        <is>
          <t>Cuves, fosses, articles de ménage</t>
        </is>
      </c>
      <c r="H11" s="8" t="inlineStr">
        <is>
          <t>non relevé</t>
        </is>
      </c>
      <c r="I11" s="8" t="inlineStr">
        <is>
          <t>Grand marché de Bouaké : point de distribution du Centre</t>
        </is>
      </c>
      <c r="J11" s="14" t="inlineStr">
        <is>
          <t>https://www.goafricaonline.com/ci/646590-quincaillerie-centre-bouake-cote-ivoire</t>
        </is>
      </c>
      <c r="K11" s="15" t="inlineStr">
        <is>
          <t>À vérifier</t>
        </is>
      </c>
      <c r="L11" s="16" t="inlineStr">
        <is>
          <t>B</t>
        </is>
      </c>
      <c r="M11" s="8" t="inlineStr">
        <is>
          <t>À contacter</t>
        </is>
      </c>
      <c r="N11" s="8" t="inlineStr"/>
      <c r="O11" s="8" t="inlineStr"/>
    </row>
    <row r="12">
      <c r="A12" s="8" t="n">
        <v>11</v>
      </c>
      <c r="B12" s="13" t="inlineStr">
        <is>
          <t>Quincaillerie Konaté Adja</t>
        </is>
      </c>
      <c r="C12" s="8" t="inlineStr">
        <is>
          <t>Quincailleries &amp; matériaux</t>
        </is>
      </c>
      <c r="D12" s="8" t="inlineStr">
        <is>
          <t>Intérieur</t>
        </is>
      </c>
      <c r="E12" s="8" t="inlineStr">
        <is>
          <t>Bouaké, Grand marché</t>
        </is>
      </c>
      <c r="F12" s="8" t="inlineStr">
        <is>
          <t>Quincaillerie, matériaux</t>
        </is>
      </c>
      <c r="G12" s="8" t="inlineStr">
        <is>
          <t>Cuves, fosses</t>
        </is>
      </c>
      <c r="H12" s="8" t="inlineStr">
        <is>
          <t>non relevé</t>
        </is>
      </c>
      <c r="I12" s="8" t="inlineStr">
        <is>
          <t>À qualifier par téléphone</t>
        </is>
      </c>
      <c r="J12" s="14" t="inlineStr">
        <is>
          <t>https://annuaireci.com/entreprises/quincaillerie-konate-adja-abidjan-cote-divoire/</t>
        </is>
      </c>
      <c r="K12" s="15" t="inlineStr">
        <is>
          <t>À vérifier</t>
        </is>
      </c>
      <c r="L12" s="16" t="inlineStr">
        <is>
          <t>C</t>
        </is>
      </c>
      <c r="M12" s="8" t="inlineStr">
        <is>
          <t>À contacter</t>
        </is>
      </c>
      <c r="N12" s="8" t="inlineStr"/>
      <c r="O12" s="8" t="inlineStr"/>
    </row>
    <row r="13">
      <c r="A13" s="8" t="n">
        <v>12</v>
      </c>
      <c r="B13" s="13" t="inlineStr">
        <is>
          <t>GSD</t>
        </is>
      </c>
      <c r="C13" s="8" t="inlineStr">
        <is>
          <t>Quincailleries &amp; matériaux</t>
        </is>
      </c>
      <c r="D13" s="8" t="inlineStr">
        <is>
          <t>Intérieur</t>
        </is>
      </c>
      <c r="E13" s="8" t="inlineStr">
        <is>
          <t>Yamoussoukro, Grand marché, Habitat</t>
        </is>
      </c>
      <c r="F13" s="8" t="inlineStr">
        <is>
          <t>Quincaillerie</t>
        </is>
      </c>
      <c r="G13" s="8" t="inlineStr">
        <is>
          <t>Cuves, fosses, mobilier</t>
        </is>
      </c>
      <c r="H13" s="8" t="inlineStr">
        <is>
          <t>27 30 64 04 34</t>
        </is>
      </c>
      <c r="I13" s="8" t="inlineStr">
        <is>
          <t>À qualifier par téléphone</t>
        </is>
      </c>
      <c r="J13" s="14" t="inlineStr">
        <is>
          <t>https://www.goafricaonline.com/ci/101704-gsd-quincaillerie-yamoussoukro-cote-ivoire</t>
        </is>
      </c>
      <c r="K13" s="15" t="inlineStr">
        <is>
          <t>À vérifier</t>
        </is>
      </c>
      <c r="L13" s="16" t="inlineStr">
        <is>
          <t>C</t>
        </is>
      </c>
      <c r="M13" s="8" t="inlineStr">
        <is>
          <t>À contacter</t>
        </is>
      </c>
      <c r="N13" s="8" t="inlineStr"/>
      <c r="O13" s="8" t="inlineStr"/>
    </row>
    <row r="14">
      <c r="A14" s="8" t="n">
        <v>13</v>
      </c>
      <c r="B14" s="13" t="inlineStr">
        <is>
          <t>Géant Étoile de Construction Yakro</t>
        </is>
      </c>
      <c r="C14" s="8" t="inlineStr">
        <is>
          <t>Quincailleries &amp; matériaux</t>
        </is>
      </c>
      <c r="D14" s="8" t="inlineStr">
        <is>
          <t>Intérieur</t>
        </is>
      </c>
      <c r="E14" s="8" t="inlineStr">
        <is>
          <t>Yamoussoukro</t>
        </is>
      </c>
      <c r="F14" s="8" t="inlineStr">
        <is>
          <t>Quincaillerie</t>
        </is>
      </c>
      <c r="G14" s="8" t="inlineStr">
        <is>
          <t>Cuves, fosses, tube orange</t>
        </is>
      </c>
      <c r="H14" s="8" t="inlineStr">
        <is>
          <t>05 75 78 05 24</t>
        </is>
      </c>
      <c r="I14" s="8" t="inlineStr">
        <is>
          <t>À qualifier par téléphone</t>
        </is>
      </c>
      <c r="J14" s="14" t="inlineStr">
        <is>
          <t>https://www.goafricaonline.com/ci/812472-geant-etoile-de-construction-yakro</t>
        </is>
      </c>
      <c r="K14" s="15" t="inlineStr">
        <is>
          <t>À vérifier</t>
        </is>
      </c>
      <c r="L14" s="16" t="inlineStr">
        <is>
          <t>C</t>
        </is>
      </c>
      <c r="M14" s="8" t="inlineStr">
        <is>
          <t>À contacter</t>
        </is>
      </c>
      <c r="N14" s="8" t="inlineStr"/>
      <c r="O14" s="8" t="inlineStr"/>
    </row>
    <row r="15">
      <c r="A15" s="8" t="n">
        <v>14</v>
      </c>
      <c r="B15" s="13" t="inlineStr">
        <is>
          <t>ATICO</t>
        </is>
      </c>
      <c r="C15" s="8" t="inlineStr">
        <is>
          <t>Quincailleries &amp; matériaux</t>
        </is>
      </c>
      <c r="D15" s="8" t="inlineStr">
        <is>
          <t>Intérieur</t>
        </is>
      </c>
      <c r="E15" s="8" t="inlineStr">
        <is>
          <t>San-Pédro, gare routière</t>
        </is>
      </c>
      <c r="F15" s="8" t="inlineStr">
        <is>
          <t>Quincaillerie</t>
        </is>
      </c>
      <c r="G15" s="8" t="inlineStr">
        <is>
          <t>Cuves, fosses</t>
        </is>
      </c>
      <c r="H15" s="8" t="inlineStr">
        <is>
          <t>05 54 71 14 50</t>
        </is>
      </c>
      <c r="I15" s="8" t="inlineStr">
        <is>
          <t>Port et zone en croissance</t>
        </is>
      </c>
      <c r="J15" s="14" t="inlineStr">
        <is>
          <t>https://www.goafricaonline.com/ci/100355-atico-quincaillerie-san-pedro-cote-ivoire</t>
        </is>
      </c>
      <c r="K15" s="15" t="inlineStr">
        <is>
          <t>À vérifier</t>
        </is>
      </c>
      <c r="L15" s="16" t="inlineStr">
        <is>
          <t>C</t>
        </is>
      </c>
      <c r="M15" s="8" t="inlineStr">
        <is>
          <t>À contacter</t>
        </is>
      </c>
      <c r="N15" s="8" t="inlineStr"/>
      <c r="O15" s="8" t="inlineStr"/>
    </row>
    <row r="16">
      <c r="A16" s="8" t="n">
        <v>15</v>
      </c>
      <c r="B16" s="13" t="inlineStr">
        <is>
          <t>Bouna</t>
        </is>
      </c>
      <c r="C16" s="8" t="inlineStr">
        <is>
          <t>Quincailleries &amp; matériaux</t>
        </is>
      </c>
      <c r="D16" s="8" t="inlineStr">
        <is>
          <t>Intérieur</t>
        </is>
      </c>
      <c r="E16" s="8" t="inlineStr">
        <is>
          <t>Daloa, Dioulabougou, près de la grande mosquée</t>
        </is>
      </c>
      <c r="F16" s="8" t="inlineStr">
        <is>
          <t>Quincaillerie</t>
        </is>
      </c>
      <c r="G16" s="8" t="inlineStr">
        <is>
          <t>Cuves, articles de ménage</t>
        </is>
      </c>
      <c r="H16" s="8" t="inlineStr">
        <is>
          <t>27 32 78 21 40</t>
        </is>
      </c>
      <c r="I16" s="8" t="inlineStr">
        <is>
          <t>Fiche ancienne : vérifier qu'elle est toujours ouverte</t>
        </is>
      </c>
      <c r="J16" s="14" t="inlineStr">
        <is>
          <t>https://www.goafricaonline.com/ci/45125-bouna-quincaillerie-daloa-cote-ivoire</t>
        </is>
      </c>
      <c r="K16" s="15" t="inlineStr">
        <is>
          <t>À vérifier</t>
        </is>
      </c>
      <c r="L16" s="16" t="inlineStr">
        <is>
          <t>C</t>
        </is>
      </c>
      <c r="M16" s="8" t="inlineStr">
        <is>
          <t>À contacter</t>
        </is>
      </c>
      <c r="N16" s="8" t="inlineStr"/>
      <c r="O16" s="8" t="inlineStr"/>
    </row>
    <row r="17">
      <c r="A17" s="8" t="n">
        <v>16</v>
      </c>
      <c r="B17" s="13" t="inlineStr">
        <is>
          <t>Quincaillerie Générale de Mara et Frères</t>
        </is>
      </c>
      <c r="C17" s="8" t="inlineStr">
        <is>
          <t>Quincailleries &amp; matériaux</t>
        </is>
      </c>
      <c r="D17" s="8" t="inlineStr">
        <is>
          <t>Intérieur</t>
        </is>
      </c>
      <c r="E17" s="8" t="inlineStr">
        <is>
          <t>Korhogo</t>
        </is>
      </c>
      <c r="F17" s="8" t="inlineStr">
        <is>
          <t>Quincaillerie, matériaux</t>
        </is>
      </c>
      <c r="G17" s="8" t="inlineStr">
        <is>
          <t>Cuves, fosses (zone sèche : stockage d'eau)</t>
        </is>
      </c>
      <c r="H17" s="8" t="inlineStr">
        <is>
          <t>non relevé</t>
        </is>
      </c>
      <c r="I17" s="8" t="inlineStr">
        <is>
          <t>Nord : besoin fort en stockage d'eau</t>
        </is>
      </c>
      <c r="J17" s="14" t="inlineStr">
        <is>
          <t>https://www.goafricaonline.com/ci/812381-quincaillerie-general-de-mara-et-freres</t>
        </is>
      </c>
      <c r="K17" s="15" t="inlineStr">
        <is>
          <t>À vérifier</t>
        </is>
      </c>
      <c r="L17" s="16" t="inlineStr">
        <is>
          <t>B</t>
        </is>
      </c>
      <c r="M17" s="8" t="inlineStr">
        <is>
          <t>À contacter</t>
        </is>
      </c>
      <c r="N17" s="8" t="inlineStr"/>
      <c r="O17" s="8" t="inlineStr"/>
    </row>
    <row r="18">
      <c r="A18" s="8" t="n">
        <v>17</v>
      </c>
      <c r="B18" s="13" t="inlineStr">
        <is>
          <t>Établissement Decorplast CI</t>
        </is>
      </c>
      <c r="C18" s="8" t="inlineStr">
        <is>
          <t>Grossistes Adjamé &amp; marchés</t>
        </is>
      </c>
      <c r="D18" s="8" t="inlineStr">
        <is>
          <t>Abidjan</t>
        </is>
      </c>
      <c r="E18" s="8" t="inlineStr">
        <is>
          <t>Adjamé, bd Nangui Abrogoua, derrière le 3e arrondissement</t>
        </is>
      </c>
      <c r="F18" s="8" t="inlineStr">
        <is>
          <t>Vente de produits en plastique</t>
        </is>
      </c>
      <c r="G18" s="8" t="inlineStr">
        <is>
          <t>Articles de ménage, seaux, bassines, chaises</t>
        </is>
      </c>
      <c r="H18" s="8" t="inlineStr">
        <is>
          <t>non relevé</t>
        </is>
      </c>
      <c r="I18" s="8" t="inlineStr">
        <is>
          <t>Déjà dans le plastique : revendeur ou concurrent, à qualifier</t>
        </is>
      </c>
      <c r="J18" s="14" t="inlineStr">
        <is>
          <t>https://www.goafricaonline.com/ci/85580-etablissement-decorplast-commerce-general-abidjan-cote-ivoire</t>
        </is>
      </c>
      <c r="K18" s="15" t="inlineStr">
        <is>
          <t>À vérifier</t>
        </is>
      </c>
      <c r="L18" s="16" t="inlineStr">
        <is>
          <t>A</t>
        </is>
      </c>
      <c r="M18" s="8" t="inlineStr">
        <is>
          <t>À contacter</t>
        </is>
      </c>
      <c r="N18" s="8" t="inlineStr"/>
      <c r="O18" s="8" t="inlineStr"/>
    </row>
    <row r="19">
      <c r="A19" s="8" t="n">
        <v>18</v>
      </c>
      <c r="B19" s="13" t="inlineStr">
        <is>
          <t>MM (Mondial Ménage)</t>
        </is>
      </c>
      <c r="C19" s="8" t="inlineStr">
        <is>
          <t>Grossistes Adjamé &amp; marchés</t>
        </is>
      </c>
      <c r="D19" s="8" t="inlineStr">
        <is>
          <t>Abidjan</t>
        </is>
      </c>
      <c r="E19" s="8" t="inlineStr">
        <is>
          <t>Adjamé, bd Nangui Abrogoua, route de Roxy ; Treichville zone portuaire</t>
        </is>
      </c>
      <c r="F19" s="8" t="inlineStr">
        <is>
          <t>Articles ménagers</t>
        </is>
      </c>
      <c r="G19" s="8" t="inlineStr">
        <is>
          <t>Articles de ménage, boîtes, cuisine</t>
        </is>
      </c>
      <c r="H19" s="8" t="inlineStr">
        <is>
          <t>non relevé</t>
        </is>
      </c>
      <c r="I19" s="8" t="inlineStr">
        <is>
          <t>Cœur du pôle « articles ménagers » d'Adjamé</t>
        </is>
      </c>
      <c r="J19" s="14" t="inlineStr">
        <is>
          <t>https://www.goafricaonline.com/ci/85633-mondial-menage-articles-menagers-abidjan-cote-ivoire</t>
        </is>
      </c>
      <c r="K19" s="15" t="inlineStr">
        <is>
          <t>À vérifier</t>
        </is>
      </c>
      <c r="L19" s="16" t="inlineStr">
        <is>
          <t>A</t>
        </is>
      </c>
      <c r="M19" s="8" t="inlineStr">
        <is>
          <t>À contacter</t>
        </is>
      </c>
      <c r="N19" s="8" t="inlineStr"/>
      <c r="O19" s="8" t="inlineStr"/>
    </row>
    <row r="20">
      <c r="A20" s="8" t="n">
        <v>19</v>
      </c>
      <c r="B20" s="13" t="inlineStr">
        <is>
          <t>Chic Shop (Adjamé et Forum)</t>
        </is>
      </c>
      <c r="C20" s="8" t="inlineStr">
        <is>
          <t>Grossistes Adjamé &amp; marchés</t>
        </is>
      </c>
      <c r="D20" s="8" t="inlineStr">
        <is>
          <t>Abidjan</t>
        </is>
      </c>
      <c r="E20" s="8" t="inlineStr">
        <is>
          <t>Adjamé, bd Abrogoua, route de Roxy ; Forum des marchés</t>
        </is>
      </c>
      <c r="F20" s="8" t="inlineStr">
        <is>
          <t>Articles ménagers et décoration</t>
        </is>
      </c>
      <c r="G20" s="8" t="inlineStr">
        <is>
          <t>Articles de ménage, rangement (tiroirs, armoires)</t>
        </is>
      </c>
      <c r="H20" s="8" t="inlineStr">
        <is>
          <t>site chicshop.ci</t>
        </is>
      </c>
      <c r="I20" s="8" t="inlineStr">
        <is>
          <t>Fiche et site existent ; activité récente à vérifier</t>
        </is>
      </c>
      <c r="J20" s="14" t="inlineStr">
        <is>
          <t>https://www.goafricaonline.com/ci/542156-chic-shop-adjame-articles-menagers-abidjan-cote-ivoire</t>
        </is>
      </c>
      <c r="K20" s="15" t="inlineStr">
        <is>
          <t>À vérifier</t>
        </is>
      </c>
      <c r="L20" s="16" t="inlineStr">
        <is>
          <t>A</t>
        </is>
      </c>
      <c r="M20" s="8" t="inlineStr">
        <is>
          <t>À contacter</t>
        </is>
      </c>
      <c r="N20" s="8" t="inlineStr"/>
      <c r="O20" s="8" t="inlineStr"/>
    </row>
    <row r="21">
      <c r="A21" s="8" t="n">
        <v>20</v>
      </c>
      <c r="B21" s="13" t="inlineStr">
        <is>
          <t>Foire de Chine Adjamé</t>
        </is>
      </c>
      <c r="C21" s="8" t="inlineStr">
        <is>
          <t>Grossistes Adjamé &amp; marchés</t>
        </is>
      </c>
      <c r="D21" s="8" t="inlineStr">
        <is>
          <t>Abidjan</t>
        </is>
      </c>
      <c r="E21" s="8" t="inlineStr">
        <is>
          <t>Adjamé, bd Nangui Abrogoua, Mosquée</t>
        </is>
      </c>
      <c r="F21" s="8" t="inlineStr">
        <is>
          <t>Électroménager et articles de maison</t>
        </is>
      </c>
      <c r="G21" s="8" t="inlineStr">
        <is>
          <t>Articles de ménage, rangement</t>
        </is>
      </c>
      <c r="H21" s="8" t="inlineStr">
        <is>
          <t>non relevé</t>
        </is>
      </c>
      <c r="I21" s="8" t="inlineStr">
        <is>
          <t>Vend de l'import : argument « fabriqué à Koumassi, réassort rapide »</t>
        </is>
      </c>
      <c r="J21" s="14" t="inlineStr">
        <is>
          <t>https://www.goafricaonline.com/ci/85639-foire-chine-adjame-appareils-electromenagers-abidjan-cote-ivoire</t>
        </is>
      </c>
      <c r="K21" s="15" t="inlineStr">
        <is>
          <t>À vérifier</t>
        </is>
      </c>
      <c r="L21" s="16" t="inlineStr">
        <is>
          <t>B</t>
        </is>
      </c>
      <c r="M21" s="8" t="inlineStr">
        <is>
          <t>À contacter</t>
        </is>
      </c>
      <c r="N21" s="8" t="inlineStr"/>
      <c r="O21" s="8" t="inlineStr"/>
    </row>
    <row r="22">
      <c r="A22" s="8" t="n">
        <v>21</v>
      </c>
      <c r="B22" s="13" t="inlineStr">
        <is>
          <t>Abdallah Nina</t>
        </is>
      </c>
      <c r="C22" s="8" t="inlineStr">
        <is>
          <t>Grossistes Adjamé &amp; marchés</t>
        </is>
      </c>
      <c r="D22" s="8" t="inlineStr">
        <is>
          <t>Abidjan</t>
        </is>
      </c>
      <c r="E22" s="8" t="inlineStr">
        <is>
          <t>Adjamé, bd Nangui Abrogoua</t>
        </is>
      </c>
      <c r="F22" s="8" t="inlineStr">
        <is>
          <t>Articles ménagers</t>
        </is>
      </c>
      <c r="G22" s="8" t="inlineStr">
        <is>
          <t>Articles de ménage</t>
        </is>
      </c>
      <c r="H22" s="8" t="inlineStr">
        <is>
          <t>non relevé</t>
        </is>
      </c>
      <c r="I22" s="8" t="inlineStr">
        <is>
          <t>À qualifier sur place</t>
        </is>
      </c>
      <c r="J22" s="14" t="inlineStr">
        <is>
          <t>https://www.goafricaonline.com/ci/499519-abdallah-nina-articles-menagers-abidjan-cote-ivoire</t>
        </is>
      </c>
      <c r="K22" s="15" t="inlineStr">
        <is>
          <t>À vérifier</t>
        </is>
      </c>
      <c r="L22" s="16" t="inlineStr">
        <is>
          <t>B</t>
        </is>
      </c>
      <c r="M22" s="8" t="inlineStr">
        <is>
          <t>À contacter</t>
        </is>
      </c>
      <c r="N22" s="8" t="inlineStr"/>
      <c r="O22" s="8" t="inlineStr"/>
    </row>
    <row r="23">
      <c r="A23" s="8" t="n">
        <v>22</v>
      </c>
      <c r="B23" s="13" t="inlineStr">
        <is>
          <t>Le Printemps</t>
        </is>
      </c>
      <c r="C23" s="8" t="inlineStr">
        <is>
          <t>Grossistes Adjamé &amp; marchés</t>
        </is>
      </c>
      <c r="D23" s="8" t="inlineStr">
        <is>
          <t>Abidjan</t>
        </is>
      </c>
      <c r="E23" s="8" t="inlineStr">
        <is>
          <t>Adjamé, face à la Banque malienne de solidarité</t>
        </is>
      </c>
      <c r="F23" s="8" t="inlineStr">
        <is>
          <t>Articles de cuisine, décoration</t>
        </is>
      </c>
      <c r="G23" s="8" t="inlineStr">
        <is>
          <t>Cuisine (gobelets, boîtes, bols)</t>
        </is>
      </c>
      <c r="H23" s="8" t="inlineStr">
        <is>
          <t>non relevé</t>
        </is>
      </c>
      <c r="I23" s="8" t="inlineStr">
        <is>
          <t>À qualifier sur place</t>
        </is>
      </c>
      <c r="J23" s="14" t="inlineStr">
        <is>
          <t>https://www.goafricaonline.com/ci/594103-printemps-commerce-general-abidjan-cote-ivoire</t>
        </is>
      </c>
      <c r="K23" s="15" t="inlineStr">
        <is>
          <t>À vérifier</t>
        </is>
      </c>
      <c r="L23" s="16" t="inlineStr">
        <is>
          <t>C</t>
        </is>
      </c>
      <c r="M23" s="8" t="inlineStr">
        <is>
          <t>À contacter</t>
        </is>
      </c>
      <c r="N23" s="8" t="inlineStr"/>
      <c r="O23" s="8" t="inlineStr"/>
    </row>
    <row r="24">
      <c r="A24" s="8" t="n">
        <v>23</v>
      </c>
      <c r="B24" s="13" t="inlineStr">
        <is>
          <t>ETS Amelec</t>
        </is>
      </c>
      <c r="C24" s="8" t="inlineStr">
        <is>
          <t>Grossistes Adjamé &amp; marchés</t>
        </is>
      </c>
      <c r="D24" s="8" t="inlineStr">
        <is>
          <t>Abidjan</t>
        </is>
      </c>
      <c r="E24" s="8" t="inlineStr">
        <is>
          <t>Adjamé, pôle Maternité Marie-Thérèse / 220 Logements</t>
        </is>
      </c>
      <c r="F24" s="8" t="inlineStr">
        <is>
          <t>Quincaillerie électricité et plomberie</t>
        </is>
      </c>
      <c r="G24" s="8" t="inlineStr">
        <is>
          <t>Tube orange, cuves, fosses</t>
        </is>
      </c>
      <c r="H24" s="8" t="inlineStr">
        <is>
          <t>non relevé</t>
        </is>
      </c>
      <c r="I24" s="8" t="inlineStr">
        <is>
          <t>Pôle quincaillerie d'Adjamé : tube orange en priorité</t>
        </is>
      </c>
      <c r="J24" s="14" t="inlineStr">
        <is>
          <t>https://www.goafricaonline.com/ci/annuaire/quincailleries</t>
        </is>
      </c>
      <c r="K24" s="15" t="inlineStr">
        <is>
          <t>À vérifier</t>
        </is>
      </c>
      <c r="L24" s="16" t="inlineStr">
        <is>
          <t>B</t>
        </is>
      </c>
      <c r="M24" s="8" t="inlineStr">
        <is>
          <t>À contacter</t>
        </is>
      </c>
      <c r="N24" s="8" t="inlineStr"/>
      <c r="O24" s="8" t="inlineStr"/>
    </row>
    <row r="25">
      <c r="A25" s="8" t="n">
        <v>24</v>
      </c>
      <c r="B25" s="13" t="inlineStr">
        <is>
          <t>ETS Egedy</t>
        </is>
      </c>
      <c r="C25" s="8" t="inlineStr">
        <is>
          <t>Grossistes Adjamé &amp; marchés</t>
        </is>
      </c>
      <c r="D25" s="8" t="inlineStr">
        <is>
          <t>Abidjan</t>
        </is>
      </c>
      <c r="E25" s="8" t="inlineStr">
        <is>
          <t>Adjamé, pôle Marie-Thérèse / 220 Logements</t>
        </is>
      </c>
      <c r="F25" s="8" t="inlineStr">
        <is>
          <t>Matériaux, plomberie</t>
        </is>
      </c>
      <c r="G25" s="8" t="inlineStr">
        <is>
          <t>Cuves, fosses, tube orange</t>
        </is>
      </c>
      <c r="H25" s="8" t="inlineStr">
        <is>
          <t>non relevé</t>
        </is>
      </c>
      <c r="I25" s="8" t="inlineStr">
        <is>
          <t>Même pôle</t>
        </is>
      </c>
      <c r="J25" s="14" t="inlineStr">
        <is>
          <t>https://www.goafricaonline.com/ci/annuaire/quincailleries</t>
        </is>
      </c>
      <c r="K25" s="15" t="inlineStr">
        <is>
          <t>À vérifier</t>
        </is>
      </c>
      <c r="L25" s="16" t="inlineStr">
        <is>
          <t>B</t>
        </is>
      </c>
      <c r="M25" s="8" t="inlineStr">
        <is>
          <t>À contacter</t>
        </is>
      </c>
      <c r="N25" s="8" t="inlineStr"/>
      <c r="O25" s="8" t="inlineStr"/>
    </row>
    <row r="26">
      <c r="A26" s="8" t="n">
        <v>25</v>
      </c>
      <c r="B26" s="13" t="inlineStr">
        <is>
          <t>Sodis-MAD CI</t>
        </is>
      </c>
      <c r="C26" s="8" t="inlineStr">
        <is>
          <t>Grossistes Adjamé &amp; marchés</t>
        </is>
      </c>
      <c r="D26" s="8" t="inlineStr">
        <is>
          <t>Abidjan</t>
        </is>
      </c>
      <c r="E26" s="8" t="inlineStr">
        <is>
          <t>Adjamé (succursales)</t>
        </is>
      </c>
      <c r="F26" s="8" t="inlineStr">
        <is>
          <t>Quincaillerie</t>
        </is>
      </c>
      <c r="G26" s="8" t="inlineStr">
        <is>
          <t>Cuves, fosses</t>
        </is>
      </c>
      <c r="H26" s="8" t="inlineStr">
        <is>
          <t>non relevé</t>
        </is>
      </c>
      <c r="I26" s="8" t="inlineStr">
        <is>
          <t>Réseau de succursales</t>
        </is>
      </c>
      <c r="J26" s="14" t="inlineStr">
        <is>
          <t>https://www.goafricaonline.com/ci/annuaire/quincailleries</t>
        </is>
      </c>
      <c r="K26" s="15" t="inlineStr">
        <is>
          <t>À vérifier</t>
        </is>
      </c>
      <c r="L26" s="16" t="inlineStr">
        <is>
          <t>C</t>
        </is>
      </c>
      <c r="M26" s="8" t="inlineStr">
        <is>
          <t>À contacter</t>
        </is>
      </c>
      <c r="N26" s="8" t="inlineStr"/>
      <c r="O26" s="8" t="inlineStr"/>
    </row>
    <row r="27">
      <c r="A27" s="8" t="n">
        <v>26</v>
      </c>
      <c r="B27" s="13" t="inlineStr">
        <is>
          <t>MK Sarl</t>
        </is>
      </c>
      <c r="C27" s="8" t="inlineStr">
        <is>
          <t>Grossistes Adjamé &amp; marchés</t>
        </is>
      </c>
      <c r="D27" s="8" t="inlineStr">
        <is>
          <t>Abidjan</t>
        </is>
      </c>
      <c r="E27" s="8" t="inlineStr">
        <is>
          <t>Adjamé, Black Market (rue E10)</t>
        </is>
      </c>
      <c r="F27" s="8" t="inlineStr">
        <is>
          <t>Quincaillerie</t>
        </is>
      </c>
      <c r="G27" s="8" t="inlineStr">
        <is>
          <t>Tube orange, cuves</t>
        </is>
      </c>
      <c r="H27" s="8" t="inlineStr">
        <is>
          <t>non relevé</t>
        </is>
      </c>
      <c r="I27" s="8" t="inlineStr">
        <is>
          <t>Black Market : clientèle de petits revendeurs</t>
        </is>
      </c>
      <c r="J27" s="14" t="inlineStr">
        <is>
          <t>https://www.goafricaonline.com/ci/annuaire/quincailleries</t>
        </is>
      </c>
      <c r="K27" s="15" t="inlineStr">
        <is>
          <t>À vérifier</t>
        </is>
      </c>
      <c r="L27" s="16" t="inlineStr">
        <is>
          <t>C</t>
        </is>
      </c>
      <c r="M27" s="8" t="inlineStr">
        <is>
          <t>À contacter</t>
        </is>
      </c>
      <c r="N27" s="8" t="inlineStr"/>
      <c r="O27" s="8" t="inlineStr"/>
    </row>
    <row r="28">
      <c r="A28" s="8" t="n">
        <v>27</v>
      </c>
      <c r="B28" s="13" t="inlineStr">
        <is>
          <t>RDV-CI (Roi des Draps et Vaisselles)</t>
        </is>
      </c>
      <c r="C28" s="8" t="inlineStr">
        <is>
          <t>Grossistes Adjamé &amp; marchés</t>
        </is>
      </c>
      <c r="D28" s="8" t="inlineStr">
        <is>
          <t>Abidjan</t>
        </is>
      </c>
      <c r="E28" s="8" t="inlineStr">
        <is>
          <t>Treichville, rond-point rue 12 / avenue 7</t>
        </is>
      </c>
      <c r="F28" s="8" t="inlineStr">
        <is>
          <t>Chaîne de magasins vaisselle et linge</t>
        </is>
      </c>
      <c r="G28" s="8" t="inlineStr">
        <is>
          <t>Articles de ménage, cuisine</t>
        </is>
      </c>
      <c r="H28" s="8" t="inlineStr">
        <is>
          <t>non relevé</t>
        </is>
      </c>
      <c r="I28" s="8" t="inlineStr">
        <is>
          <t>Chaîne : un accord, plusieurs magasins</t>
        </is>
      </c>
      <c r="J28" s="14" t="inlineStr">
        <is>
          <t>https://www.goafricaonline.com/ci/90159-rdv-commerce-general-abidjan-cote-ivoire</t>
        </is>
      </c>
      <c r="K28" s="15" t="inlineStr">
        <is>
          <t>À vérifier</t>
        </is>
      </c>
      <c r="L28" s="16" t="inlineStr">
        <is>
          <t>B</t>
        </is>
      </c>
      <c r="M28" s="8" t="inlineStr">
        <is>
          <t>À contacter</t>
        </is>
      </c>
      <c r="N28" s="8" t="inlineStr"/>
      <c r="O28" s="8" t="inlineStr"/>
    </row>
    <row r="29">
      <c r="A29" s="8" t="n">
        <v>28</v>
      </c>
      <c r="B29" s="13" t="inlineStr">
        <is>
          <t>OK Plast</t>
        </is>
      </c>
      <c r="C29" s="8" t="inlineStr">
        <is>
          <t>Grossistes Adjamé &amp; marchés</t>
        </is>
      </c>
      <c r="D29" s="8" t="inlineStr">
        <is>
          <t>Abidjan</t>
        </is>
      </c>
      <c r="E29" s="8" t="inlineStr">
        <is>
          <t>Koumassi, Grand marché</t>
        </is>
      </c>
      <c r="F29" s="8" t="inlineStr">
        <is>
          <t>Vente de plastiques</t>
        </is>
      </c>
      <c r="G29" s="8" t="inlineStr">
        <is>
          <t>Articles de ménage</t>
        </is>
      </c>
      <c r="H29" s="8" t="inlineStr">
        <is>
          <t>non relevé</t>
        </is>
      </c>
      <c r="I29" s="8" t="inlineStr">
        <is>
          <t>Voisin de l'usine. Revendeur ou concurrent, à qualifier</t>
        </is>
      </c>
      <c r="J29" s="14" t="inlineStr">
        <is>
          <t>https://www.goafricaonline.com/ci/593835-ok-plast-industrie-plastique-abidjan-cote-ivoire</t>
        </is>
      </c>
      <c r="K29" s="15" t="inlineStr">
        <is>
          <t>À vérifier</t>
        </is>
      </c>
      <c r="L29" s="16" t="inlineStr">
        <is>
          <t>B</t>
        </is>
      </c>
      <c r="M29" s="8" t="inlineStr">
        <is>
          <t>À contacter</t>
        </is>
      </c>
      <c r="N29" s="8" t="inlineStr"/>
      <c r="O29" s="8" t="inlineStr"/>
    </row>
    <row r="30">
      <c r="A30" s="8" t="n">
        <v>29</v>
      </c>
      <c r="B30" s="13" t="inlineStr">
        <is>
          <t>El Boustani Randa</t>
        </is>
      </c>
      <c r="C30" s="8" t="inlineStr">
        <is>
          <t>Grossistes Adjamé &amp; marchés</t>
        </is>
      </c>
      <c r="D30" s="8" t="inlineStr">
        <is>
          <t>Abidjan</t>
        </is>
      </c>
      <c r="E30" s="8" t="inlineStr">
        <is>
          <t>Koumassi, Grand marché, près de la pharmacie Ehilé</t>
        </is>
      </c>
      <c r="F30" s="8" t="inlineStr">
        <is>
          <t>Articles en plastique</t>
        </is>
      </c>
      <c r="G30" s="8" t="inlineStr">
        <is>
          <t>Articles de ménage</t>
        </is>
      </c>
      <c r="H30" s="8" t="inlineStr">
        <is>
          <t>non relevé</t>
        </is>
      </c>
      <c r="I30" s="8" t="inlineStr">
        <is>
          <t>Voisin de l'usine</t>
        </is>
      </c>
      <c r="J30" s="14" t="inlineStr">
        <is>
          <t>https://www.goafricaonline.com/ci/593841-el-boustani-randa-industrie-plastique-abidjan-cote-ivoire</t>
        </is>
      </c>
      <c r="K30" s="15" t="inlineStr">
        <is>
          <t>À vérifier</t>
        </is>
      </c>
      <c r="L30" s="16" t="inlineStr">
        <is>
          <t>B</t>
        </is>
      </c>
      <c r="M30" s="8" t="inlineStr">
        <is>
          <t>À contacter</t>
        </is>
      </c>
      <c r="N30" s="8" t="inlineStr"/>
      <c r="O30" s="8" t="inlineStr"/>
    </row>
    <row r="31">
      <c r="A31" s="8" t="n">
        <v>30</v>
      </c>
      <c r="B31" s="13" t="inlineStr">
        <is>
          <t>KLJ Distribution SARL</t>
        </is>
      </c>
      <c r="C31" s="8" t="inlineStr">
        <is>
          <t>Grossistes Adjamé &amp; marchés</t>
        </is>
      </c>
      <c r="D31" s="8" t="inlineStr">
        <is>
          <t>Abidjan</t>
        </is>
      </c>
      <c r="E31" s="8" t="inlineStr">
        <is>
          <t>Koumassi, Sogefia</t>
        </is>
      </c>
      <c r="F31" s="8" t="inlineStr">
        <is>
          <t>Négoce plastique (bacs 10 à 1 100 L, tuyaux, palettes)</t>
        </is>
      </c>
      <c r="G31" s="8" t="inlineStr">
        <is>
          <t>Poubelles, bacs, cuves</t>
        </is>
      </c>
      <c r="H31" s="8" t="inlineStr">
        <is>
          <t>non relevé</t>
        </is>
      </c>
      <c r="I31" s="8" t="inlineStr">
        <is>
          <t>Revendeur ou concurrent, à qualifier</t>
        </is>
      </c>
      <c r="J31" s="14" t="inlineStr">
        <is>
          <t>https://www.goafricaonline.com/ci/371793-klj-distribution-industrie-plastique-abidjan-cote-ivoire</t>
        </is>
      </c>
      <c r="K31" s="15" t="inlineStr">
        <is>
          <t>À vérifier</t>
        </is>
      </c>
      <c r="L31" s="16" t="inlineStr">
        <is>
          <t>C</t>
        </is>
      </c>
      <c r="M31" s="8" t="inlineStr">
        <is>
          <t>À contacter</t>
        </is>
      </c>
      <c r="N31" s="8" t="inlineStr"/>
      <c r="O31" s="8" t="inlineStr"/>
    </row>
    <row r="32">
      <c r="A32" s="8" t="n">
        <v>31</v>
      </c>
      <c r="B32" s="13" t="inlineStr">
        <is>
          <t>Groupe Prosuma (centrale d'achat)</t>
        </is>
      </c>
      <c r="C32" s="8" t="inlineStr">
        <is>
          <t>Supermarchés &amp; distribution</t>
        </is>
      </c>
      <c r="D32" s="8" t="inlineStr">
        <is>
          <t>Abidjan + intérieur</t>
        </is>
      </c>
      <c r="E32" s="8" t="inlineStr">
        <is>
          <t>Siège Abidjan ; magasins dans tout le pays</t>
        </is>
      </c>
      <c r="F32" s="8" t="inlineStr">
        <is>
          <t>N° 1 de la distribution, groupe ivoirien fondé en 1966</t>
        </is>
      </c>
      <c r="G32" s="8" t="inlineStr">
        <is>
          <t>Articles de ménage, mobilier (chaises, tables), saisonnier</t>
        </is>
      </c>
      <c r="H32" s="8" t="inlineStr">
        <is>
          <t>27 21 25 34 16 ; contact@prosuma.ci</t>
        </is>
      </c>
      <c r="I32" s="8" t="inlineStr">
        <is>
          <t>Une centrale pour Bonprix, Sococé, Casino, U, Hayat, Miniprix</t>
        </is>
      </c>
      <c r="J32" s="14" t="inlineStr">
        <is>
          <t>https://groupeprosuma.com/presentation/dispositif-d-enseignes</t>
        </is>
      </c>
      <c r="K32" s="15" t="inlineStr">
        <is>
          <t>Vérifié</t>
        </is>
      </c>
      <c r="L32" s="16" t="inlineStr">
        <is>
          <t>A</t>
        </is>
      </c>
      <c r="M32" s="8" t="inlineStr">
        <is>
          <t>À contacter</t>
        </is>
      </c>
      <c r="N32" s="8" t="inlineStr"/>
      <c r="O32" s="8" t="inlineStr"/>
    </row>
    <row r="33">
      <c r="A33" s="8" t="n">
        <v>32</v>
      </c>
      <c r="B33" s="13" t="inlineStr">
        <is>
          <t>Bonprix (71 magasins, Prosuma)</t>
        </is>
      </c>
      <c r="C33" s="8" t="inlineStr">
        <is>
          <t>Supermarchés &amp; distribution</t>
        </is>
      </c>
      <c r="D33" s="8" t="inlineStr">
        <is>
          <t>Abidjan + intérieur</t>
        </is>
      </c>
      <c r="E33" s="8" t="inlineStr">
        <is>
          <t>Abidjan et villes de l'intérieur</t>
        </is>
      </c>
      <c r="F33" s="8" t="inlineStr">
        <is>
          <t>Supermarchés de proximité</t>
        </is>
      </c>
      <c r="G33" s="8" t="inlineStr">
        <is>
          <t>Articles de ménage, petits prix</t>
        </is>
      </c>
      <c r="H33" s="8" t="inlineStr">
        <is>
          <t>via Prosuma</t>
        </is>
      </c>
      <c r="I33" s="8" t="inlineStr">
        <is>
          <t>71 points de vente : volume</t>
        </is>
      </c>
      <c r="J33" s="14" t="inlineStr">
        <is>
          <t>https://groupeprosuma.com/presentation/dispositif-d-enseignes</t>
        </is>
      </c>
      <c r="K33" s="15" t="inlineStr">
        <is>
          <t>Vérifié</t>
        </is>
      </c>
      <c r="L33" s="16" t="inlineStr">
        <is>
          <t>A</t>
        </is>
      </c>
      <c r="M33" s="8" t="inlineStr">
        <is>
          <t>À contacter</t>
        </is>
      </c>
      <c r="N33" s="8" t="inlineStr"/>
      <c r="O33" s="8" t="inlineStr"/>
    </row>
    <row r="34">
      <c r="A34" s="8" t="n">
        <v>33</v>
      </c>
      <c r="B34" s="13" t="inlineStr">
        <is>
          <t>Sococé et Club Sococé (Prosuma)</t>
        </is>
      </c>
      <c r="C34" s="8" t="inlineStr">
        <is>
          <t>Supermarchés &amp; distribution</t>
        </is>
      </c>
      <c r="D34" s="8" t="inlineStr">
        <is>
          <t>Abidjan + intérieur</t>
        </is>
      </c>
      <c r="E34" s="8" t="inlineStr">
        <is>
          <t>Abidjan et intérieur (10 supermarchés)</t>
        </is>
      </c>
      <c r="F34" s="8" t="inlineStr">
        <is>
          <t>Supermarchés</t>
        </is>
      </c>
      <c r="G34" s="8" t="inlineStr">
        <is>
          <t>Articles de ménage, mobilier de jardin</t>
        </is>
      </c>
      <c r="H34" s="8" t="inlineStr">
        <is>
          <t>via Prosuma</t>
        </is>
      </c>
      <c r="I34" s="8" t="inlineStr">
        <is>
          <t>Même centrale</t>
        </is>
      </c>
      <c r="J34" s="14" t="inlineStr">
        <is>
          <t>https://groupeprosuma.com/presentation/dispositif-d-enseignes</t>
        </is>
      </c>
      <c r="K34" s="15" t="inlineStr">
        <is>
          <t>Vérifié</t>
        </is>
      </c>
      <c r="L34" s="16" t="inlineStr">
        <is>
          <t>B</t>
        </is>
      </c>
      <c r="M34" s="8" t="inlineStr">
        <is>
          <t>À contacter</t>
        </is>
      </c>
      <c r="N34" s="8" t="inlineStr"/>
      <c r="O34" s="8" t="inlineStr"/>
    </row>
    <row r="35">
      <c r="A35" s="8" t="n">
        <v>34</v>
      </c>
      <c r="B35" s="13" t="inlineStr">
        <is>
          <t>Hyper U, Super U, Cash Ivoire U (Prosuma)</t>
        </is>
      </c>
      <c r="C35" s="8" t="inlineStr">
        <is>
          <t>Supermarchés &amp; distribution</t>
        </is>
      </c>
      <c r="D35" s="8" t="inlineStr">
        <is>
          <t>Abidjan</t>
        </is>
      </c>
      <c r="E35" s="8" t="inlineStr">
        <is>
          <t>Abidjan (Hyper U de 3 050 m²)</t>
        </is>
      </c>
      <c r="F35" s="8" t="inlineStr">
        <is>
          <t>Hyper et supermarchés en franchise U</t>
        </is>
      </c>
      <c r="G35" s="8" t="inlineStr">
        <is>
          <t>Mobilier, rangement, ménage</t>
        </is>
      </c>
      <c r="H35" s="8" t="inlineStr">
        <is>
          <t>via Prosuma</t>
        </is>
      </c>
      <c r="I35" s="8" t="inlineStr">
        <is>
          <t>Grand format : mobilier et rangement en rayon</t>
        </is>
      </c>
      <c r="J35" s="14" t="inlineStr">
        <is>
          <t>https://groupeprosuma.com/enseigne/hyper-u-abidjan</t>
        </is>
      </c>
      <c r="K35" s="15" t="inlineStr">
        <is>
          <t>Vérifié</t>
        </is>
      </c>
      <c r="L35" s="16" t="inlineStr">
        <is>
          <t>B</t>
        </is>
      </c>
      <c r="M35" s="8" t="inlineStr">
        <is>
          <t>À contacter</t>
        </is>
      </c>
      <c r="N35" s="8" t="inlineStr"/>
      <c r="O35" s="8" t="inlineStr"/>
    </row>
    <row r="36">
      <c r="A36" s="8" t="n">
        <v>35</v>
      </c>
      <c r="B36" s="13" t="inlineStr">
        <is>
          <t>Casino, Hyper Hayat, Miniprix (Prosuma)</t>
        </is>
      </c>
      <c r="C36" s="8" t="inlineStr">
        <is>
          <t>Supermarchés &amp; distribution</t>
        </is>
      </c>
      <c r="D36" s="8" t="inlineStr">
        <is>
          <t>Abidjan</t>
        </is>
      </c>
      <c r="E36" s="8" t="inlineStr">
        <is>
          <t>Abidjan (Cap Sud…)</t>
        </is>
      </c>
      <c r="F36" s="8" t="inlineStr">
        <is>
          <t>Super et hypermarchés</t>
        </is>
      </c>
      <c r="G36" s="8" t="inlineStr">
        <is>
          <t>Articles de ménage</t>
        </is>
      </c>
      <c r="H36" s="8" t="inlineStr">
        <is>
          <t>via Prosuma</t>
        </is>
      </c>
      <c r="I36" s="8" t="inlineStr">
        <is>
          <t>Même centrale</t>
        </is>
      </c>
      <c r="J36" s="14" t="inlineStr">
        <is>
          <t>https://groupeprosuma.com/presentation/dispositif-d-enseignes</t>
        </is>
      </c>
      <c r="K36" s="15" t="inlineStr">
        <is>
          <t>Vérifié</t>
        </is>
      </c>
      <c r="L36" s="16" t="inlineStr">
        <is>
          <t>C</t>
        </is>
      </c>
      <c r="M36" s="8" t="inlineStr">
        <is>
          <t>À contacter</t>
        </is>
      </c>
      <c r="N36" s="8" t="inlineStr"/>
      <c r="O36" s="8" t="inlineStr"/>
    </row>
    <row r="37">
      <c r="A37" s="8" t="n">
        <v>36</v>
      </c>
      <c r="B37" s="13" t="inlineStr">
        <is>
          <t>Carrefour et Carrefour Market (CFAO)</t>
        </is>
      </c>
      <c r="C37" s="8" t="inlineStr">
        <is>
          <t>Supermarchés &amp; distribution</t>
        </is>
      </c>
      <c r="D37" s="8" t="inlineStr">
        <is>
          <t>Abidjan</t>
        </is>
      </c>
      <c r="E37" s="8" t="inlineStr">
        <is>
          <t>PlaYce Marcory, PlaYce Palmeraie, Cosmos Yopougon, Kokoh Mall Angré, Riviera 3, Zone 4…</t>
        </is>
      </c>
      <c r="F37" s="8" t="inlineStr">
        <is>
          <t>Hyper et supermarchés (CFAO Consumer Retail)</t>
        </is>
      </c>
      <c r="G37" s="8" t="inlineStr">
        <is>
          <t>Mobilier, rangement, ménage</t>
        </is>
      </c>
      <c r="H37" s="8" t="inlineStr">
        <is>
          <t>non relevé</t>
        </is>
      </c>
      <c r="I37" s="8" t="inlineStr">
        <is>
          <t>10 magasins à Abidjan ; centrale CFAO</t>
        </is>
      </c>
      <c r="J37" s="14" t="inlineStr">
        <is>
          <t>https://www.carrefour.ci/nos-magasins</t>
        </is>
      </c>
      <c r="K37" s="15" t="inlineStr">
        <is>
          <t>Vérifié</t>
        </is>
      </c>
      <c r="L37" s="16" t="inlineStr">
        <is>
          <t>A</t>
        </is>
      </c>
      <c r="M37" s="8" t="inlineStr">
        <is>
          <t>À contacter</t>
        </is>
      </c>
      <c r="N37" s="8" t="inlineStr"/>
      <c r="O37" s="8" t="inlineStr"/>
    </row>
    <row r="38">
      <c r="A38" s="8" t="n">
        <v>37</v>
      </c>
      <c r="B38" s="13" t="inlineStr">
        <is>
          <t>Supeco (CFAO)</t>
        </is>
      </c>
      <c r="C38" s="8" t="inlineStr">
        <is>
          <t>Supermarchés &amp; distribution</t>
        </is>
      </c>
      <c r="D38" s="8" t="inlineStr">
        <is>
          <t>Abidjan</t>
        </is>
      </c>
      <c r="E38" s="8" t="inlineStr">
        <is>
          <t>Yopougon, Niangon…</t>
        </is>
      </c>
      <c r="F38" s="8" t="inlineStr">
        <is>
          <t>Supermarchés discount</t>
        </is>
      </c>
      <c r="G38" s="8" t="inlineStr">
        <is>
          <t>Articles de ménage, bidons, seaux</t>
        </is>
      </c>
      <c r="H38" s="8" t="inlineStr">
        <is>
          <t>non relevé</t>
        </is>
      </c>
      <c r="I38" s="8" t="inlineStr">
        <is>
          <t>Format discount : produits d'entrée de gamme</t>
        </is>
      </c>
      <c r="J38" s="14" t="inlineStr">
        <is>
          <t>https://www.cfaogroup.com</t>
        </is>
      </c>
      <c r="K38" s="15" t="inlineStr">
        <is>
          <t>Vérifié</t>
        </is>
      </c>
      <c r="L38" s="16" t="inlineStr">
        <is>
          <t>B</t>
        </is>
      </c>
      <c r="M38" s="8" t="inlineStr">
        <is>
          <t>À contacter</t>
        </is>
      </c>
      <c r="N38" s="8" t="inlineStr"/>
      <c r="O38" s="8" t="inlineStr"/>
    </row>
    <row r="39">
      <c r="A39" s="8" t="n">
        <v>38</v>
      </c>
      <c r="B39" s="13" t="inlineStr">
        <is>
          <t>Auchan Côte d'Ivoire</t>
        </is>
      </c>
      <c r="C39" s="8" t="inlineStr">
        <is>
          <t>Supermarchés &amp; distribution</t>
        </is>
      </c>
      <c r="D39" s="8" t="inlineStr">
        <is>
          <t>Abidjan + intérieur</t>
        </is>
      </c>
      <c r="E39" s="8" t="inlineStr">
        <is>
          <t>Abidjan (dont Koumassi), Bingerville, Bouaké, Yamoussoukro, Bassam</t>
        </is>
      </c>
      <c r="F39" s="8" t="inlineStr">
        <is>
          <t>Supermarchés (15 magasins)</t>
        </is>
      </c>
      <c r="G39" s="8" t="inlineStr">
        <is>
          <t>Articles de ménage, mobilier</t>
        </is>
      </c>
      <c r="H39" s="8" t="inlineStr">
        <is>
          <t>17 BP 1008 Abidjan 17</t>
        </is>
      </c>
      <c r="I39" s="8" t="inlineStr">
        <is>
          <t>Un magasin à Koumassi, à côté de l'usine</t>
        </is>
      </c>
      <c r="J39" s="14" t="inlineStr">
        <is>
          <t>https://www.auchan-retail.com/fr/location/auchan-retail-cote-divoire/</t>
        </is>
      </c>
      <c r="K39" s="15" t="inlineStr">
        <is>
          <t>Vérifié</t>
        </is>
      </c>
      <c r="L39" s="16" t="inlineStr">
        <is>
          <t>A</t>
        </is>
      </c>
      <c r="M39" s="8" t="inlineStr">
        <is>
          <t>À contacter</t>
        </is>
      </c>
      <c r="N39" s="8" t="inlineStr"/>
      <c r="O39" s="8" t="inlineStr"/>
    </row>
    <row r="40">
      <c r="A40" s="8" t="n">
        <v>39</v>
      </c>
      <c r="B40" s="13" t="inlineStr">
        <is>
          <t>CDCI (CDCI Gros, CDCI Demi-Gros)</t>
        </is>
      </c>
      <c r="C40" s="8" t="inlineStr">
        <is>
          <t>Supermarchés &amp; distribution</t>
        </is>
      </c>
      <c r="D40" s="8" t="inlineStr">
        <is>
          <t>Abidjan + intérieur</t>
        </is>
      </c>
      <c r="E40" s="8" t="inlineStr">
        <is>
          <t>Environ 158 points de vente (chiffre 2019)</t>
        </is>
      </c>
      <c r="F40" s="8" t="inlineStr">
        <is>
          <t>Grossiste et demi-grossiste (Retail Holding, Maroc)</t>
        </is>
      </c>
      <c r="G40" s="8" t="inlineStr">
        <is>
          <t>Articles de ménage en volume</t>
        </is>
      </c>
      <c r="H40" s="8" t="inlineStr">
        <is>
          <t>non relevé</t>
        </is>
      </c>
      <c r="I40" s="8" t="inlineStr">
        <is>
          <t>Canal grossiste : gros volumes, prix serrés</t>
        </is>
      </c>
      <c r="J40" s="14" t="inlineStr">
        <is>
          <t>https://www.ifc.org</t>
        </is>
      </c>
      <c r="K40" s="15" t="inlineStr">
        <is>
          <t>Vérifié</t>
        </is>
      </c>
      <c r="L40" s="16" t="inlineStr">
        <is>
          <t>A</t>
        </is>
      </c>
      <c r="M40" s="8" t="inlineStr">
        <is>
          <t>À contacter</t>
        </is>
      </c>
      <c r="N40" s="8" t="inlineStr"/>
      <c r="O40" s="8" t="inlineStr"/>
    </row>
    <row r="41">
      <c r="A41" s="8" t="n">
        <v>40</v>
      </c>
      <c r="B41" s="13" t="inlineStr">
        <is>
          <t>King Cash (CDCI)</t>
        </is>
      </c>
      <c r="C41" s="8" t="inlineStr">
        <is>
          <t>Supermarchés &amp; distribution</t>
        </is>
      </c>
      <c r="D41" s="8" t="inlineStr">
        <is>
          <t>Abidjan</t>
        </is>
      </c>
      <c r="E41" s="8" t="inlineStr">
        <is>
          <t>Williamsville, Adjamé…</t>
        </is>
      </c>
      <c r="F41" s="8" t="inlineStr">
        <is>
          <t>Cash &amp; carry</t>
        </is>
      </c>
      <c r="G41" s="8" t="inlineStr">
        <is>
          <t>Articles de ménage, bidons</t>
        </is>
      </c>
      <c r="H41" s="8" t="inlineStr">
        <is>
          <t>non relevé</t>
        </is>
      </c>
      <c r="I41" s="8" t="inlineStr">
        <is>
          <t>Clientèle de petits commerçants</t>
        </is>
      </c>
      <c r="J41" s="14" t="inlineStr">
        <is>
          <t>https://cotedivoire.business/listing/king-cash</t>
        </is>
      </c>
      <c r="K41" s="15" t="inlineStr">
        <is>
          <t>Vérifié</t>
        </is>
      </c>
      <c r="L41" s="16" t="inlineStr">
        <is>
          <t>B</t>
        </is>
      </c>
      <c r="M41" s="8" t="inlineStr">
        <is>
          <t>À contacter</t>
        </is>
      </c>
      <c r="N41" s="8" t="inlineStr"/>
      <c r="O41" s="8" t="inlineStr"/>
    </row>
    <row r="42">
      <c r="A42" s="8" t="n">
        <v>41</v>
      </c>
      <c r="B42" s="13" t="inlineStr">
        <is>
          <t>Socofrais</t>
        </is>
      </c>
      <c r="C42" s="8" t="inlineStr">
        <is>
          <t>Supermarchés &amp; distribution</t>
        </is>
      </c>
      <c r="D42" s="8" t="inlineStr">
        <is>
          <t>Abidjan</t>
        </is>
      </c>
      <c r="E42" s="8" t="inlineStr">
        <is>
          <t>Treichville zone 3, Angré</t>
        </is>
      </c>
      <c r="F42" s="8" t="inlineStr">
        <is>
          <t>Supermarchés indépendants</t>
        </is>
      </c>
      <c r="G42" s="8" t="inlineStr">
        <is>
          <t>Articles de ménage</t>
        </is>
      </c>
      <c r="H42" s="8" t="inlineStr">
        <is>
          <t>07 07 26 80 11 ; socofrais@gmail.com</t>
        </is>
      </c>
      <c r="I42" s="8" t="inlineStr">
        <is>
          <t>Indépendant : décision rapide</t>
        </is>
      </c>
      <c r="J42" s="14" t="inlineStr">
        <is>
          <t>https://www.goafricaonline.com/ci/102534-socofrais</t>
        </is>
      </c>
      <c r="K42" s="15" t="inlineStr">
        <is>
          <t>Vérifié</t>
        </is>
      </c>
      <c r="L42" s="16" t="inlineStr">
        <is>
          <t>B</t>
        </is>
      </c>
      <c r="M42" s="8" t="inlineStr">
        <is>
          <t>À contacter</t>
        </is>
      </c>
      <c r="N42" s="8" t="inlineStr"/>
      <c r="O42" s="8" t="inlineStr"/>
    </row>
    <row r="43">
      <c r="A43" s="8" t="n">
        <v>42</v>
      </c>
      <c r="B43" s="13" t="inlineStr">
        <is>
          <t>Leader Price (5 magasins repris par CFAO en 2022)</t>
        </is>
      </c>
      <c r="C43" s="8" t="inlineStr">
        <is>
          <t>Supermarchés &amp; distribution</t>
        </is>
      </c>
      <c r="D43" s="8" t="inlineStr">
        <is>
          <t>Abidjan</t>
        </is>
      </c>
      <c r="E43" s="8" t="inlineStr">
        <is>
          <t>Abidjan</t>
        </is>
      </c>
      <c r="F43" s="8" t="inlineStr">
        <is>
          <t>Supermarchés</t>
        </is>
      </c>
      <c r="G43" s="8" t="inlineStr">
        <is>
          <t>Articles de ménage</t>
        </is>
      </c>
      <c r="H43" s="8" t="inlineStr">
        <is>
          <t>non relevé</t>
        </is>
      </c>
      <c r="I43" s="8" t="inlineStr">
        <is>
          <t>L'enseigne existe-t-elle encore ? à vérifier</t>
        </is>
      </c>
      <c r="J43" s="14" t="inlineStr">
        <is>
          <t>https://www.cfaogroup.com/en/consumer-en/cfao-consumer-retail/</t>
        </is>
      </c>
      <c r="K43" s="15" t="inlineStr">
        <is>
          <t>À vérifier</t>
        </is>
      </c>
      <c r="L43" s="16" t="inlineStr">
        <is>
          <t>C</t>
        </is>
      </c>
      <c r="M43" s="8" t="inlineStr">
        <is>
          <t>À contacter</t>
        </is>
      </c>
      <c r="N43" s="8" t="inlineStr"/>
      <c r="O43" s="8" t="inlineStr"/>
    </row>
    <row r="44">
      <c r="A44" s="8" t="n">
        <v>43</v>
      </c>
      <c r="B44" s="13" t="inlineStr">
        <is>
          <t>Jumia Côte d'Ivoire (canal déjà utilisé)</t>
        </is>
      </c>
      <c r="C44" s="8" t="inlineStr">
        <is>
          <t>Supermarchés &amp; distribution</t>
        </is>
      </c>
      <c r="D44" s="8" t="inlineStr">
        <is>
          <t>National</t>
        </is>
      </c>
      <c r="E44" s="8" t="inlineStr">
        <is>
          <t>Entrepôt PK24</t>
        </is>
      </c>
      <c r="F44" s="8" t="inlineStr">
        <is>
          <t>Place de marché en ligne</t>
        </is>
      </c>
      <c r="G44" s="8" t="inlineStr">
        <is>
          <t>Cuves, mobilier, ménage</t>
        </is>
      </c>
      <c r="H44" s="8" t="inlineStr">
        <is>
          <t>espace vendeur</t>
        </is>
      </c>
      <c r="I44" s="8" t="inlineStr">
        <is>
          <t>Taj Plast y vend déjà : à suivre comme un revendeur</t>
        </is>
      </c>
      <c r="J44" s="14" t="inlineStr">
        <is>
          <t>https://group.jumia.com</t>
        </is>
      </c>
      <c r="K44" s="15" t="inlineStr">
        <is>
          <t>Vérifié</t>
        </is>
      </c>
      <c r="L44" s="16" t="inlineStr">
        <is>
          <t>B</t>
        </is>
      </c>
      <c r="M44" s="8" t="inlineStr">
        <is>
          <t>À contacter</t>
        </is>
      </c>
      <c r="N44" s="8" t="inlineStr"/>
      <c r="O44" s="8" t="inlineStr"/>
    </row>
    <row r="45">
      <c r="A45" s="8" t="n">
        <v>44</v>
      </c>
      <c r="B45" s="13" t="inlineStr">
        <is>
          <t>DP Groupe ADDOHA Côte d'Ivoire</t>
        </is>
      </c>
      <c r="C45" s="8" t="inlineStr">
        <is>
          <t>BTP &amp; promoteurs (cuves, fosses)</t>
        </is>
      </c>
      <c r="D45" s="8" t="inlineStr">
        <is>
          <t>Abidjan + intérieur</t>
        </is>
      </c>
      <c r="E45" s="8" t="inlineStr">
        <is>
          <t>Bingerville, Cocody, Alépé, Ahoué</t>
        </is>
      </c>
      <c r="F45" s="8" t="inlineStr">
        <is>
          <t>Promoteur de logement économique</t>
        </is>
      </c>
      <c r="G45" s="8" t="inlineStr">
        <is>
          <t>Fosses septiques, cuves, tube orange</t>
        </is>
      </c>
      <c r="H45" s="8" t="inlineStr">
        <is>
          <t>non relevé</t>
        </is>
      </c>
      <c r="I45" s="8" t="inlineStr">
        <is>
          <t>Green City 6 299 logements ; Cité Zima agréée en 2024 ; prêt IFC en mars 2025</t>
        </is>
      </c>
      <c r="J45" s="14" t="inlineStr">
        <is>
          <t>https://construction.gouv.ci/uploads/publications/178834236850.pdf</t>
        </is>
      </c>
      <c r="K45" s="15" t="inlineStr">
        <is>
          <t>Vérifié</t>
        </is>
      </c>
      <c r="L45" s="16" t="inlineStr">
        <is>
          <t>A</t>
        </is>
      </c>
      <c r="M45" s="8" t="inlineStr">
        <is>
          <t>À contacter</t>
        </is>
      </c>
      <c r="N45" s="8" t="inlineStr"/>
      <c r="O45" s="8" t="inlineStr"/>
    </row>
    <row r="46">
      <c r="A46" s="8" t="n">
        <v>45</v>
      </c>
      <c r="B46" s="13" t="inlineStr">
        <is>
          <t>SNGI (Société Nouvelle Groupe d'Investisseurs)</t>
        </is>
      </c>
      <c r="C46" s="8" t="inlineStr">
        <is>
          <t>BTP &amp; promoteurs (cuves, fosses)</t>
        </is>
      </c>
      <c r="D46" s="8" t="inlineStr">
        <is>
          <t>Abidjan</t>
        </is>
      </c>
      <c r="E46" s="8" t="inlineStr">
        <is>
          <t>Songon, Bago</t>
        </is>
      </c>
      <c r="F46" s="8" t="inlineStr">
        <is>
          <t>Promoteur, travaux publics</t>
        </is>
      </c>
      <c r="G46" s="8" t="inlineStr">
        <is>
          <t>Fosses septiques, cuves</t>
        </is>
      </c>
      <c r="H46" s="8" t="inlineStr">
        <is>
          <t>non relevé</t>
        </is>
      </c>
      <c r="I46" s="8" t="inlineStr">
        <is>
          <t>Golf City 1-2-3 : 3 417 logements agréés en 2026</t>
        </is>
      </c>
      <c r="J46" s="14" t="inlineStr">
        <is>
          <t>https://imonga.com/en/projets/hpp-merveille-4-golf-city-1-2-3</t>
        </is>
      </c>
      <c r="K46" s="15" t="inlineStr">
        <is>
          <t>Vérifié</t>
        </is>
      </c>
      <c r="L46" s="16" t="inlineStr">
        <is>
          <t>A</t>
        </is>
      </c>
      <c r="M46" s="8" t="inlineStr">
        <is>
          <t>À contacter</t>
        </is>
      </c>
      <c r="N46" s="8" t="inlineStr"/>
      <c r="O46" s="8" t="inlineStr"/>
    </row>
    <row r="47">
      <c r="A47" s="8" t="n">
        <v>46</v>
      </c>
      <c r="B47" s="13" t="inlineStr">
        <is>
          <t>Kaydan Real Estate</t>
        </is>
      </c>
      <c r="C47" s="8" t="inlineStr">
        <is>
          <t>BTP &amp; promoteurs (cuves, fosses)</t>
        </is>
      </c>
      <c r="D47" s="8" t="inlineStr">
        <is>
          <t>Abidjan</t>
        </is>
      </c>
      <c r="E47" s="8" t="inlineStr">
        <is>
          <t>Ahoué (Anyama)</t>
        </is>
      </c>
      <c r="F47" s="8" t="inlineStr">
        <is>
          <t>Promoteur</t>
        </is>
      </c>
      <c r="G47" s="8" t="inlineStr">
        <is>
          <t>Fosses septiques, cuves</t>
        </is>
      </c>
      <c r="H47" s="8" t="inlineStr">
        <is>
          <t>non relevé</t>
        </is>
      </c>
      <c r="I47" s="8" t="inlineStr">
        <is>
          <t>Jardins d'Ahoué : 1 378 logements ; visite de chantier en mai 2025</t>
        </is>
      </c>
      <c r="J47" s="14" t="inlineStr">
        <is>
          <t>https://news.abidjan.net/articles/741603/</t>
        </is>
      </c>
      <c r="K47" s="15" t="inlineStr">
        <is>
          <t>Vérifié</t>
        </is>
      </c>
      <c r="L47" s="16" t="inlineStr">
        <is>
          <t>A</t>
        </is>
      </c>
      <c r="M47" s="8" t="inlineStr">
        <is>
          <t>À contacter</t>
        </is>
      </c>
      <c r="N47" s="8" t="inlineStr"/>
      <c r="O47" s="8" t="inlineStr"/>
    </row>
    <row r="48">
      <c r="A48" s="8" t="n">
        <v>47</v>
      </c>
      <c r="B48" s="13" t="inlineStr">
        <is>
          <t>Folourgo Construction</t>
        </is>
      </c>
      <c r="C48" s="8" t="inlineStr">
        <is>
          <t>BTP &amp; promoteurs (cuves, fosses)</t>
        </is>
      </c>
      <c r="D48" s="8" t="inlineStr">
        <is>
          <t>Abidjan + intérieur</t>
        </is>
      </c>
      <c r="E48" s="8" t="inlineStr">
        <is>
          <t>Ahoué, Abengourou, Aboisso, Korhogo</t>
        </is>
      </c>
      <c r="F48" s="8" t="inlineStr">
        <is>
          <t>Promoteur</t>
        </is>
      </c>
      <c r="G48" s="8" t="inlineStr">
        <is>
          <t>Cuves (logements « autonomes en eau »), fosses</t>
        </is>
      </c>
      <c r="H48" s="8" t="inlineStr">
        <is>
          <t>site folourgoconstruction.com</t>
        </is>
      </c>
      <c r="I48" s="8" t="inlineStr">
        <is>
          <t>International City en cours ; 3 cités agréées en 2025</t>
        </is>
      </c>
      <c r="J48" s="14" t="inlineStr">
        <is>
          <t>https://www.aip.ci/217536/</t>
        </is>
      </c>
      <c r="K48" s="15" t="inlineStr">
        <is>
          <t>Vérifié</t>
        </is>
      </c>
      <c r="L48" s="16" t="inlineStr">
        <is>
          <t>A</t>
        </is>
      </c>
      <c r="M48" s="8" t="inlineStr">
        <is>
          <t>À contacter</t>
        </is>
      </c>
      <c r="N48" s="8" t="inlineStr"/>
      <c r="O48" s="8" t="inlineStr"/>
    </row>
    <row r="49">
      <c r="A49" s="8" t="n">
        <v>48</v>
      </c>
      <c r="B49" s="13" t="inlineStr">
        <is>
          <t>AH Africa Côte d'Ivoire</t>
        </is>
      </c>
      <c r="C49" s="8" t="inlineStr">
        <is>
          <t>BTP &amp; promoteurs (cuves, fosses)</t>
        </is>
      </c>
      <c r="D49" s="8" t="inlineStr">
        <is>
          <t>Intérieur</t>
        </is>
      </c>
      <c r="E49" s="8" t="inlineStr">
        <is>
          <t>Grand-Bassam</t>
        </is>
      </c>
      <c r="F49" s="8" t="inlineStr">
        <is>
          <t>Promoteur (groupe Al Hoceinia)</t>
        </is>
      </c>
      <c r="G49" s="8" t="inlineStr">
        <is>
          <t>Fosses septiques, cuves</t>
        </is>
      </c>
      <c r="H49" s="8" t="inlineStr">
        <is>
          <t>non relevé</t>
        </is>
      </c>
      <c r="I49" s="8" t="inlineStr">
        <is>
          <t>Cité Bassam 2 : 1 529 logements agréés en 2025</t>
        </is>
      </c>
      <c r="J49" s="14" t="inlineStr">
        <is>
          <t>https://ah-africa.com/our-projects</t>
        </is>
      </c>
      <c r="K49" s="15" t="inlineStr">
        <is>
          <t>Vérifié</t>
        </is>
      </c>
      <c r="L49" s="16" t="inlineStr">
        <is>
          <t>A</t>
        </is>
      </c>
      <c r="M49" s="8" t="inlineStr">
        <is>
          <t>À contacter</t>
        </is>
      </c>
      <c r="N49" s="8" t="inlineStr"/>
      <c r="O49" s="8" t="inlineStr"/>
    </row>
    <row r="50">
      <c r="A50" s="8" t="n">
        <v>49</v>
      </c>
      <c r="B50" s="13" t="inlineStr">
        <is>
          <t>E2JS Construction</t>
        </is>
      </c>
      <c r="C50" s="8" t="inlineStr">
        <is>
          <t>BTP &amp; promoteurs (cuves, fosses)</t>
        </is>
      </c>
      <c r="D50" s="8" t="inlineStr">
        <is>
          <t>Abidjan</t>
        </is>
      </c>
      <c r="E50" s="8" t="inlineStr">
        <is>
          <t>Bingerville</t>
        </is>
      </c>
      <c r="F50" s="8" t="inlineStr">
        <is>
          <t>Promoteur-constructeur</t>
        </is>
      </c>
      <c r="G50" s="8" t="inlineStr">
        <is>
          <t>Fosses septiques, cuves</t>
        </is>
      </c>
      <c r="H50" s="8" t="inlineStr">
        <is>
          <t>site e2js.com</t>
        </is>
      </c>
      <c r="I50" s="8" t="inlineStr">
        <is>
          <t>Résidences Blédja 4 : avancement présenté le 02/06/2026</t>
        </is>
      </c>
      <c r="J50" s="14" t="inlineStr">
        <is>
          <t>https://infodirecte.net/e2js-construction-presente-les-avancees-du-programme-bledja-4</t>
        </is>
      </c>
      <c r="K50" s="15" t="inlineStr">
        <is>
          <t>Vérifié</t>
        </is>
      </c>
      <c r="L50" s="16" t="inlineStr">
        <is>
          <t>B</t>
        </is>
      </c>
      <c r="M50" s="8" t="inlineStr">
        <is>
          <t>À contacter</t>
        </is>
      </c>
      <c r="N50" s="8" t="inlineStr"/>
      <c r="O50" s="8" t="inlineStr"/>
    </row>
    <row r="51">
      <c r="A51" s="8" t="n">
        <v>50</v>
      </c>
      <c r="B51" s="13" t="inlineStr">
        <is>
          <t>Opes Holding</t>
        </is>
      </c>
      <c r="C51" s="8" t="inlineStr">
        <is>
          <t>BTP &amp; promoteurs (cuves, fosses)</t>
        </is>
      </c>
      <c r="D51" s="8" t="inlineStr">
        <is>
          <t>Abidjan</t>
        </is>
      </c>
      <c r="E51" s="8" t="inlineStr">
        <is>
          <t>Bingerville</t>
        </is>
      </c>
      <c r="F51" s="8" t="inlineStr">
        <is>
          <t>Promoteur (location-accession)</t>
        </is>
      </c>
      <c r="G51" s="8" t="inlineStr">
        <is>
          <t>Fosses septiques, cuves</t>
        </is>
      </c>
      <c r="H51" s="8" t="inlineStr">
        <is>
          <t>non relevé</t>
        </is>
      </c>
      <c r="I51" s="8" t="inlineStr">
        <is>
          <t>Opes 1 tranche 2 livrée en octobre 2025 ; Opes 2 en cours</t>
        </is>
      </c>
      <c r="J51" s="14" t="inlineStr">
        <is>
          <t>https://imonga.com/en/projets/cite-opes-2</t>
        </is>
      </c>
      <c r="K51" s="15" t="inlineStr">
        <is>
          <t>Vérifié</t>
        </is>
      </c>
      <c r="L51" s="16" t="inlineStr">
        <is>
          <t>B</t>
        </is>
      </c>
      <c r="M51" s="8" t="inlineStr">
        <is>
          <t>À contacter</t>
        </is>
      </c>
      <c r="N51" s="8" t="inlineStr"/>
      <c r="O51" s="8" t="inlineStr"/>
    </row>
    <row r="52">
      <c r="A52" s="8" t="n">
        <v>51</v>
      </c>
      <c r="B52" s="13" t="inlineStr">
        <is>
          <t>PROMOGIM</t>
        </is>
      </c>
      <c r="C52" s="8" t="inlineStr">
        <is>
          <t>BTP &amp; promoteurs (cuves, fosses)</t>
        </is>
      </c>
      <c r="D52" s="8" t="inlineStr">
        <is>
          <t>Abidjan</t>
        </is>
      </c>
      <c r="E52" s="8" t="inlineStr">
        <is>
          <t>Bingerville (Jardin botanique)</t>
        </is>
      </c>
      <c r="F52" s="8" t="inlineStr">
        <is>
          <t>Promoteur historique</t>
        </is>
      </c>
      <c r="G52" s="8" t="inlineStr">
        <is>
          <t>Fosses septiques, cuves</t>
        </is>
      </c>
      <c r="H52" s="8" t="inlineStr">
        <is>
          <t>non relevé</t>
        </is>
      </c>
      <c r="I52" s="8" t="inlineStr">
        <is>
          <t>Olympe 3 en commercialisation</t>
        </is>
      </c>
      <c r="J52" s="14" t="inlineStr">
        <is>
          <t>https://promogimci.org/project/olympe-3/</t>
        </is>
      </c>
      <c r="K52" s="15" t="inlineStr">
        <is>
          <t>Vérifié</t>
        </is>
      </c>
      <c r="L52" s="16" t="inlineStr">
        <is>
          <t>B</t>
        </is>
      </c>
      <c r="M52" s="8" t="inlineStr">
        <is>
          <t>À contacter</t>
        </is>
      </c>
      <c r="N52" s="8" t="inlineStr"/>
      <c r="O52" s="8" t="inlineStr"/>
    </row>
    <row r="53">
      <c r="A53" s="8" t="n">
        <v>52</v>
      </c>
      <c r="B53" s="13" t="inlineStr">
        <is>
          <t>Contractor Côte d'Ivoire</t>
        </is>
      </c>
      <c r="C53" s="8" t="inlineStr">
        <is>
          <t>BTP &amp; promoteurs (cuves, fosses)</t>
        </is>
      </c>
      <c r="D53" s="8" t="inlineStr">
        <is>
          <t>Abidjan</t>
        </is>
      </c>
      <c r="E53" s="8" t="inlineStr">
        <is>
          <t>Abidjan</t>
        </is>
      </c>
      <c r="F53" s="8" t="inlineStr">
        <is>
          <t>BTP, construction modulaire</t>
        </is>
      </c>
      <c r="G53" s="8" t="inlineStr">
        <is>
          <t>Fosses septiques, cuves, tube orange</t>
        </is>
      </c>
      <c r="H53" s="8" t="inlineStr">
        <is>
          <t>site contractor-ci.com</t>
        </is>
      </c>
      <c r="I53" s="8" t="inlineStr">
        <is>
          <t>Accord ANAH et DiSabatino pour 10 000 logements sociaux (2025)</t>
        </is>
      </c>
      <c r="J53" s="14" t="inlineStr">
        <is>
          <t>https://www.koaci.com/article/2025/05/01/cote-divoire/societe/cote-divoire-logement-social-un-partenariat-strategique-pour-10-000-nouveaux-logements_186522.html</t>
        </is>
      </c>
      <c r="K53" s="15" t="inlineStr">
        <is>
          <t>Vérifié</t>
        </is>
      </c>
      <c r="L53" s="16" t="inlineStr">
        <is>
          <t>A</t>
        </is>
      </c>
      <c r="M53" s="8" t="inlineStr">
        <is>
          <t>À contacter</t>
        </is>
      </c>
      <c r="N53" s="8" t="inlineStr"/>
      <c r="O53" s="8" t="inlineStr"/>
    </row>
    <row r="54">
      <c r="A54" s="8" t="n">
        <v>53</v>
      </c>
      <c r="B54" s="13" t="inlineStr">
        <is>
          <t>SICOGI / ANAH (maîtres d'ouvrage publics)</t>
        </is>
      </c>
      <c r="C54" s="8" t="inlineStr">
        <is>
          <t>BTP &amp; promoteurs (cuves, fosses)</t>
        </is>
      </c>
      <c r="D54" s="8" t="inlineStr">
        <is>
          <t>Abidjan</t>
        </is>
      </c>
      <c r="E54" s="8" t="inlineStr">
        <is>
          <t>Abidjan, PK24</t>
        </is>
      </c>
      <c r="F54" s="8" t="inlineStr">
        <is>
          <t>Maître d'ouvrage public</t>
        </is>
      </c>
      <c r="G54" s="8" t="inlineStr">
        <is>
          <t>Fosses, cuves (via les entreprises attributaires)</t>
        </is>
      </c>
      <c r="H54" s="8" t="inlineStr">
        <is>
          <t>appels d'offres</t>
        </is>
      </c>
      <c r="I54" s="8" t="inlineStr">
        <is>
          <t>Diaspora Habitat 5 000 logements ; 1 160 logements à PK24 (BOAD)</t>
        </is>
      </c>
      <c r="J54" s="14" t="inlineStr">
        <is>
          <t>https://www.ivoiriendelexterieur.com/opportunites/programme-immobilier-diaspora-habitat-5-000-logements-a-abidjan</t>
        </is>
      </c>
      <c r="K54" s="15" t="inlineStr">
        <is>
          <t>Vérifié</t>
        </is>
      </c>
      <c r="L54" s="16" t="inlineStr">
        <is>
          <t>B</t>
        </is>
      </c>
      <c r="M54" s="8" t="inlineStr">
        <is>
          <t>À contacter</t>
        </is>
      </c>
      <c r="N54" s="8" t="inlineStr"/>
      <c r="O54" s="8" t="inlineStr"/>
    </row>
    <row r="55">
      <c r="A55" s="8" t="n">
        <v>54</v>
      </c>
      <c r="B55" s="13" t="inlineStr">
        <is>
          <t>La Centrale de l'Immobilier</t>
        </is>
      </c>
      <c r="C55" s="8" t="inlineStr">
        <is>
          <t>BTP &amp; promoteurs (cuves, fosses)</t>
        </is>
      </c>
      <c r="D55" s="8" t="inlineStr">
        <is>
          <t>Abidjan</t>
        </is>
      </c>
      <c r="E55" s="8" t="inlineStr">
        <is>
          <t>Ahoué</t>
        </is>
      </c>
      <c r="F55" s="8" t="inlineStr">
        <is>
          <t>Promoteur</t>
        </is>
      </c>
      <c r="G55" s="8" t="inlineStr">
        <is>
          <t>Fosses septiques, cuves</t>
        </is>
      </c>
      <c r="H55" s="8" t="inlineStr">
        <is>
          <t>à trouver</t>
        </is>
      </c>
      <c r="I55" s="8" t="inlineStr">
        <is>
          <t>Cité Baobab : 820 logements agréés en 2025</t>
        </is>
      </c>
      <c r="J55" s="14" t="inlineStr">
        <is>
          <t>https://construction.gouv.ci/uploads/publications/178834236850.pdf</t>
        </is>
      </c>
      <c r="K55" s="15" t="inlineStr">
        <is>
          <t>À vérifier</t>
        </is>
      </c>
      <c r="L55" s="16" t="inlineStr">
        <is>
          <t>B</t>
        </is>
      </c>
      <c r="M55" s="8" t="inlineStr">
        <is>
          <t>À contacter</t>
        </is>
      </c>
      <c r="N55" s="8" t="inlineStr"/>
      <c r="O55" s="8" t="inlineStr"/>
    </row>
    <row r="56">
      <c r="A56" s="8" t="n">
        <v>55</v>
      </c>
      <c r="B56" s="13" t="inlineStr">
        <is>
          <t>Ivoire Construction</t>
        </is>
      </c>
      <c r="C56" s="8" t="inlineStr">
        <is>
          <t>BTP &amp; promoteurs (cuves, fosses)</t>
        </is>
      </c>
      <c r="D56" s="8" t="inlineStr">
        <is>
          <t>Abidjan</t>
        </is>
      </c>
      <c r="E56" s="8" t="inlineStr">
        <is>
          <t>Songon</t>
        </is>
      </c>
      <c r="F56" s="8" t="inlineStr">
        <is>
          <t>Promoteur</t>
        </is>
      </c>
      <c r="G56" s="8" t="inlineStr">
        <is>
          <t>Fosses septiques, cuves</t>
        </is>
      </c>
      <c r="H56" s="8" t="inlineStr">
        <is>
          <t>à trouver</t>
        </is>
      </c>
      <c r="I56" s="8" t="inlineStr">
        <is>
          <t>Cité Ivoire 4 : 119 logements agréés en 2024</t>
        </is>
      </c>
      <c r="J56" s="14" t="inlineStr">
        <is>
          <t>https://construction.gouv.ci/uploads/publications/178834236850.pdf</t>
        </is>
      </c>
      <c r="K56" s="15" t="inlineStr">
        <is>
          <t>À vérifier</t>
        </is>
      </c>
      <c r="L56" s="16" t="inlineStr">
        <is>
          <t>C</t>
        </is>
      </c>
      <c r="M56" s="8" t="inlineStr">
        <is>
          <t>À contacter</t>
        </is>
      </c>
      <c r="N56" s="8" t="inlineStr"/>
      <c r="O56" s="8" t="inlineStr"/>
    </row>
    <row r="57">
      <c r="A57" s="8" t="n">
        <v>56</v>
      </c>
      <c r="B57" s="13" t="inlineStr">
        <is>
          <t>Batinet Prestige</t>
        </is>
      </c>
      <c r="C57" s="8" t="inlineStr">
        <is>
          <t>BTP &amp; promoteurs (cuves, fosses)</t>
        </is>
      </c>
      <c r="D57" s="8" t="inlineStr">
        <is>
          <t>Abidjan</t>
        </is>
      </c>
      <c r="E57" s="8" t="inlineStr">
        <is>
          <t>Songon</t>
        </is>
      </c>
      <c r="F57" s="8" t="inlineStr">
        <is>
          <t>Promoteur</t>
        </is>
      </c>
      <c r="G57" s="8" t="inlineStr">
        <is>
          <t>Fosses septiques, cuves</t>
        </is>
      </c>
      <c r="H57" s="8" t="inlineStr">
        <is>
          <t>à trouver</t>
        </is>
      </c>
      <c r="I57" s="8" t="inlineStr">
        <is>
          <t>Cité FPAMP : 102 logements agréés en 2025</t>
        </is>
      </c>
      <c r="J57" s="14" t="inlineStr">
        <is>
          <t>https://construction.gouv.ci/uploads/publications/178834236850.pdf</t>
        </is>
      </c>
      <c r="K57" s="15" t="inlineStr">
        <is>
          <t>À vérifier</t>
        </is>
      </c>
      <c r="L57" s="16" t="inlineStr">
        <is>
          <t>C</t>
        </is>
      </c>
      <c r="M57" s="8" t="inlineStr">
        <is>
          <t>À contacter</t>
        </is>
      </c>
      <c r="N57" s="8" t="inlineStr"/>
      <c r="O57" s="8" t="inlineStr"/>
    </row>
    <row r="58">
      <c r="A58" s="8" t="n">
        <v>57</v>
      </c>
      <c r="B58" s="13" t="inlineStr">
        <is>
          <t>SCI Mamcom</t>
        </is>
      </c>
      <c r="C58" s="8" t="inlineStr">
        <is>
          <t>BTP &amp; promoteurs (cuves, fosses)</t>
        </is>
      </c>
      <c r="D58" s="8" t="inlineStr">
        <is>
          <t>Abidjan</t>
        </is>
      </c>
      <c r="E58" s="8" t="inlineStr">
        <is>
          <t>Bingerville</t>
        </is>
      </c>
      <c r="F58" s="8" t="inlineStr">
        <is>
          <t>Promoteur</t>
        </is>
      </c>
      <c r="G58" s="8" t="inlineStr">
        <is>
          <t>Fosses septiques, cuves</t>
        </is>
      </c>
      <c r="H58" s="8" t="inlineStr">
        <is>
          <t>à trouver</t>
        </is>
      </c>
      <c r="I58" s="8" t="inlineStr">
        <is>
          <t>Cité Dr Souleymane Diarrassouba : 117 logements agréés en 2024</t>
        </is>
      </c>
      <c r="J58" s="14" t="inlineStr">
        <is>
          <t>https://construction.gouv.ci/uploads/publications/178834236850.pdf</t>
        </is>
      </c>
      <c r="K58" s="15" t="inlineStr">
        <is>
          <t>À vérifier</t>
        </is>
      </c>
      <c r="L58" s="16" t="inlineStr">
        <is>
          <t>C</t>
        </is>
      </c>
      <c r="M58" s="8" t="inlineStr">
        <is>
          <t>À contacter</t>
        </is>
      </c>
      <c r="N58" s="8" t="inlineStr"/>
      <c r="O58" s="8" t="inlineStr"/>
    </row>
    <row r="59">
      <c r="A59" s="8" t="n">
        <v>58</v>
      </c>
      <c r="B59" s="13" t="inlineStr">
        <is>
          <t>Rich' Group SARL</t>
        </is>
      </c>
      <c r="C59" s="8" t="inlineStr">
        <is>
          <t>BTP &amp; promoteurs (cuves, fosses)</t>
        </is>
      </c>
      <c r="D59" s="8" t="inlineStr">
        <is>
          <t>Abidjan</t>
        </is>
      </c>
      <c r="E59" s="8" t="inlineStr">
        <is>
          <t>Cocody</t>
        </is>
      </c>
      <c r="F59" s="8" t="inlineStr">
        <is>
          <t>Promoteur</t>
        </is>
      </c>
      <c r="G59" s="8" t="inlineStr">
        <is>
          <t>Fosses septiques, cuves</t>
        </is>
      </c>
      <c r="H59" s="8" t="inlineStr">
        <is>
          <t>à trouver</t>
        </is>
      </c>
      <c r="I59" s="8" t="inlineStr">
        <is>
          <t>Cité Rich Programme 1 : 51 logements agréés en 2025</t>
        </is>
      </c>
      <c r="J59" s="14" t="inlineStr">
        <is>
          <t>https://construction.gouv.ci/uploads/publications/178834236850.pdf</t>
        </is>
      </c>
      <c r="K59" s="15" t="inlineStr">
        <is>
          <t>À vérifier</t>
        </is>
      </c>
      <c r="L59" s="16" t="inlineStr">
        <is>
          <t>C</t>
        </is>
      </c>
      <c r="M59" s="8" t="inlineStr">
        <is>
          <t>À contacter</t>
        </is>
      </c>
      <c r="N59" s="8" t="inlineStr"/>
      <c r="O59" s="8" t="inlineStr"/>
    </row>
    <row r="60">
      <c r="A60" s="8" t="n">
        <v>59</v>
      </c>
      <c r="B60" s="13" t="inlineStr">
        <is>
          <t>Trouvay et Cauvin</t>
        </is>
      </c>
      <c r="C60" s="8" t="inlineStr">
        <is>
          <t>BTP &amp; promoteurs (cuves, fosses)</t>
        </is>
      </c>
      <c r="D60" s="8" t="inlineStr">
        <is>
          <t>Abidjan</t>
        </is>
      </c>
      <c r="E60" s="8" t="inlineStr">
        <is>
          <t>Koumassi, Biétry</t>
        </is>
      </c>
      <c r="F60" s="8" t="inlineStr">
        <is>
          <t>Fluides, canalisations (installateur)</t>
        </is>
      </c>
      <c r="G60" s="8" t="inlineStr">
        <is>
          <t>Cuves, puits d'infiltration</t>
        </is>
      </c>
      <c r="H60" s="8" t="inlineStr">
        <is>
          <t>non relevé</t>
        </is>
      </c>
      <c r="I60" s="8" t="inlineStr">
        <is>
          <t>Installateur voisin de l'usine : prescripteur</t>
        </is>
      </c>
      <c r="J60" s="14" t="inlineStr">
        <is>
          <t>https://www.goafricaonline.com/ci/84291-trouvay-cauvin-plomberie-abidjan-cote-ivoire</t>
        </is>
      </c>
      <c r="K60" s="15" t="inlineStr">
        <is>
          <t>À vérifier</t>
        </is>
      </c>
      <c r="L60" s="16" t="inlineStr">
        <is>
          <t>B</t>
        </is>
      </c>
      <c r="M60" s="8" t="inlineStr">
        <is>
          <t>À contacter</t>
        </is>
      </c>
      <c r="N60" s="8" t="inlineStr"/>
      <c r="O60" s="8" t="inlineStr"/>
    </row>
    <row r="61">
      <c r="A61" s="8" t="n">
        <v>60</v>
      </c>
      <c r="B61" s="13" t="inlineStr">
        <is>
          <t>Afri Fluides Belyazide</t>
        </is>
      </c>
      <c r="C61" s="8" t="inlineStr">
        <is>
          <t>BTP &amp; promoteurs (cuves, fosses)</t>
        </is>
      </c>
      <c r="D61" s="8" t="inlineStr">
        <is>
          <t>Abidjan</t>
        </is>
      </c>
      <c r="E61" s="8" t="inlineStr">
        <is>
          <t>Locodjro (cité Addoha)</t>
        </is>
      </c>
      <c r="F61" s="8" t="inlineStr">
        <is>
          <t>Plomberie, assainissement</t>
        </is>
      </c>
      <c r="G61" s="8" t="inlineStr">
        <is>
          <t>Fosses septiques, puits d'infiltration</t>
        </is>
      </c>
      <c r="H61" s="8" t="inlineStr">
        <is>
          <t>non relevé</t>
        </is>
      </c>
      <c r="I61" s="8" t="inlineStr">
        <is>
          <t>Installé dans une cité Addoha</t>
        </is>
      </c>
      <c r="J61" s="14" t="inlineStr">
        <is>
          <t>https://www.goafricaonline.com/ci/584202-afri-fluides-belyazide-plomberie-abidjan-cote-ivoire</t>
        </is>
      </c>
      <c r="K61" s="15" t="inlineStr">
        <is>
          <t>À vérifier</t>
        </is>
      </c>
      <c r="L61" s="16" t="inlineStr">
        <is>
          <t>C</t>
        </is>
      </c>
      <c r="M61" s="8" t="inlineStr">
        <is>
          <t>À contacter</t>
        </is>
      </c>
      <c r="N61" s="8" t="inlineStr"/>
      <c r="O61" s="8" t="inlineStr"/>
    </row>
    <row r="62">
      <c r="A62" s="8" t="n">
        <v>61</v>
      </c>
      <c r="B62" s="13" t="inlineStr">
        <is>
          <t>Lycée international Jean-Mermoz</t>
        </is>
      </c>
      <c r="C62" s="8" t="inlineStr">
        <is>
          <t>Écoles &amp; universités privées</t>
        </is>
      </c>
      <c r="D62" s="8" t="inlineStr">
        <is>
          <t>Abidjan</t>
        </is>
      </c>
      <c r="E62" s="8" t="inlineStr">
        <is>
          <t>Cocody</t>
        </is>
      </c>
      <c r="F62" s="8" t="inlineStr">
        <is>
          <t>Établissement français (MLF), 2 464 élèves</t>
        </is>
      </c>
      <c r="G62" s="8" t="inlineStr">
        <is>
          <t>Chaises, tables, poubelles, armoires</t>
        </is>
      </c>
      <c r="H62" s="8" t="inlineStr">
        <is>
          <t>site lijmermoz.org</t>
        </is>
      </c>
      <c r="I62" s="8" t="inlineStr">
        <is>
          <t>Grand effectif : renouvellement régulier du mobilier</t>
        </is>
      </c>
      <c r="J62" s="14" t="inlineStr">
        <is>
          <t>https://www.aefe.gouv.fr/fr/etablissements/lycee-international-jean-mermoz</t>
        </is>
      </c>
      <c r="K62" s="15" t="inlineStr">
        <is>
          <t>Vérifié</t>
        </is>
      </c>
      <c r="L62" s="16" t="inlineStr">
        <is>
          <t>A</t>
        </is>
      </c>
      <c r="M62" s="8" t="inlineStr">
        <is>
          <t>À contacter</t>
        </is>
      </c>
      <c r="N62" s="8" t="inlineStr"/>
      <c r="O62" s="8" t="inlineStr"/>
    </row>
    <row r="63">
      <c r="A63" s="8" t="n">
        <v>62</v>
      </c>
      <c r="B63" s="13" t="inlineStr">
        <is>
          <t>Lycée français Blaise-Pascal</t>
        </is>
      </c>
      <c r="C63" s="8" t="inlineStr">
        <is>
          <t>Écoles &amp; universités privées</t>
        </is>
      </c>
      <c r="D63" s="8" t="inlineStr">
        <is>
          <t>Abidjan</t>
        </is>
      </c>
      <c r="E63" s="8" t="inlineStr">
        <is>
          <t>Cocody Riviera 3</t>
        </is>
      </c>
      <c r="F63" s="8" t="inlineStr">
        <is>
          <t>Établissement français, 2 657 élèves</t>
        </is>
      </c>
      <c r="G63" s="8" t="inlineStr">
        <is>
          <t>Chaises, tables, poubelles</t>
        </is>
      </c>
      <c r="H63" s="8" t="inlineStr">
        <is>
          <t>25 BP 2257 (site officiel)</t>
        </is>
      </c>
      <c r="I63" s="8" t="inlineStr">
        <is>
          <t>Grand effectif</t>
        </is>
      </c>
      <c r="J63" s="14" t="inlineStr">
        <is>
          <t>https://fr.lycee-blaisepascal.com/</t>
        </is>
      </c>
      <c r="K63" s="15" t="inlineStr">
        <is>
          <t>Vérifié</t>
        </is>
      </c>
      <c r="L63" s="16" t="inlineStr">
        <is>
          <t>A</t>
        </is>
      </c>
      <c r="M63" s="8" t="inlineStr">
        <is>
          <t>À contacter</t>
        </is>
      </c>
      <c r="N63" s="8" t="inlineStr"/>
      <c r="O63" s="8" t="inlineStr"/>
    </row>
    <row r="64">
      <c r="A64" s="8" t="n">
        <v>63</v>
      </c>
      <c r="B64" s="13" t="inlineStr">
        <is>
          <t>Groupe Scolaire Les Lauréats</t>
        </is>
      </c>
      <c r="C64" s="8" t="inlineStr">
        <is>
          <t>Écoles &amp; universités privées</t>
        </is>
      </c>
      <c r="D64" s="8" t="inlineStr">
        <is>
          <t>Abidjan</t>
        </is>
      </c>
      <c r="E64" s="8" t="inlineStr">
        <is>
          <t>Abidjan (commune à vérifier)</t>
        </is>
      </c>
      <c r="F64" s="8" t="inlineStr">
        <is>
          <t>Groupe scolaire privé depuis 2002</t>
        </is>
      </c>
      <c r="G64" s="8" t="inlineStr">
        <is>
          <t>Chaises enfants, tables, poubelles</t>
        </is>
      </c>
      <c r="H64" s="8" t="inlineStr">
        <is>
          <t>site leslaureats.net</t>
        </is>
      </c>
      <c r="I64" s="8" t="inlineStr">
        <is>
          <t>Maternelle et primaire : mobilier enfant</t>
        </is>
      </c>
      <c r="J64" s="14" t="inlineStr">
        <is>
          <t>https://www.leslaureats.net/</t>
        </is>
      </c>
      <c r="K64" s="15" t="inlineStr">
        <is>
          <t>Vérifié</t>
        </is>
      </c>
      <c r="L64" s="16" t="inlineStr">
        <is>
          <t>B</t>
        </is>
      </c>
      <c r="M64" s="8" t="inlineStr">
        <is>
          <t>À contacter</t>
        </is>
      </c>
      <c r="N64" s="8" t="inlineStr"/>
      <c r="O64" s="8" t="inlineStr"/>
    </row>
    <row r="65">
      <c r="A65" s="8" t="n">
        <v>64</v>
      </c>
      <c r="B65" s="13" t="inlineStr">
        <is>
          <t>Enko Riviera International School</t>
        </is>
      </c>
      <c r="C65" s="8" t="inlineStr">
        <is>
          <t>Écoles &amp; universités privées</t>
        </is>
      </c>
      <c r="D65" s="8" t="inlineStr">
        <is>
          <t>Abidjan</t>
        </is>
      </c>
      <c r="E65" s="8" t="inlineStr">
        <is>
          <t>Riviera Golf, carrefour M'Pouto</t>
        </is>
      </c>
      <c r="F65" s="8" t="inlineStr">
        <is>
          <t>École internationale (réseau Enko)</t>
        </is>
      </c>
      <c r="G65" s="8" t="inlineStr">
        <is>
          <t>Chaises, tables, rangement</t>
        </is>
      </c>
      <c r="H65" s="8" t="inlineStr">
        <is>
          <t>+225 87 14 14 92 (site Enko)</t>
        </is>
      </c>
      <c r="I65" s="8" t="inlineStr">
        <is>
          <t>Réseau : deux campus à Abidjan</t>
        </is>
      </c>
      <c r="J65" s="14" t="inlineStr">
        <is>
          <t>http://enkoeducation.com/contact</t>
        </is>
      </c>
      <c r="K65" s="15" t="inlineStr">
        <is>
          <t>Vérifié</t>
        </is>
      </c>
      <c r="L65" s="16" t="inlineStr">
        <is>
          <t>B</t>
        </is>
      </c>
      <c r="M65" s="8" t="inlineStr">
        <is>
          <t>À contacter</t>
        </is>
      </c>
      <c r="N65" s="8" t="inlineStr"/>
      <c r="O65" s="8" t="inlineStr"/>
    </row>
    <row r="66">
      <c r="A66" s="8" t="n">
        <v>65</v>
      </c>
      <c r="B66" s="13" t="inlineStr">
        <is>
          <t>UCAO-UUA (Université catholique de l'Afrique de l'Ouest)</t>
        </is>
      </c>
      <c r="C66" s="8" t="inlineStr">
        <is>
          <t>Écoles &amp; universités privées</t>
        </is>
      </c>
      <c r="D66" s="8" t="inlineStr">
        <is>
          <t>Abidjan</t>
        </is>
      </c>
      <c r="E66" s="8" t="inlineStr">
        <is>
          <t>Cocody</t>
        </is>
      </c>
      <c r="F66" s="8" t="inlineStr">
        <is>
          <t>Université privée</t>
        </is>
      </c>
      <c r="G66" s="8" t="inlineStr">
        <is>
          <t>Chaises, tables, poubelles</t>
        </is>
      </c>
      <c r="H66" s="8" t="inlineStr">
        <is>
          <t>08 BP 22 Abidjan 08</t>
        </is>
      </c>
      <c r="I66" s="8" t="inlineStr">
        <is>
          <t>Campus : volumes importants</t>
        </is>
      </c>
      <c r="J66" s="14" t="inlineStr">
        <is>
          <t>https://ucaouua.com/</t>
        </is>
      </c>
      <c r="K66" s="15" t="inlineStr">
        <is>
          <t>Vérifié</t>
        </is>
      </c>
      <c r="L66" s="16" t="inlineStr">
        <is>
          <t>A</t>
        </is>
      </c>
      <c r="M66" s="8" t="inlineStr">
        <is>
          <t>À contacter</t>
        </is>
      </c>
      <c r="N66" s="8" t="inlineStr"/>
      <c r="O66" s="8" t="inlineStr"/>
    </row>
    <row r="67">
      <c r="A67" s="8" t="n">
        <v>66</v>
      </c>
      <c r="B67" s="13" t="inlineStr">
        <is>
          <t>Pigier Côte d'Ivoire</t>
        </is>
      </c>
      <c r="C67" s="8" t="inlineStr">
        <is>
          <t>Écoles &amp; universités privées</t>
        </is>
      </c>
      <c r="D67" s="8" t="inlineStr">
        <is>
          <t>Abidjan</t>
        </is>
      </c>
      <c r="E67" s="8" t="inlineStr">
        <is>
          <t>Plateau</t>
        </is>
      </c>
      <c r="F67" s="8" t="inlineStr">
        <is>
          <t>École supérieure privée</t>
        </is>
      </c>
      <c r="G67" s="8" t="inlineStr">
        <is>
          <t>Chaises, tables</t>
        </is>
      </c>
      <c r="H67" s="8" t="inlineStr">
        <is>
          <t>site pigierci.com</t>
        </is>
      </c>
      <c r="I67" s="8" t="inlineStr">
        <is>
          <t>Plusieurs campus</t>
        </is>
      </c>
      <c r="J67" s="14" t="inlineStr">
        <is>
          <t>https://pigierci.com</t>
        </is>
      </c>
      <c r="K67" s="15" t="inlineStr">
        <is>
          <t>Vérifié</t>
        </is>
      </c>
      <c r="L67" s="16" t="inlineStr">
        <is>
          <t>B</t>
        </is>
      </c>
      <c r="M67" s="8" t="inlineStr">
        <is>
          <t>À contacter</t>
        </is>
      </c>
      <c r="N67" s="8" t="inlineStr"/>
      <c r="O67" s="8" t="inlineStr"/>
    </row>
    <row r="68">
      <c r="A68" s="8" t="n">
        <v>67</v>
      </c>
      <c r="B68" s="13" t="inlineStr">
        <is>
          <t>ISTC Polytechnique</t>
        </is>
      </c>
      <c r="C68" s="8" t="inlineStr">
        <is>
          <t>Écoles &amp; universités privées</t>
        </is>
      </c>
      <c r="D68" s="8" t="inlineStr">
        <is>
          <t>Abidjan</t>
        </is>
      </c>
      <c r="E68" s="8" t="inlineStr">
        <is>
          <t>Abidjan (Cocody, à vérifier)</t>
        </is>
      </c>
      <c r="F68" s="8" t="inlineStr">
        <is>
          <t>École supérieure privée</t>
        </is>
      </c>
      <c r="G68" s="8" t="inlineStr">
        <is>
          <t>Chaises, tables</t>
        </is>
      </c>
      <c r="H68" s="8" t="inlineStr">
        <is>
          <t>27 22 44 88 38</t>
        </is>
      </c>
      <c r="I68" s="8" t="inlineStr">
        <is>
          <t>Standard public</t>
        </is>
      </c>
      <c r="J68" s="14" t="inlineStr">
        <is>
          <t>https://istcpolytechnique.ci/contact.php</t>
        </is>
      </c>
      <c r="K68" s="15" t="inlineStr">
        <is>
          <t>Vérifié</t>
        </is>
      </c>
      <c r="L68" s="16" t="inlineStr">
        <is>
          <t>B</t>
        </is>
      </c>
      <c r="M68" s="8" t="inlineStr">
        <is>
          <t>À contacter</t>
        </is>
      </c>
      <c r="N68" s="8" t="inlineStr"/>
      <c r="O68" s="8" t="inlineStr"/>
    </row>
    <row r="69">
      <c r="A69" s="8" t="n">
        <v>68</v>
      </c>
      <c r="B69" s="13" t="inlineStr">
        <is>
          <t>Institut Libanais d'Enseignement (ILE)</t>
        </is>
      </c>
      <c r="C69" s="8" t="inlineStr">
        <is>
          <t>Écoles &amp; universités privées</t>
        </is>
      </c>
      <c r="D69" s="8" t="inlineStr">
        <is>
          <t>Abidjan</t>
        </is>
      </c>
      <c r="E69" s="8" t="inlineStr">
        <is>
          <t>Treichville, av. Christiani</t>
        </is>
      </c>
      <c r="F69" s="8" t="inlineStr">
        <is>
          <t>Établissement privé</t>
        </is>
      </c>
      <c r="G69" s="8" t="inlineStr">
        <is>
          <t>Chaises, tables, poubelles</t>
        </is>
      </c>
      <c r="H69" s="8" t="inlineStr">
        <is>
          <t>04 BP 2402 Abidjan 04</t>
        </is>
      </c>
      <c r="I69" s="8" t="inlineStr">
        <is>
          <t>Proche de Koumassi</t>
        </is>
      </c>
      <c r="J69" s="14" t="inlineStr">
        <is>
          <t>https://annuaireci.com/entreprises/ile-institut-libanais-denseignement-abidjan-cote-divoire/</t>
        </is>
      </c>
      <c r="K69" s="15" t="inlineStr">
        <is>
          <t>Vérifié</t>
        </is>
      </c>
      <c r="L69" s="16" t="inlineStr">
        <is>
          <t>B</t>
        </is>
      </c>
      <c r="M69" s="8" t="inlineStr">
        <is>
          <t>À contacter</t>
        </is>
      </c>
      <c r="N69" s="8" t="inlineStr"/>
      <c r="O69" s="8" t="inlineStr"/>
    </row>
    <row r="70">
      <c r="A70" s="8" t="n">
        <v>69</v>
      </c>
      <c r="B70" s="13" t="inlineStr">
        <is>
          <t>Collège Saint-Jean Bosco</t>
        </is>
      </c>
      <c r="C70" s="8" t="inlineStr">
        <is>
          <t>Écoles &amp; universités privées</t>
        </is>
      </c>
      <c r="D70" s="8" t="inlineStr">
        <is>
          <t>Abidjan</t>
        </is>
      </c>
      <c r="E70" s="8" t="inlineStr">
        <is>
          <t>Treichville, av. 16, rue 38</t>
        </is>
      </c>
      <c r="F70" s="8" t="inlineStr">
        <is>
          <t>Collège catholique</t>
        </is>
      </c>
      <c r="G70" s="8" t="inlineStr">
        <is>
          <t>Chaises, tables</t>
        </is>
      </c>
      <c r="H70" s="8" t="inlineStr">
        <is>
          <t>voir page contact du site</t>
        </is>
      </c>
      <c r="I70" s="8" t="inlineStr">
        <is>
          <t>Réseau de l'enseignement catholique</t>
        </is>
      </c>
      <c r="J70" s="14" t="inlineStr">
        <is>
          <t>https://saintjeanboscotreichville.org/contact</t>
        </is>
      </c>
      <c r="K70" s="15" t="inlineStr">
        <is>
          <t>Vérifié</t>
        </is>
      </c>
      <c r="L70" s="16" t="inlineStr">
        <is>
          <t>B</t>
        </is>
      </c>
      <c r="M70" s="8" t="inlineStr">
        <is>
          <t>À contacter</t>
        </is>
      </c>
      <c r="N70" s="8" t="inlineStr"/>
      <c r="O70" s="8" t="inlineStr"/>
    </row>
    <row r="71">
      <c r="A71" s="8" t="n">
        <v>70</v>
      </c>
      <c r="B71" s="13" t="inlineStr">
        <is>
          <t>Collège Notre-Dame d'Afrique</t>
        </is>
      </c>
      <c r="C71" s="8" t="inlineStr">
        <is>
          <t>Écoles &amp; universités privées</t>
        </is>
      </c>
      <c r="D71" s="8" t="inlineStr">
        <is>
          <t>Abidjan</t>
        </is>
      </c>
      <c r="E71" s="8" t="inlineStr">
        <is>
          <t>Biétry (Marcory)</t>
        </is>
      </c>
      <c r="F71" s="8" t="inlineStr">
        <is>
          <t>Collège privé</t>
        </is>
      </c>
      <c r="G71" s="8" t="inlineStr">
        <is>
          <t>Chaises, tables</t>
        </is>
      </c>
      <c r="H71" s="8" t="inlineStr">
        <is>
          <t>non relevé</t>
        </is>
      </c>
      <c r="I71" s="8" t="inlineStr">
        <is>
          <t>Proche de Koumassi</t>
        </is>
      </c>
      <c r="J71" s="14" t="inlineStr">
        <is>
          <t>https://fr.wikipedia.org/wiki/Liste_d%27%C3%A9tablissements_scolaires_d%27Abidjan</t>
        </is>
      </c>
      <c r="K71" s="15" t="inlineStr">
        <is>
          <t>À vérifier</t>
        </is>
      </c>
      <c r="L71" s="16" t="inlineStr">
        <is>
          <t>C</t>
        </is>
      </c>
      <c r="M71" s="8" t="inlineStr">
        <is>
          <t>À contacter</t>
        </is>
      </c>
      <c r="N71" s="8" t="inlineStr"/>
      <c r="O71" s="8" t="inlineStr"/>
    </row>
    <row r="72">
      <c r="A72" s="8" t="n">
        <v>71</v>
      </c>
      <c r="B72" s="13" t="inlineStr">
        <is>
          <t>Collège catholique Saint-Viateur</t>
        </is>
      </c>
      <c r="C72" s="8" t="inlineStr">
        <is>
          <t>Écoles &amp; universités privées</t>
        </is>
      </c>
      <c r="D72" s="8" t="inlineStr">
        <is>
          <t>Intérieur</t>
        </is>
      </c>
      <c r="E72" s="8" t="inlineStr">
        <is>
          <t>Bouaké</t>
        </is>
      </c>
      <c r="F72" s="8" t="inlineStr">
        <is>
          <t>Collège catholique</t>
        </is>
      </c>
      <c r="G72" s="8" t="inlineStr">
        <is>
          <t>Chaises, tables</t>
        </is>
      </c>
      <c r="H72" s="8" t="inlineStr">
        <is>
          <t>site college-saint-viateur-bouake.com</t>
        </is>
      </c>
      <c r="I72" s="8" t="inlineStr">
        <is>
          <t>Porte d'entrée vers le réseau catholique de Bouaké</t>
        </is>
      </c>
      <c r="J72" s="14" t="inlineStr">
        <is>
          <t>https://college-saint-viateur-bouake.com/</t>
        </is>
      </c>
      <c r="K72" s="15" t="inlineStr">
        <is>
          <t>Vérifié</t>
        </is>
      </c>
      <c r="L72" s="16" t="inlineStr">
        <is>
          <t>B</t>
        </is>
      </c>
      <c r="M72" s="8" t="inlineStr">
        <is>
          <t>À contacter</t>
        </is>
      </c>
      <c r="N72" s="8" t="inlineStr"/>
      <c r="O72" s="8" t="inlineStr"/>
    </row>
    <row r="73">
      <c r="A73" s="8" t="n">
        <v>72</v>
      </c>
      <c r="B73" s="13" t="inlineStr">
        <is>
          <t>Université internationale ICK (U2ICK)</t>
        </is>
      </c>
      <c r="C73" s="8" t="inlineStr">
        <is>
          <t>Écoles &amp; universités privées</t>
        </is>
      </c>
      <c r="D73" s="8" t="inlineStr">
        <is>
          <t>Intérieur</t>
        </is>
      </c>
      <c r="E73" s="8" t="inlineStr">
        <is>
          <t>Bouaké</t>
        </is>
      </c>
      <c r="F73" s="8" t="inlineStr">
        <is>
          <t>Université privée</t>
        </is>
      </c>
      <c r="G73" s="8" t="inlineStr">
        <is>
          <t>Chaises, tables</t>
        </is>
      </c>
      <c r="H73" s="8" t="inlineStr">
        <is>
          <t>non relevé</t>
        </is>
      </c>
      <c r="I73" s="8" t="inlineStr">
        <is>
          <t>Rentrée académique couverte par Fraternité Matin</t>
        </is>
      </c>
      <c r="J73" s="14" t="inlineStr">
        <is>
          <t>https://www.fratmat.info/article/2638446/societe/enseignement-superieur-luniversite-internationale-ick-de-bouake-fait-sa-rentree-academique</t>
        </is>
      </c>
      <c r="K73" s="15" t="inlineStr">
        <is>
          <t>Vérifié</t>
        </is>
      </c>
      <c r="L73" s="16" t="inlineStr">
        <is>
          <t>B</t>
        </is>
      </c>
      <c r="M73" s="8" t="inlineStr">
        <is>
          <t>À contacter</t>
        </is>
      </c>
      <c r="N73" s="8" t="inlineStr"/>
      <c r="O73" s="8" t="inlineStr"/>
    </row>
    <row r="74">
      <c r="A74" s="8" t="n">
        <v>73</v>
      </c>
      <c r="B74" s="13" t="inlineStr">
        <is>
          <t>HEC Abidjan</t>
        </is>
      </c>
      <c r="C74" s="8" t="inlineStr">
        <is>
          <t>Écoles &amp; universités privées</t>
        </is>
      </c>
      <c r="D74" s="8" t="inlineStr">
        <is>
          <t>Abidjan</t>
        </is>
      </c>
      <c r="E74" s="8" t="inlineStr">
        <is>
          <t>Abidjan (commune à vérifier)</t>
        </is>
      </c>
      <c r="F74" s="8" t="inlineStr">
        <is>
          <t>École de commerce privée, fondée en 2001</t>
        </is>
      </c>
      <c r="G74" s="8" t="inlineStr">
        <is>
          <t>Chaises, tables</t>
        </is>
      </c>
      <c r="H74" s="8" t="inlineStr">
        <is>
          <t>non relevé</t>
        </is>
      </c>
      <c r="I74" s="8" t="inlineStr"/>
      <c r="J74" s="14" t="inlineStr">
        <is>
          <t>https://fede.education/en/ecoles/hec-abidjan</t>
        </is>
      </c>
      <c r="K74" s="15" t="inlineStr">
        <is>
          <t>À vérifier</t>
        </is>
      </c>
      <c r="L74" s="16" t="inlineStr">
        <is>
          <t>C</t>
        </is>
      </c>
      <c r="M74" s="8" t="inlineStr">
        <is>
          <t>À contacter</t>
        </is>
      </c>
      <c r="N74" s="8" t="inlineStr"/>
      <c r="O74" s="8" t="inlineStr"/>
    </row>
    <row r="75">
      <c r="A75" s="8" t="n">
        <v>74</v>
      </c>
      <c r="B75" s="13" t="inlineStr">
        <is>
          <t>Enseignement catholique, archidiocèse de Bouaké</t>
        </is>
      </c>
      <c r="C75" s="8" t="inlineStr">
        <is>
          <t>Écoles &amp; universités privées</t>
        </is>
      </c>
      <c r="D75" s="8" t="inlineStr">
        <is>
          <t>Intérieur</t>
        </is>
      </c>
      <c r="E75" s="8" t="inlineStr">
        <is>
          <t>Bouaké</t>
        </is>
      </c>
      <c r="F75" s="8" t="inlineStr">
        <is>
          <t>Réseau de collèges et écoles catholiques</t>
        </is>
      </c>
      <c r="G75" s="8" t="inlineStr">
        <is>
          <t>Chaises, tables, tables-bancs</t>
        </is>
      </c>
      <c r="H75" s="8" t="inlineStr">
        <is>
          <t>liste des établissements sur le site</t>
        </is>
      </c>
      <c r="I75" s="8" t="inlineStr">
        <is>
          <t>Un prescripteur pour plusieurs écoles</t>
        </is>
      </c>
      <c r="J75" s="14" t="inlineStr">
        <is>
          <t>https://archidiocesedebouake.org/services-diocesains/enseignement-catholique</t>
        </is>
      </c>
      <c r="K75" s="15" t="inlineStr">
        <is>
          <t>Vérifié</t>
        </is>
      </c>
      <c r="L75" s="16" t="inlineStr">
        <is>
          <t>B</t>
        </is>
      </c>
      <c r="M75" s="8" t="inlineStr">
        <is>
          <t>À contacter</t>
        </is>
      </c>
      <c r="N75" s="8" t="inlineStr"/>
      <c r="O75" s="8" t="inlineStr"/>
    </row>
    <row r="76">
      <c r="A76" s="8" t="n">
        <v>75</v>
      </c>
      <c r="B76" s="13" t="inlineStr">
        <is>
          <t>Mairie de Koumassi (maire : Cissé Bacongo)</t>
        </is>
      </c>
      <c r="C76" s="8" t="inlineStr">
        <is>
          <t>Mairies &amp; acheteurs publics</t>
        </is>
      </c>
      <c r="D76" s="8" t="inlineStr">
        <is>
          <t>Abidjan</t>
        </is>
      </c>
      <c r="E76" s="8" t="inlineStr">
        <is>
          <t>Koumassi</t>
        </is>
      </c>
      <c r="F76" s="8" t="inlineStr">
        <is>
          <t>Commune, siège de l'usine Taj Plast</t>
        </is>
      </c>
      <c r="G76" s="8" t="inlineStr">
        <is>
          <t>Chaises, tables, poubelles, bacs</t>
        </is>
      </c>
      <c r="H76" s="8" t="inlineStr">
        <is>
          <t>non relevé</t>
        </is>
      </c>
      <c r="I76" s="8" t="inlineStr">
        <is>
          <t>Commune de l'usine : argument « emploi local ». Réélu en 2023</t>
        </is>
      </c>
      <c r="J76" s="14" t="inlineStr">
        <is>
          <t>https://lhorizoninfo.com/1er-conseil-municipal-a-koumassi-le-triomphe-du-maire-sortant-cisse-bacongo/</t>
        </is>
      </c>
      <c r="K76" s="15" t="inlineStr">
        <is>
          <t>Vérifié</t>
        </is>
      </c>
      <c r="L76" s="16" t="inlineStr">
        <is>
          <t>A</t>
        </is>
      </c>
      <c r="M76" s="8" t="inlineStr">
        <is>
          <t>À contacter</t>
        </is>
      </c>
      <c r="N76" s="8" t="inlineStr"/>
      <c r="O76" s="8" t="inlineStr"/>
    </row>
    <row r="77">
      <c r="A77" s="8" t="n">
        <v>76</v>
      </c>
      <c r="B77" s="13" t="inlineStr">
        <is>
          <t>Mairie de Cocody (maire : Jean-Marc Yacé)</t>
        </is>
      </c>
      <c r="C77" s="8" t="inlineStr">
        <is>
          <t>Mairies &amp; acheteurs publics</t>
        </is>
      </c>
      <c r="D77" s="8" t="inlineStr">
        <is>
          <t>Abidjan</t>
        </is>
      </c>
      <c r="E77" s="8" t="inlineStr">
        <is>
          <t>Cocody</t>
        </is>
      </c>
      <c r="F77" s="8" t="inlineStr">
        <is>
          <t>Commune</t>
        </is>
      </c>
      <c r="G77" s="8" t="inlineStr">
        <is>
          <t>Chaises, tables, poubelles</t>
        </is>
      </c>
      <c r="H77" s="8" t="inlineStr">
        <is>
          <t>site mairiecocody.com</t>
        </is>
      </c>
      <c r="I77" s="8" t="inlineStr">
        <is>
          <t>Élu le 05/10/2023</t>
        </is>
      </c>
      <c r="J77" s="14" t="inlineStr">
        <is>
          <t>https://mairiecocody.com/detail_news.php?etat=0&amp;news=108</t>
        </is>
      </c>
      <c r="K77" s="15" t="inlineStr">
        <is>
          <t>Vérifié</t>
        </is>
      </c>
      <c r="L77" s="16" t="inlineStr">
        <is>
          <t>B</t>
        </is>
      </c>
      <c r="M77" s="8" t="inlineStr">
        <is>
          <t>À contacter</t>
        </is>
      </c>
      <c r="N77" s="8" t="inlineStr"/>
      <c r="O77" s="8" t="inlineStr"/>
    </row>
    <row r="78">
      <c r="A78" s="8" t="n">
        <v>77</v>
      </c>
      <c r="B78" s="13" t="inlineStr">
        <is>
          <t>Mairie de Yopougon (maire : Adama Bictogo)</t>
        </is>
      </c>
      <c r="C78" s="8" t="inlineStr">
        <is>
          <t>Mairies &amp; acheteurs publics</t>
        </is>
      </c>
      <c r="D78" s="8" t="inlineStr">
        <is>
          <t>Abidjan</t>
        </is>
      </c>
      <c r="E78" s="8" t="inlineStr">
        <is>
          <t>Yopougon</t>
        </is>
      </c>
      <c r="F78" s="8" t="inlineStr">
        <is>
          <t>Commune la plus peuplée d'Abidjan</t>
        </is>
      </c>
      <c r="G78" s="8" t="inlineStr">
        <is>
          <t>Chaises, tables, poubelles</t>
        </is>
      </c>
      <c r="H78" s="8" t="inlineStr">
        <is>
          <t>non relevé</t>
        </is>
      </c>
      <c r="I78" s="8" t="inlineStr">
        <is>
          <t>Mandat 2023-2028</t>
        </is>
      </c>
      <c r="J78" s="14" t="inlineStr">
        <is>
          <t>https://news.abidjan.net/articles/724692/adama-bictogo-prend-officiellement-fonction-a-la-tete-de-la-mairie-de-yopougon</t>
        </is>
      </c>
      <c r="K78" s="15" t="inlineStr">
        <is>
          <t>Vérifié</t>
        </is>
      </c>
      <c r="L78" s="16" t="inlineStr">
        <is>
          <t>A</t>
        </is>
      </c>
      <c r="M78" s="8" t="inlineStr">
        <is>
          <t>À contacter</t>
        </is>
      </c>
      <c r="N78" s="8" t="inlineStr"/>
      <c r="O78" s="8" t="inlineStr"/>
    </row>
    <row r="79">
      <c r="A79" s="8" t="n">
        <v>78</v>
      </c>
      <c r="B79" s="13" t="inlineStr">
        <is>
          <t>Mairie d'Abobo (maire : Kandia Camara)</t>
        </is>
      </c>
      <c r="C79" s="8" t="inlineStr">
        <is>
          <t>Mairies &amp; acheteurs publics</t>
        </is>
      </c>
      <c r="D79" s="8" t="inlineStr">
        <is>
          <t>Abidjan</t>
        </is>
      </c>
      <c r="E79" s="8" t="inlineStr">
        <is>
          <t>Abobo</t>
        </is>
      </c>
      <c r="F79" s="8" t="inlineStr">
        <is>
          <t>Commune</t>
        </is>
      </c>
      <c r="G79" s="8" t="inlineStr">
        <is>
          <t>Chaises, tables, poubelles</t>
        </is>
      </c>
      <c r="H79" s="8" t="inlineStr">
        <is>
          <t>non relevé</t>
        </is>
      </c>
      <c r="I79" s="8" t="inlineStr">
        <is>
          <t>Élue en 2023</t>
        </is>
      </c>
      <c r="J79" s="14" t="inlineStr">
        <is>
          <t>https://www.fratmat.info/article/233479/politique/abobo-kandia-camara-elue-maire-avec-985-des-suffrages</t>
        </is>
      </c>
      <c r="K79" s="15" t="inlineStr">
        <is>
          <t>Vérifié</t>
        </is>
      </c>
      <c r="L79" s="16" t="inlineStr">
        <is>
          <t>B</t>
        </is>
      </c>
      <c r="M79" s="8" t="inlineStr">
        <is>
          <t>À contacter</t>
        </is>
      </c>
      <c r="N79" s="8" t="inlineStr"/>
      <c r="O79" s="8" t="inlineStr"/>
    </row>
    <row r="80">
      <c r="A80" s="8" t="n">
        <v>79</v>
      </c>
      <c r="B80" s="13" t="inlineStr">
        <is>
          <t>Mairie de Marcory (maire : Raoul Aby)</t>
        </is>
      </c>
      <c r="C80" s="8" t="inlineStr">
        <is>
          <t>Mairies &amp; acheteurs publics</t>
        </is>
      </c>
      <c r="D80" s="8" t="inlineStr">
        <is>
          <t>Abidjan</t>
        </is>
      </c>
      <c r="E80" s="8" t="inlineStr">
        <is>
          <t>Marcory</t>
        </is>
      </c>
      <c r="F80" s="8" t="inlineStr">
        <is>
          <t>Commune voisine de Koumassi</t>
        </is>
      </c>
      <c r="G80" s="8" t="inlineStr">
        <is>
          <t>Chaises, tables, poubelles</t>
        </is>
      </c>
      <c r="H80" s="8" t="inlineStr">
        <is>
          <t>site marcory.ci</t>
        </is>
      </c>
      <c r="I80" s="8" t="inlineStr">
        <is>
          <t>Réélu en 2023</t>
        </is>
      </c>
      <c r="J80" s="14" t="inlineStr">
        <is>
          <t>https://www.marcory.ci/</t>
        </is>
      </c>
      <c r="K80" s="15" t="inlineStr">
        <is>
          <t>Vérifié</t>
        </is>
      </c>
      <c r="L80" s="16" t="inlineStr">
        <is>
          <t>B</t>
        </is>
      </c>
      <c r="M80" s="8" t="inlineStr">
        <is>
          <t>À contacter</t>
        </is>
      </c>
      <c r="N80" s="8" t="inlineStr"/>
      <c r="O80" s="8" t="inlineStr"/>
    </row>
    <row r="81">
      <c r="A81" s="8" t="n">
        <v>80</v>
      </c>
      <c r="B81" s="13" t="inlineStr">
        <is>
          <t>Mairie de Treichville (maire : François Albert Amichia)</t>
        </is>
      </c>
      <c r="C81" s="8" t="inlineStr">
        <is>
          <t>Mairies &amp; acheteurs publics</t>
        </is>
      </c>
      <c r="D81" s="8" t="inlineStr">
        <is>
          <t>Abidjan</t>
        </is>
      </c>
      <c r="E81" s="8" t="inlineStr">
        <is>
          <t>Treichville</t>
        </is>
      </c>
      <c r="F81" s="8" t="inlineStr">
        <is>
          <t>Commune</t>
        </is>
      </c>
      <c r="G81" s="8" t="inlineStr">
        <is>
          <t>Chaises, tables, poubelles</t>
        </is>
      </c>
      <c r="H81" s="8" t="inlineStr">
        <is>
          <t>non relevé</t>
        </is>
      </c>
      <c r="I81" s="8" t="inlineStr">
        <is>
          <t>Réélu en 2023</t>
        </is>
      </c>
      <c r="J81" s="14" t="inlineStr">
        <is>
          <t>https://www.fratmat.info/article/233706/politique/eacutelections-municipales/treichville-amichia-francois-reelu-a-la-tete-du-conseil-municipal</t>
        </is>
      </c>
      <c r="K81" s="15" t="inlineStr">
        <is>
          <t>Vérifié</t>
        </is>
      </c>
      <c r="L81" s="16" t="inlineStr">
        <is>
          <t>C</t>
        </is>
      </c>
      <c r="M81" s="8" t="inlineStr">
        <is>
          <t>À contacter</t>
        </is>
      </c>
      <c r="N81" s="8" t="inlineStr"/>
      <c r="O81" s="8" t="inlineStr"/>
    </row>
    <row r="82">
      <c r="A82" s="8" t="n">
        <v>81</v>
      </c>
      <c r="B82" s="13" t="inlineStr">
        <is>
          <t>Mairie du Plateau (maire : Jacques Ehouo)</t>
        </is>
      </c>
      <c r="C82" s="8" t="inlineStr">
        <is>
          <t>Mairies &amp; acheteurs publics</t>
        </is>
      </c>
      <c r="D82" s="8" t="inlineStr">
        <is>
          <t>Abidjan</t>
        </is>
      </c>
      <c r="E82" s="8" t="inlineStr">
        <is>
          <t>Plateau</t>
        </is>
      </c>
      <c r="F82" s="8" t="inlineStr">
        <is>
          <t>Commune</t>
        </is>
      </c>
      <c r="G82" s="8" t="inlineStr">
        <is>
          <t>Chaises, tables</t>
        </is>
      </c>
      <c r="H82" s="8" t="inlineStr">
        <is>
          <t>non relevé</t>
        </is>
      </c>
      <c r="I82" s="8" t="inlineStr">
        <is>
          <t>Réélu en 2023</t>
        </is>
      </c>
      <c r="J82" s="14" t="inlineStr">
        <is>
          <t>https://www.fratmat.info/article/232388/politique/eacutelections-municipales/municipales-aby-raoul-et-ehouo-jacques-reelus</t>
        </is>
      </c>
      <c r="K82" s="15" t="inlineStr">
        <is>
          <t>Vérifié</t>
        </is>
      </c>
      <c r="L82" s="16" t="inlineStr">
        <is>
          <t>C</t>
        </is>
      </c>
      <c r="M82" s="8" t="inlineStr">
        <is>
          <t>À contacter</t>
        </is>
      </c>
      <c r="N82" s="8" t="inlineStr"/>
      <c r="O82" s="8" t="inlineStr"/>
    </row>
    <row r="83">
      <c r="A83" s="8" t="n">
        <v>82</v>
      </c>
      <c r="B83" s="13" t="inlineStr">
        <is>
          <t>Mairie de Yamoussoukro (maire : Kouassi Kouamé Patrice)</t>
        </is>
      </c>
      <c r="C83" s="8" t="inlineStr">
        <is>
          <t>Mairies &amp; acheteurs publics</t>
        </is>
      </c>
      <c r="D83" s="8" t="inlineStr">
        <is>
          <t>Intérieur</t>
        </is>
      </c>
      <c r="E83" s="8" t="inlineStr">
        <is>
          <t>Yamoussoukro</t>
        </is>
      </c>
      <c r="F83" s="8" t="inlineStr">
        <is>
          <t>Commune</t>
        </is>
      </c>
      <c r="G83" s="8" t="inlineStr">
        <is>
          <t>Chaises, tables, poubelles</t>
        </is>
      </c>
      <c r="H83" s="8" t="inlineStr">
        <is>
          <t>non relevé</t>
        </is>
      </c>
      <c r="I83" s="8" t="inlineStr">
        <is>
          <t>Élu le 20/09/2023</t>
        </is>
      </c>
      <c r="J83" s="14" t="inlineStr">
        <is>
          <t>https://www.koaci.com/article/2023/09/21/cote-divoire/politique/cote-divoire-confirme-maire-de-yamoussoukro-par-les-conseillers-municipaux-kkp-tend-la-main-a-ses-adversaires_172430.html</t>
        </is>
      </c>
      <c r="K83" s="15" t="inlineStr">
        <is>
          <t>Vérifié</t>
        </is>
      </c>
      <c r="L83" s="16" t="inlineStr">
        <is>
          <t>B</t>
        </is>
      </c>
      <c r="M83" s="8" t="inlineStr">
        <is>
          <t>À contacter</t>
        </is>
      </c>
      <c r="N83" s="8" t="inlineStr"/>
      <c r="O83" s="8" t="inlineStr"/>
    </row>
    <row r="84">
      <c r="A84" s="8" t="n">
        <v>83</v>
      </c>
      <c r="B84" s="13" t="inlineStr">
        <is>
          <t>Mairie de Bouaké</t>
        </is>
      </c>
      <c r="C84" s="8" t="inlineStr">
        <is>
          <t>Mairies &amp; acheteurs publics</t>
        </is>
      </c>
      <c r="D84" s="8" t="inlineStr">
        <is>
          <t>Intérieur</t>
        </is>
      </c>
      <c r="E84" s="8" t="inlineStr">
        <is>
          <t>Bouaké</t>
        </is>
      </c>
      <c r="F84" s="8" t="inlineStr">
        <is>
          <t>Commune</t>
        </is>
      </c>
      <c r="G84" s="8" t="inlineStr">
        <is>
          <t>Chaises, tables, poubelles</t>
        </is>
      </c>
      <c r="H84" s="8" t="inlineStr">
        <is>
          <t>site mairiedebouake.ci</t>
        </is>
      </c>
      <c r="I84" s="8" t="inlineStr">
        <is>
          <t>Nom du maire élu en 2023 à vérifier</t>
        </is>
      </c>
      <c r="J84" s="14" t="inlineStr">
        <is>
          <t>https://www.mairiedebouake.ci/</t>
        </is>
      </c>
      <c r="K84" s="15" t="inlineStr">
        <is>
          <t>À vérifier</t>
        </is>
      </c>
      <c r="L84" s="16" t="inlineStr">
        <is>
          <t>B</t>
        </is>
      </c>
      <c r="M84" s="8" t="inlineStr">
        <is>
          <t>À contacter</t>
        </is>
      </c>
      <c r="N84" s="8" t="inlineStr"/>
      <c r="O84" s="8" t="inlineStr"/>
    </row>
    <row r="85">
      <c r="A85" s="8" t="n">
        <v>84</v>
      </c>
      <c r="B85" s="13" t="inlineStr">
        <is>
          <t>Mairie de Korhogo (maire : Lacina Ouattara)</t>
        </is>
      </c>
      <c r="C85" s="8" t="inlineStr">
        <is>
          <t>Mairies &amp; acheteurs publics</t>
        </is>
      </c>
      <c r="D85" s="8" t="inlineStr">
        <is>
          <t>Intérieur</t>
        </is>
      </c>
      <c r="E85" s="8" t="inlineStr">
        <is>
          <t>Korhogo</t>
        </is>
      </c>
      <c r="F85" s="8" t="inlineStr">
        <is>
          <t>Commune</t>
        </is>
      </c>
      <c r="G85" s="8" t="inlineStr">
        <is>
          <t>Chaises, tables, cuves</t>
        </is>
      </c>
      <c r="H85" s="8" t="inlineStr">
        <is>
          <t>non relevé</t>
        </is>
      </c>
      <c r="I85" s="8" t="inlineStr">
        <is>
          <t>Élu en 2023 ; budget 2025 adopté</t>
        </is>
      </c>
      <c r="J85" s="14" t="inlineStr">
        <is>
          <t>https://www.aip.ci/cote-divoire-aip-le-conseil-municipal-de-korhogo-adopte-un-budget-primitif-2025-avec-des-projets-innovants/</t>
        </is>
      </c>
      <c r="K85" s="15" t="inlineStr">
        <is>
          <t>Vérifié</t>
        </is>
      </c>
      <c r="L85" s="16" t="inlineStr">
        <is>
          <t>B</t>
        </is>
      </c>
      <c r="M85" s="8" t="inlineStr">
        <is>
          <t>À contacter</t>
        </is>
      </c>
      <c r="N85" s="8" t="inlineStr"/>
      <c r="O85" s="8" t="inlineStr"/>
    </row>
    <row r="86">
      <c r="A86" s="8" t="n">
        <v>85</v>
      </c>
      <c r="B86" s="13" t="inlineStr">
        <is>
          <t>Mairie de San-Pédro (maire : Mme Cissé née Kéita Nakaridja)</t>
        </is>
      </c>
      <c r="C86" s="8" t="inlineStr">
        <is>
          <t>Mairies &amp; acheteurs publics</t>
        </is>
      </c>
      <c r="D86" s="8" t="inlineStr">
        <is>
          <t>Intérieur</t>
        </is>
      </c>
      <c r="E86" s="8" t="inlineStr">
        <is>
          <t>San-Pédro</t>
        </is>
      </c>
      <c r="F86" s="8" t="inlineStr">
        <is>
          <t>Commune</t>
        </is>
      </c>
      <c r="G86" s="8" t="inlineStr">
        <is>
          <t>Chaises, tables, poubelles</t>
        </is>
      </c>
      <c r="H86" s="8" t="inlineStr">
        <is>
          <t>non relevé</t>
        </is>
      </c>
      <c r="I86" s="8" t="inlineStr">
        <is>
          <t>Élue en 2023</t>
        </is>
      </c>
      <c r="J86" s="14" t="inlineStr">
        <is>
          <t>https://www.aip.ci/cote-divoire-aip-keita-epouse-cisse-nakaridja-recoit-les-charges-de-sa-fonction-de-maire-de-san-pedro/</t>
        </is>
      </c>
      <c r="K86" s="15" t="inlineStr">
        <is>
          <t>Vérifié</t>
        </is>
      </c>
      <c r="L86" s="16" t="inlineStr">
        <is>
          <t>C</t>
        </is>
      </c>
      <c r="M86" s="8" t="inlineStr">
        <is>
          <t>À contacter</t>
        </is>
      </c>
      <c r="N86" s="8" t="inlineStr"/>
      <c r="O86" s="8" t="inlineStr"/>
    </row>
    <row r="87">
      <c r="A87" s="8" t="n">
        <v>86</v>
      </c>
      <c r="B87" s="13" t="inlineStr">
        <is>
          <t>Commune de Kolia</t>
        </is>
      </c>
      <c r="C87" s="8" t="inlineStr">
        <is>
          <t>Mairies &amp; acheteurs publics</t>
        </is>
      </c>
      <c r="D87" s="8" t="inlineStr">
        <is>
          <t>Intérieur</t>
        </is>
      </c>
      <c r="E87" s="8" t="inlineStr">
        <is>
          <t>Kolia</t>
        </is>
      </c>
      <c r="F87" s="8" t="inlineStr">
        <is>
          <t>Commune (acheteur prouvé)</t>
        </is>
      </c>
      <c r="G87" s="8" t="inlineStr">
        <is>
          <t>Chaises</t>
        </is>
      </c>
      <c r="H87" s="8" t="inlineStr">
        <is>
          <t>appel d'offres</t>
        </is>
      </c>
      <c r="I87" s="8" t="inlineStr">
        <is>
          <t>A acheté 2 500 chaises Malaga par appel d'offres (publié le 26/02/2026, attribué le 04/07/2026)</t>
        </is>
      </c>
      <c r="J87" s="14" t="inlineStr">
        <is>
          <t>https://ci.sangobids.com/tenders/cmn1eugg605e5oy0p56tguuyk/acquisition-de-deux-mille-cinq-cents-2500-chaises-malaga-pour-la-mairie-de-kolia</t>
        </is>
      </c>
      <c r="K87" s="15" t="inlineStr">
        <is>
          <t>Vérifié</t>
        </is>
      </c>
      <c r="L87" s="16" t="inlineStr">
        <is>
          <t>A</t>
        </is>
      </c>
      <c r="M87" s="8" t="inlineStr">
        <is>
          <t>À contacter</t>
        </is>
      </c>
      <c r="N87" s="8" t="inlineStr"/>
      <c r="O87" s="8" t="inlineStr"/>
    </row>
    <row r="88">
      <c r="A88" s="8" t="n">
        <v>87</v>
      </c>
      <c r="B88" s="13" t="inlineStr">
        <is>
          <t>Mairie de Zuénoula</t>
        </is>
      </c>
      <c r="C88" s="8" t="inlineStr">
        <is>
          <t>Mairies &amp; acheteurs publics</t>
        </is>
      </c>
      <c r="D88" s="8" t="inlineStr">
        <is>
          <t>Intérieur</t>
        </is>
      </c>
      <c r="E88" s="8" t="inlineStr">
        <is>
          <t>Zuénoula</t>
        </is>
      </c>
      <c r="F88" s="8" t="inlineStr">
        <is>
          <t>Commune (acheteur prouvé)</t>
        </is>
      </c>
      <c r="G88" s="8" t="inlineStr">
        <is>
          <t>Chaises, mobilier administratif</t>
        </is>
      </c>
      <c r="H88" s="8" t="inlineStr">
        <is>
          <t>appel d'offres</t>
        </is>
      </c>
      <c r="I88" s="8" t="inlineStr">
        <is>
          <t>Mobilier et 500 chaises, marché attribué le 10/06/2025</t>
        </is>
      </c>
      <c r="J88" s="14" t="inlineStr">
        <is>
          <t>https://ci.sangobids.com/tenders/cmmofphlj05v0o30pvsv6mfb9/ce-marche-porte-sur-l-equipement-en-mobilier-administratif-des-services-de-la-ma</t>
        </is>
      </c>
      <c r="K88" s="15" t="inlineStr">
        <is>
          <t>Vérifié</t>
        </is>
      </c>
      <c r="L88" s="16" t="inlineStr">
        <is>
          <t>B</t>
        </is>
      </c>
      <c r="M88" s="8" t="inlineStr">
        <is>
          <t>À contacter</t>
        </is>
      </c>
      <c r="N88" s="8" t="inlineStr"/>
      <c r="O88" s="8" t="inlineStr"/>
    </row>
    <row r="89">
      <c r="A89" s="8" t="n">
        <v>88</v>
      </c>
      <c r="B89" s="13" t="inlineStr">
        <is>
          <t>Commune de Bettié</t>
        </is>
      </c>
      <c r="C89" s="8" t="inlineStr">
        <is>
          <t>Mairies &amp; acheteurs publics</t>
        </is>
      </c>
      <c r="D89" s="8" t="inlineStr">
        <is>
          <t>Intérieur</t>
        </is>
      </c>
      <c r="E89" s="8" t="inlineStr">
        <is>
          <t>Bettié</t>
        </is>
      </c>
      <c r="F89" s="8" t="inlineStr">
        <is>
          <t>Commune (acheteur prouvé)</t>
        </is>
      </c>
      <c r="G89" s="8" t="inlineStr">
        <is>
          <t>Tables-bancs</t>
        </is>
      </c>
      <c r="H89" s="8" t="inlineStr">
        <is>
          <t>appel d'offres</t>
        </is>
      </c>
      <c r="I89" s="8" t="inlineStr">
        <is>
          <t>150 tables-bancs pour deux écoles (date limite 18/09/2026)</t>
        </is>
      </c>
      <c r="J89" s="14" t="inlineStr">
        <is>
          <t>https://marchespublics.ci/appel_offre</t>
        </is>
      </c>
      <c r="K89" s="15" t="inlineStr">
        <is>
          <t>Vérifié</t>
        </is>
      </c>
      <c r="L89" s="16" t="inlineStr">
        <is>
          <t>B</t>
        </is>
      </c>
      <c r="M89" s="8" t="inlineStr">
        <is>
          <t>À contacter</t>
        </is>
      </c>
      <c r="N89" s="8" t="inlineStr"/>
      <c r="O89" s="8" t="inlineStr"/>
    </row>
    <row r="90">
      <c r="A90" s="8" t="n">
        <v>89</v>
      </c>
      <c r="B90" s="13" t="inlineStr">
        <is>
          <t>DGMP, portail des marchés publics (SIGOMAP)</t>
        </is>
      </c>
      <c r="C90" s="8" t="inlineStr">
        <is>
          <t>Mairies &amp; acheteurs publics</t>
        </is>
      </c>
      <c r="D90" s="8" t="inlineStr">
        <is>
          <t>National</t>
        </is>
      </c>
      <c r="E90" s="8" t="inlineStr">
        <is>
          <t>Abidjan</t>
        </is>
      </c>
      <c r="F90" s="8" t="inlineStr">
        <is>
          <t>Veille des appels d'offres publics</t>
        </is>
      </c>
      <c r="G90" s="8" t="inlineStr">
        <is>
          <t>Mobilier, cuves, fosses</t>
        </is>
      </c>
      <c r="H90" s="8" t="inlineStr">
        <is>
          <t>info@marchespublics.gouv.ci ; 27 22 55 88 88</t>
        </is>
      </c>
      <c r="I90" s="8" t="inlineStr">
        <is>
          <t>S'inscrire pour recevoir les appels d'offres « chaises », « tables-bancs », « fosses »</t>
        </is>
      </c>
      <c r="J90" s="14" t="inlineStr">
        <is>
          <t>https://marchespublics.ci</t>
        </is>
      </c>
      <c r="K90" s="15" t="inlineStr">
        <is>
          <t>Vérifié</t>
        </is>
      </c>
      <c r="L90" s="16" t="inlineStr">
        <is>
          <t>A</t>
        </is>
      </c>
      <c r="M90" s="8" t="inlineStr">
        <is>
          <t>À contacter</t>
        </is>
      </c>
      <c r="N90" s="8" t="inlineStr"/>
      <c r="O90" s="8" t="inlineStr"/>
    </row>
  </sheetData>
  <autoFilter ref="A1:O90"/>
  <conditionalFormatting sqref="K2:K90">
    <cfRule type="expression" priority="1" dxfId="0">
      <formula>$K2="À vérifier"</formula>
    </cfRule>
    <cfRule type="expression" priority="2" dxfId="1">
      <formula>$K2="Vérifié"</formula>
    </cfRule>
  </conditionalFormatting>
  <conditionalFormatting sqref="L2:L90">
    <cfRule type="expression" priority="3" dxfId="2">
      <formula>$L2="A"</formula>
    </cfRule>
  </conditionalFormatting>
  <conditionalFormatting sqref="M2:M90">
    <cfRule type="expression" priority="4" dxfId="3">
      <formula>$M2="Revendeur ouvert"</formula>
    </cfRule>
  </conditionalFormatting>
  <dataValidations count="3">
    <dataValidation sqref="M2:M90" showDropDown="0" showInputMessage="0" showErrorMessage="0" allowBlank="1" type="list">
      <formula1>"À contacter,Contacté,RDV obtenu,Échantillon / devis,Revendeur ouvert,Pas intéressé,À recontacter"</formula1>
    </dataValidation>
    <dataValidation sqref="L2:L90" showDropDown="0" showInputMessage="0" showErrorMessage="0" allowBlank="1" type="list">
      <formula1>"A,B,C"</formula1>
    </dataValidation>
    <dataValidation sqref="K2:K90" showDropDown="0" showInputMessage="0" showErrorMessage="0" allowBlank="1" type="list">
      <formula1>"Vérifié,À vérifier"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904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28" customWidth="1" min="4" max="4"/>
    <col width="44" customWidth="1" min="5" max="5"/>
    <col width="20" customWidth="1" min="6" max="6"/>
  </cols>
  <sheetData>
    <row r="1">
      <c r="A1" s="17" t="inlineStr">
        <is>
          <t>Pôle</t>
        </is>
      </c>
      <c r="B1" s="17" t="inlineStr">
        <is>
          <t>Où</t>
        </is>
      </c>
      <c r="C1" s="17" t="inlineStr">
        <is>
          <t>Ce qu'on y vend</t>
        </is>
      </c>
      <c r="D1" s="17" t="inlineStr">
        <is>
          <t>Produits Taj Plast</t>
        </is>
      </c>
      <c r="E1" s="17" t="inlineStr">
        <is>
          <t>Source</t>
        </is>
      </c>
      <c r="F1" s="17" t="inlineStr">
        <is>
          <t>Certitude</t>
        </is>
      </c>
    </row>
    <row r="2">
      <c r="A2" s="8" t="inlineStr">
        <is>
          <t>Boulevard Nangui Abrogoua / route de Roxy</t>
        </is>
      </c>
      <c r="B2" s="8" t="inlineStr">
        <is>
          <t>Adjamé, entre la Mosquée et Roxy</t>
        </is>
      </c>
      <c r="C2" s="8" t="inlineStr">
        <is>
          <t>Articles ménagers, vaisselle, plastique</t>
        </is>
      </c>
      <c r="D2" s="8" t="inlineStr">
        <is>
          <t>Ménage, cuisine, rangement, bidons</t>
        </is>
      </c>
      <c r="E2" s="8" t="inlineStr">
        <is>
          <t>https://www.goafricaonline.com/ci/85633-mondial-menage-articles-menagers-abidjan-cote-ivoire</t>
        </is>
      </c>
      <c r="F2" s="8" t="inlineStr">
        <is>
          <t>Vérifié (plusieurs fiches)</t>
        </is>
      </c>
    </row>
    <row r="3">
      <c r="A3" s="8" t="inlineStr">
        <is>
          <t>Pôle Maternité Marie-Thérèse / 220 Logements</t>
        </is>
      </c>
      <c r="B3" s="8" t="inlineStr">
        <is>
          <t>Adjamé</t>
        </is>
      </c>
      <c r="C3" s="8" t="inlineStr">
        <is>
          <t>Quincaillerie, plomberie, matériaux</t>
        </is>
      </c>
      <c r="D3" s="8" t="inlineStr">
        <is>
          <t>Cuves, fosses, tube orange</t>
        </is>
      </c>
      <c r="E3" s="8" t="inlineStr">
        <is>
          <t>https://www.goafricaonline.com/ci/annuaire/quincailleries</t>
        </is>
      </c>
      <c r="F3" s="8" t="inlineStr">
        <is>
          <t>Vérifié (plusieurs fiches)</t>
        </is>
      </c>
    </row>
    <row r="4">
      <c r="A4" s="8" t="inlineStr">
        <is>
          <t>Forum des marchés d'Adjamé</t>
        </is>
      </c>
      <c r="B4" s="8" t="inlineStr">
        <is>
          <t>Adjamé</t>
        </is>
      </c>
      <c r="C4" s="8" t="inlineStr">
        <is>
          <t>Marché de gros multi-produits</t>
        </is>
      </c>
      <c r="D4" s="8" t="inlineStr">
        <is>
          <t>Ménage, mobilier</t>
        </is>
      </c>
      <c r="E4" s="8" t="inlineStr">
        <is>
          <t>https://mondafrique.com/societe/le-promoteur-du-plus-grand-marche-dafrique-de-louest-floue-par-les-commercants</t>
        </is>
      </c>
      <c r="F4" s="8" t="inlineStr">
        <is>
          <t>Vérifié (presse)</t>
        </is>
      </c>
    </row>
    <row r="5">
      <c r="A5" s="8" t="inlineStr">
        <is>
          <t>Black Market</t>
        </is>
      </c>
      <c r="B5" s="8" t="inlineStr">
        <is>
          <t>Adjamé, rue E10, quartier Mirador</t>
        </is>
      </c>
      <c r="C5" s="8" t="inlineStr">
        <is>
          <t>Revente, petits commerçants</t>
        </is>
      </c>
      <c r="D5" s="8" t="inlineStr">
        <is>
          <t>Ménage, tube orange</t>
        </is>
      </c>
      <c r="E5" s="8" t="inlineStr">
        <is>
          <t>https://www.goafricaonline.com/ci/annuaire/quincailleries</t>
        </is>
      </c>
      <c r="F5" s="8" t="inlineStr">
        <is>
          <t>À vérifier</t>
        </is>
      </c>
    </row>
    <row r="6">
      <c r="A6" s="8" t="inlineStr">
        <is>
          <t>Grand marché de Koumassi</t>
        </is>
      </c>
      <c r="B6" s="8" t="inlineStr">
        <is>
          <t>Koumassi, à côté de l'usine</t>
        </is>
      </c>
      <c r="C6" s="8" t="inlineStr">
        <is>
          <t>Articles en plastique</t>
        </is>
      </c>
      <c r="D6" s="8" t="inlineStr">
        <is>
          <t>Toute la gamme ménage</t>
        </is>
      </c>
      <c r="E6" s="8" t="inlineStr">
        <is>
          <t>https://www.goafricaonline.com/ci/593835-ok-plast-industrie-plastique-abidjan-cote-ivoire</t>
        </is>
      </c>
      <c r="F6" s="8" t="inlineStr">
        <is>
          <t>À vérifier</t>
        </is>
      </c>
    </row>
    <row r="8">
      <c r="A8" s="18" t="inlineStr">
        <is>
          <t>Aucune association de grossistes en plastique n'a été trouvée en ligne : la liste nominative d'Adjamé se construit sur le terrain, en remplissant l'onglet Cibles au fil de la tournée.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9040"/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Méthode</t>
        </is>
      </c>
    </row>
    <row r="2">
      <c r="A2" s="3" t="inlineStr">
        <is>
          <t>Sources : liste officielle des programmes immobiliers agréés (ministère de la Construction, version du 31/08/2026), sites des enseignes (Prosuma, Carrefour, Auchan, CFAO), annuaire Go Africa Online, presse ivoirienne 2023-2026 (Fraternité Matin, AIP, Abidjan.net, Koaci), portail des marchés publics et SangoBids.</t>
        </is>
      </c>
    </row>
    <row r="3">
      <c r="A3" s="3" t="inlineStr">
        <is>
          <t>Relevé fait le 27/10/2026. Chaque ligne de l'onglet Cibles porte son lien source.</t>
        </is>
      </c>
    </row>
    <row r="4">
      <c r="A4" s="3" t="inlineStr"/>
    </row>
    <row r="5">
      <c r="A5" s="4" t="inlineStr">
        <is>
          <t>Limites</t>
        </is>
      </c>
    </row>
    <row r="6">
      <c r="A6" s="3" t="inlineStr">
        <is>
          <t>• Aucun contact acheteur nominatif n'est public pour les chaînes : seul le standard Prosuma l'est. Les acheteurs se trouvent par appel au standard ou sur LinkedIn.</t>
        </is>
      </c>
    </row>
    <row r="7">
      <c r="A7" s="3" t="inlineStr">
        <is>
          <t>• Les grossistes d'Adjamé n'apparaissent que dans l'annuaire : ils restent « à vérifier » tant qu'un passage ne les a pas confirmés.</t>
        </is>
      </c>
    </row>
    <row r="8">
      <c r="A8" s="3" t="inlineStr">
        <is>
          <t>• Leader Price : on ne sait pas si l'enseigne existe encore depuis le rachat par CFAO en 2022.</t>
        </is>
      </c>
    </row>
    <row r="9">
      <c r="A9" s="3" t="inlineStr">
        <is>
          <t>• Plusieurs entreprises de la liste vendent déjà du plastique (Decorplast, OK Plast, KLJ) : revendeur possible ou concurrent, à qualifier.</t>
        </is>
      </c>
    </row>
    <row r="10">
      <c r="A10" s="3" t="inlineStr">
        <is>
          <t>• Concurrent repéré sur les cuves et fosses : « Tout pour le stockage » (toutpourlestockage-ci.com).</t>
        </is>
      </c>
    </row>
    <row r="11">
      <c r="A11" s="3" t="inlineStr"/>
    </row>
    <row r="12">
      <c r="A12" s="4" t="inlineStr">
        <is>
          <t>Ce qu'il manque pour aller plus loin</t>
        </is>
      </c>
    </row>
    <row r="13">
      <c r="A13" s="3" t="inlineStr">
        <is>
          <t>• La liste des revendeurs actuels de Taj Plast, pour retirer les doublons et repérer les villes non couvertes.</t>
        </is>
      </c>
    </row>
    <row r="14">
      <c r="A14" s="3" t="inlineStr">
        <is>
          <t>• Les produits phares par canal et la grille de prix revendeur, pour adapter l'angle à chaque catégorie.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2026-10-27T19:26:28Z</dcterms:created>
  <dcterms:modified xmlns:dcterms="http://purl.org/dc/terms/" xmlns:xsi="http://www.w3.org/2001/XMLSchema-instance" xsi:type="dcterms:W3CDTF">2026-10-27T19:26:28Z</dcterms:modified>
</cp:coreProperties>
</file>