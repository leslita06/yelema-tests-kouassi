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À lire" sheetId="1" state="visible" r:id="rId1"/>
    <sheet xmlns:r="http://schemas.openxmlformats.org/officeDocument/2006/relationships" name="Synthèse" sheetId="2" state="visible" r:id="rId2"/>
    <sheet xmlns:r="http://schemas.openxmlformats.org/officeDocument/2006/relationships" name="Paramètres" sheetId="3" state="visible" r:id="rId3"/>
    <sheet xmlns:r="http://schemas.openxmlformats.org/officeDocument/2006/relationships" name="Volumes mensuels" sheetId="4" state="visible" r:id="rId4"/>
    <sheet xmlns:r="http://schemas.openxmlformats.org/officeDocument/2006/relationships" name="Détection" sheetId="5" state="visible" r:id="rId5"/>
    <sheet xmlns:r="http://schemas.openxmlformats.org/officeDocument/2006/relationships" name="Plan d'action" sheetId="6" state="visible" r:id="rId6"/>
  </sheets>
  <definedNames>
    <definedName name="_xlnm._FilterDatabase" localSheetId="3" hidden="1">'Volumes mensuels'!$A$5:$AB$45</definedName>
    <definedName name="_xlnm._FilterDatabase" localSheetId="4" hidden="1">'Détection'!$A$5:$P$45</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quot; FCFA&quot;"/>
  </numFmts>
  <fonts count="19">
    <font>
      <name val="Calibri"/>
      <family val="2"/>
      <color theme="1"/>
      <sz val="11"/>
      <scheme val="minor"/>
    </font>
    <font>
      <name val="Outfit"/>
      <b val="1"/>
      <color rgb="00292929"/>
      <sz val="16"/>
    </font>
    <font>
      <name val="Inter"/>
      <b val="1"/>
      <color rgb="00FFFFFF"/>
      <sz val="10"/>
    </font>
    <font>
      <name val="Outfit"/>
      <b val="1"/>
      <color rgb="005856C6"/>
      <sz val="13"/>
    </font>
    <font>
      <name val="Inter"/>
      <color rgb="00292929"/>
      <sz val="10"/>
    </font>
    <font>
      <name val="Inter"/>
      <b val="1"/>
      <color rgb="00292929"/>
      <sz val="10"/>
    </font>
    <font>
      <name val="Inter"/>
      <i val="1"/>
      <color rgb="005C5C5C"/>
      <sz val="10"/>
    </font>
    <font>
      <name val="Inter"/>
      <b val="1"/>
      <sz val="10"/>
    </font>
    <font>
      <name val="Inter"/>
      <b val="1"/>
      <color rgb="005856C6"/>
      <sz val="10"/>
    </font>
    <font>
      <name val="Inter"/>
      <i val="1"/>
      <color rgb="005C5C5C"/>
      <sz val="9"/>
    </font>
    <font>
      <name val="Inter"/>
      <sz val="10"/>
    </font>
    <font>
      <name val="Inter"/>
      <b val="1"/>
      <color rgb="00FFFFFF"/>
    </font>
    <font>
      <name val="Inter"/>
      <b val="1"/>
      <color rgb="00292929"/>
      <sz val="11"/>
    </font>
    <font>
      <name val="Inter"/>
      <b val="1"/>
    </font>
    <font>
      <name val="Inter"/>
      <b val="1"/>
      <color rgb="005856C6"/>
    </font>
    <font>
      <name val="Inter"/>
      <b val="1"/>
      <color rgb="00292929"/>
    </font>
    <font>
      <name val="Inter"/>
      <b val="1"/>
      <color rgb="001E5B35"/>
    </font>
    <font>
      <name val="Outfit"/>
      <b val="1"/>
      <color rgb="00B42318"/>
      <sz val="13"/>
    </font>
    <font>
      <name val="Inter"/>
      <i val="1"/>
      <color rgb="00DC9248"/>
      <sz val="10"/>
    </font>
  </fonts>
  <fills count="10">
    <fill>
      <patternFill/>
    </fill>
    <fill>
      <patternFill patternType="gray125"/>
    </fill>
    <fill>
      <patternFill patternType="solid">
        <fgColor rgb="00FFFFFF"/>
      </patternFill>
    </fill>
    <fill>
      <patternFill patternType="solid">
        <fgColor rgb="00DC9248"/>
      </patternFill>
    </fill>
    <fill>
      <patternFill patternType="solid">
        <fgColor rgb="00EEF5FF"/>
      </patternFill>
    </fill>
    <fill>
      <patternFill patternType="solid">
        <fgColor rgb="00292929"/>
      </patternFill>
    </fill>
    <fill>
      <patternFill patternType="solid">
        <fgColor rgb="00F8F6F2"/>
      </patternFill>
    </fill>
    <fill>
      <patternFill patternType="solid">
        <fgColor rgb="00B42318"/>
      </patternFill>
    </fill>
    <fill>
      <patternFill patternType="solid">
        <fgColor rgb="00D1D0FF"/>
      </patternFill>
    </fill>
    <fill>
      <patternFill patternType="solid">
        <fgColor rgb="00DDF3E4"/>
      </patternFill>
    </fill>
  </fills>
  <borders count="2">
    <border>
      <left/>
      <right/>
      <top/>
      <bottom/>
      <diagonal/>
    </border>
    <border>
      <bottom style="thin">
        <color rgb="00E4E2DC"/>
      </bottom>
    </border>
  </borders>
  <cellStyleXfs count="1">
    <xf numFmtId="0" fontId="0" fillId="0" borderId="0"/>
  </cellStyleXfs>
  <cellXfs count="49">
    <xf numFmtId="0" fontId="0" fillId="0" borderId="0" pivotButton="0" quotePrefix="0" xfId="0"/>
    <xf numFmtId="0" fontId="0" fillId="2" borderId="0" pivotButton="0" quotePrefix="0" xfId="0"/>
    <xf numFmtId="0" fontId="1" fillId="2" borderId="0" pivotButton="0" quotePrefix="0" xfId="0"/>
    <xf numFmtId="0" fontId="2" fillId="3" borderId="0" pivotButton="0" quotePrefix="0" xfId="0"/>
    <xf numFmtId="0" fontId="0" fillId="3"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3" fillId="0" borderId="0" pivotButton="0" quotePrefix="0" xfId="0"/>
    <xf numFmtId="0" fontId="11" fillId="5" borderId="0" applyAlignment="1" pivotButton="0" quotePrefix="0" xfId="0">
      <alignment wrapText="1"/>
    </xf>
    <xf numFmtId="0" fontId="11" fillId="7" borderId="0" pivotButton="0" quotePrefix="0" xfId="0"/>
    <xf numFmtId="0" fontId="10" fillId="0" borderId="0" pivotButton="0" quotePrefix="0" xfId="0"/>
    <xf numFmtId="167" fontId="10" fillId="0" borderId="0" pivotButton="0" quotePrefix="0" xfId="0"/>
    <xf numFmtId="9" fontId="10" fillId="0" borderId="0" pivotButton="0" quotePrefix="0" xfId="0"/>
    <xf numFmtId="0" fontId="11" fillId="3" borderId="0" pivotButton="0" quotePrefix="0" xfId="0"/>
    <xf numFmtId="0" fontId="15" fillId="8" borderId="0" pivotButton="0" quotePrefix="0" xfId="0"/>
    <xf numFmtId="0" fontId="16" fillId="9" borderId="0" pivotButton="0" quotePrefix="0" xfId="0"/>
    <xf numFmtId="0" fontId="13" fillId="0" borderId="0" pivotButton="0" quotePrefix="0" xfId="0"/>
    <xf numFmtId="167" fontId="13" fillId="0" borderId="0" pivotButton="0" quotePrefix="0" xfId="0"/>
    <xf numFmtId="167" fontId="17" fillId="0" borderId="0" pivotButton="0" quotePrefix="0" xfId="0"/>
    <xf numFmtId="0" fontId="10" fillId="6" borderId="0" pivotButton="0" quotePrefix="0" xfId="0"/>
    <xf numFmtId="0" fontId="18" fillId="0" borderId="0" pivotButton="0" quotePrefix="0" xfId="0"/>
    <xf numFmtId="0" fontId="7" fillId="0" borderId="0" pivotButton="0" quotePrefix="0" xfId="0"/>
    <xf numFmtId="165" fontId="8" fillId="4" borderId="0" pivotButton="0" quotePrefix="0" xfId="0"/>
    <xf numFmtId="0" fontId="9" fillId="0" borderId="0" pivotButton="0" quotePrefix="0" xfId="0"/>
    <xf numFmtId="166" fontId="8" fillId="4" borderId="0" pivotButton="0" quotePrefix="0" xfId="0"/>
    <xf numFmtId="9" fontId="8" fillId="4" borderId="0" pivotButton="0" quotePrefix="0" xfId="0"/>
    <xf numFmtId="0" fontId="8" fillId="4" borderId="0" pivotButton="0" quotePrefix="0" xfId="0"/>
    <xf numFmtId="0" fontId="11" fillId="5" borderId="0" pivotButton="0" quotePrefix="0" xfId="0"/>
    <xf numFmtId="0" fontId="10" fillId="0" borderId="0" applyAlignment="1" pivotButton="0" quotePrefix="0" xfId="0">
      <alignment vertical="top" wrapText="1"/>
    </xf>
    <xf numFmtId="0" fontId="2" fillId="5" borderId="0" applyAlignment="1" pivotButton="0" quotePrefix="0" xfId="0">
      <alignment vertical="center" wrapText="1"/>
    </xf>
    <xf numFmtId="0" fontId="4" fillId="0" borderId="1" applyAlignment="1" pivotButton="0" quotePrefix="0" xfId="0">
      <alignment vertical="top" wrapText="1"/>
    </xf>
    <xf numFmtId="3" fontId="4" fillId="0" borderId="1" applyAlignment="1" pivotButton="0" quotePrefix="0" xfId="0">
      <alignment vertical="top" wrapText="1"/>
    </xf>
    <xf numFmtId="0" fontId="4" fillId="6" borderId="1" applyAlignment="1" pivotButton="0" quotePrefix="0" xfId="0">
      <alignment vertical="top" wrapText="1"/>
    </xf>
    <xf numFmtId="3" fontId="4" fillId="6" borderId="1" applyAlignment="1" pivotButton="0" quotePrefix="0" xfId="0">
      <alignment vertical="top" wrapText="1"/>
    </xf>
    <xf numFmtId="167" fontId="4" fillId="0" borderId="1" applyAlignment="1" pivotButton="0" quotePrefix="0" xfId="0">
      <alignment vertical="top" wrapText="1"/>
    </xf>
    <xf numFmtId="9" fontId="4" fillId="0" borderId="1" applyAlignment="1" pivotButton="0" quotePrefix="0" xfId="0">
      <alignment vertical="top" wrapText="1"/>
    </xf>
    <xf numFmtId="0" fontId="12" fillId="0" borderId="1" applyAlignment="1" pivotButton="0" quotePrefix="0" xfId="0">
      <alignment horizontal="center" vertical="top"/>
    </xf>
    <xf numFmtId="0" fontId="4" fillId="0" borderId="1" applyAlignment="1" pivotButton="0" quotePrefix="0" xfId="0">
      <alignment horizontal="center" vertical="top"/>
    </xf>
    <xf numFmtId="167" fontId="4" fillId="6" borderId="1" applyAlignment="1" pivotButton="0" quotePrefix="0" xfId="0">
      <alignment vertical="top" wrapText="1"/>
    </xf>
    <xf numFmtId="9" fontId="4" fillId="6" borderId="1" applyAlignment="1" pivotButton="0" quotePrefix="0" xfId="0">
      <alignment vertical="top" wrapText="1"/>
    </xf>
    <xf numFmtId="0" fontId="12" fillId="6" borderId="1" applyAlignment="1" pivotButton="0" quotePrefix="0" xfId="0">
      <alignment horizontal="center" vertical="top"/>
    </xf>
    <xf numFmtId="0" fontId="4" fillId="6" borderId="1" applyAlignment="1" pivotButton="0" quotePrefix="0" xfId="0">
      <alignment horizontal="center" vertical="top"/>
    </xf>
    <xf numFmtId="167" fontId="14" fillId="0" borderId="0" pivotButton="0" quotePrefix="0" xfId="0"/>
    <xf numFmtId="0" fontId="11" fillId="7" borderId="1" applyAlignment="1" pivotButton="0" quotePrefix="0" xfId="0">
      <alignment vertical="top" wrapText="1"/>
    </xf>
    <xf numFmtId="165" fontId="4" fillId="0" borderId="1" applyAlignment="1" pivotButton="0" quotePrefix="0" xfId="0">
      <alignment vertical="top" wrapText="1"/>
    </xf>
    <xf numFmtId="165" fontId="4" fillId="6" borderId="1" applyAlignment="1" pivotButton="0" quotePrefix="0" xfId="0">
      <alignment vertical="top" wrapText="1"/>
    </xf>
    <xf numFmtId="0" fontId="11" fillId="3" borderId="1" applyAlignment="1" pivotButton="0" quotePrefix="0" xfId="0">
      <alignment vertical="top" wrapText="1"/>
    </xf>
  </cellXfs>
  <cellStyles count="1">
    <cellStyle name="Normal" xfId="0" builtinId="0" hidden="0"/>
  </cellStyles>
  <dxfs count="7">
    <dxf>
      <font>
        <name val="Inter"/>
        <b val="1"/>
        <color rgb="00FFFFFF"/>
      </font>
      <fill>
        <patternFill patternType="solid">
          <fgColor rgb="00B42318"/>
        </patternFill>
      </fill>
    </dxf>
    <dxf>
      <font>
        <name val="Inter"/>
        <b val="1"/>
        <color rgb="00FFFFFF"/>
      </font>
      <fill>
        <patternFill patternType="solid">
          <fgColor rgb="00DC9248"/>
        </patternFill>
      </fill>
    </dxf>
    <dxf>
      <font>
        <name val="Inter"/>
        <b val="1"/>
        <color rgb="00292929"/>
      </font>
      <fill>
        <patternFill patternType="solid">
          <fgColor rgb="00D1D0FF"/>
        </patternFill>
      </fill>
    </dxf>
    <dxf>
      <font>
        <name val="Inter"/>
        <b val="1"/>
        <color rgb="001E5B35"/>
      </font>
      <fill>
        <patternFill patternType="solid">
          <fgColor rgb="00DDF3E4"/>
        </patternFill>
      </fill>
    </dxf>
    <dxf>
      <font>
        <b val="1"/>
        <color rgb="00B42318"/>
      </font>
    </dxf>
    <dxf>
      <fill>
        <patternFill patternType="solid">
          <fgColor rgb="00DDF3E4"/>
        </patternFill>
      </fill>
    </dxf>
    <dxf>
      <fill>
        <patternFill patternType="solid">
          <fgColor rgb="00FBE9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0</row>
      <rowOff>0</rowOff>
    </from>
    <ext cx="1190625" cy="304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190625" cy="304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1190625" cy="304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1190625" cy="304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1190625" cy="304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1190625" cy="304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DC9248"/>
    <outlinePr summaryBelow="1" summaryRight="1"/>
    <pageSetUpPr/>
  </sheetPr>
  <dimension ref="A1:D23"/>
  <sheetViews>
    <sheetView showGridLines="0" workbookViewId="0">
      <selection activeCell="A1" sqref="A1"/>
    </sheetView>
  </sheetViews>
  <sheetFormatPr baseColWidth="8" defaultRowHeight="15"/>
  <cols>
    <col width="30" customWidth="1" min="1" max="1"/>
    <col width="100" customWidth="1" min="2" max="2"/>
  </cols>
  <sheetData>
    <row r="1" ht="34" customHeight="1">
      <c r="A1" s="1" t="n"/>
      <c r="B1" s="1" t="n"/>
      <c r="C1" s="2" t="inlineStr">
        <is>
          <t>Détecter les clients qui partent vers Wave Business</t>
        </is>
      </c>
      <c r="D1" s="1" t="n"/>
    </row>
    <row r="2">
      <c r="A2" s="3" t="inlineStr">
        <is>
          <t>FICTIF : clients, volumes et incidents inventés pour illustrer la méthode. Aucun nom, montant ni date ne vient de Julaya.</t>
        </is>
      </c>
      <c r="B2" s="4" t="n"/>
      <c r="C2" s="4" t="n"/>
      <c r="D2" s="4" t="n"/>
    </row>
    <row r="4">
      <c r="A4" s="5" t="inlineStr">
        <is>
          <t>Ce que fait ce tableau</t>
        </is>
      </c>
      <c r="B4" s="6" t="inlineStr"/>
    </row>
    <row r="5">
      <c r="A5" s="7" t="inlineStr">
        <is>
          <t>Le but</t>
        </is>
      </c>
      <c r="B5" s="6" t="inlineStr">
        <is>
          <t>Repérer chaque mois, à partir des volumes payés, les clients qui commencent à faire passer une partie de leurs paiements ailleurs, Wave Business en tête, avant qu'ils ne partent tout à fait.</t>
        </is>
      </c>
    </row>
    <row r="6">
      <c r="A6" s="7" t="inlineStr">
        <is>
          <t>Le premier signe</t>
        </is>
      </c>
      <c r="B6" s="6" t="inlineStr">
        <is>
          <t>Un client qui teste Wave déplace d'abord ses paiements vers des portefeuilles Wave (salaires, journaliers), puis le reste. Une baisse des flux vers Wave alors que le volume total tient, c'est l'alerte la plus précoce.</t>
        </is>
      </c>
    </row>
    <row r="7">
      <c r="A7" s="7" t="inlineStr"/>
      <c r="B7" s="6" t="inlineStr"/>
    </row>
    <row r="8">
      <c r="A8" s="5" t="inlineStr">
        <is>
          <t>Les onglets</t>
        </is>
      </c>
      <c r="B8" s="6" t="inlineStr"/>
    </row>
    <row r="9">
      <c r="A9" s="7" t="inlineStr">
        <is>
          <t>Volumes mensuels</t>
        </is>
      </c>
      <c r="B9" s="6" t="inlineStr">
        <is>
          <t>L'export à coller chaque mois : un client par ligne, volume total payé, volume vers des portefeuilles Wave et nombre de bénéficiaires sur six mois, plus quelques informations de compte. C'est le seul onglet à remplir.</t>
        </is>
      </c>
    </row>
    <row r="10">
      <c r="A10" s="7" t="inlineStr">
        <is>
          <t>Détection</t>
        </is>
      </c>
      <c r="B10" s="6" t="inlineStr">
        <is>
          <t>Se calcule seul : les trois baisses, le score de risque de 0 à 100, le niveau, le signal principal, l'action recommandée et le revenu annuel en jeu.</t>
        </is>
      </c>
    </row>
    <row r="11">
      <c r="A11" s="7" t="inlineStr">
        <is>
          <t>Plan d'action</t>
        </is>
      </c>
      <c r="B11" s="6" t="inlineStr">
        <is>
          <t>Les comptes critiques et élevés du mois, avec la personne qui agit, la date limite, le premier message en brouillon et les colonnes de suivi.</t>
        </is>
      </c>
    </row>
    <row r="12">
      <c r="A12" s="7" t="inlineStr">
        <is>
          <t>Synthèse</t>
        </is>
      </c>
      <c r="B12" s="6" t="inlineStr">
        <is>
          <t>Le nombre de comptes et le revenu en jeu par niveau, les signaux qui reviennent, la répartition par secteur.</t>
        </is>
      </c>
    </row>
    <row r="13">
      <c r="A13" s="7" t="inlineStr">
        <is>
          <t>Paramètres</t>
        </is>
      </c>
      <c r="B13" s="6" t="inlineStr">
        <is>
          <t>Les seuils et les points du score. Les changer met tout le tableau à jour.</t>
        </is>
      </c>
    </row>
    <row r="14">
      <c r="A14" s="7" t="inlineStr"/>
      <c r="B14" s="6" t="inlineStr"/>
    </row>
    <row r="15">
      <c r="A15" s="5" t="inlineStr">
        <is>
          <t>Le score, en clair</t>
        </is>
      </c>
      <c r="B15" s="6" t="inlineStr"/>
    </row>
    <row r="16">
      <c r="A16" s="7" t="inlineStr">
        <is>
          <t>Baisse du volume total</t>
        </is>
      </c>
      <c r="B16" s="6" t="inlineStr">
        <is>
          <t>Moyenne juil.-sept. comparée à avr.-juin. 35 points si la baisse atteint 40%, 25 si 20 %, 12 si 10 %.</t>
        </is>
      </c>
    </row>
    <row r="17">
      <c r="A17" s="7" t="inlineStr">
        <is>
          <t>Baisse des flux vers Wave</t>
        </is>
      </c>
      <c r="B17" s="6" t="inlineStr">
        <is>
          <t>Septembre comparé à la moyenne avr.-juin. 25 points dès 50 %, 15 dès 25 %.</t>
        </is>
      </c>
    </row>
    <row r="18">
      <c r="A18" s="7" t="inlineStr">
        <is>
          <t>Jours sans lot de paiement</t>
        </is>
      </c>
      <c r="B18" s="6" t="inlineStr">
        <is>
          <t>15 points au-delà de 21 jours, 8 au-delà de 10 jours.</t>
        </is>
      </c>
    </row>
    <row r="19">
      <c r="A19" s="7" t="inlineStr">
        <is>
          <t>Autres signaux</t>
        </is>
      </c>
      <c r="B19" s="6" t="inlineStr">
        <is>
          <t>Bénéficiaires en baisse de 30 % ou plus : 10 points. Réclamation sur les 90 derniers jours : 10. Aucune intégration (ni API ni export comptable) : 5. Pas de contrat annuel : 5.</t>
        </is>
      </c>
    </row>
    <row r="20">
      <c r="A20" s="7" t="inlineStr">
        <is>
          <t>Les niveaux</t>
        </is>
      </c>
      <c r="B20" s="6" t="inlineStr">
        <is>
          <t>Critique à partir de 60, élevé à partir de 40, à surveiller à partir de 20, sain en dessous. Un client marqué « activité saisonnière » ne dépasse pas « à surveiller » : sa baisse est attendue.</t>
        </is>
      </c>
    </row>
    <row r="21">
      <c r="A21" s="7" t="inlineStr">
        <is>
          <t>Revenu annuel en jeu</t>
        </is>
      </c>
      <c r="B21" s="6" t="inlineStr">
        <is>
          <t>Volume mensuel moyen avr.-juin × taux de commission × 12. Le taux de 0.9% est une hypothèse fictive, à remplacer par le taux moyen réel de Julaya dans les Paramètres.</t>
        </is>
      </c>
    </row>
    <row r="22">
      <c r="A22" s="7" t="inlineStr"/>
      <c r="B22" s="6" t="inlineStr"/>
    </row>
    <row r="23">
      <c r="A23" s="7" t="inlineStr">
        <is>
          <t>Ce qui ne part jamais sans accord</t>
        </is>
      </c>
      <c r="B23" s="6" t="inlineStr">
        <is>
          <t>Tout message à un client avant validation ; toute remise, alignement tarifaire ou condition particulière, décidés par la direction de Julaya. Une condition accordée à un client ne se cite pas à un autre.</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292929"/>
    <outlinePr summaryBelow="1" summaryRight="1"/>
    <pageSetUpPr/>
  </sheetPr>
  <dimension ref="A1:E45"/>
  <sheetViews>
    <sheetView showGridLines="0" workbookViewId="0">
      <selection activeCell="A1" sqref="A1"/>
    </sheetView>
  </sheetViews>
  <sheetFormatPr baseColWidth="8" defaultRowHeight="15"/>
  <cols>
    <col width="34" customWidth="1" min="1" max="1"/>
    <col width="14" customWidth="1" min="2" max="2"/>
    <col width="20" customWidth="1" min="3" max="3"/>
    <col width="16" customWidth="1" min="4" max="4"/>
    <col width="40" customWidth="1" min="5" max="5"/>
  </cols>
  <sheetData>
    <row r="1" ht="34" customHeight="1">
      <c r="A1" s="1" t="n"/>
      <c r="B1" s="1" t="n"/>
      <c r="C1" s="2" t="inlineStr">
        <is>
          <t>Synthèse du mois</t>
        </is>
      </c>
      <c r="D1" s="1" t="n"/>
      <c r="E1" s="1" t="n"/>
    </row>
    <row r="2">
      <c r="A2" s="3" t="inlineStr">
        <is>
          <t>FICTIF : clients, volumes et incidents inventés pour illustrer la méthode. Aucun nom, montant ni date ne vient de Julaya.</t>
        </is>
      </c>
      <c r="B2" s="4" t="n"/>
      <c r="C2" s="4" t="n"/>
      <c r="D2" s="4" t="n"/>
      <c r="E2" s="4" t="n"/>
    </row>
    <row r="3">
      <c r="A3" s="8" t="inlineStr">
        <is>
          <t>Se calcule seule à partir de l'onglet Détection.</t>
        </is>
      </c>
    </row>
    <row r="5">
      <c r="A5" s="9" t="inlineStr">
        <is>
          <t>Par niveau de risque</t>
        </is>
      </c>
    </row>
    <row r="6">
      <c r="A6" s="10" t="inlineStr">
        <is>
          <t>Niveau</t>
        </is>
      </c>
      <c r="B6" s="10" t="inlineStr">
        <is>
          <t>Clients</t>
        </is>
      </c>
      <c r="C6" s="10" t="inlineStr">
        <is>
          <t>Revenu annuel en jeu</t>
        </is>
      </c>
      <c r="D6" s="10" t="inlineStr">
        <is>
          <t>Part du revenu</t>
        </is>
      </c>
      <c r="E6" s="10" t="inlineStr">
        <is>
          <t>Ce qu'on fait</t>
        </is>
      </c>
    </row>
    <row r="7">
      <c r="A7" s="11" t="inlineStr">
        <is>
          <t>Critique</t>
        </is>
      </c>
      <c r="B7" s="12">
        <f>COUNTIF('Détection'!M6:M45,A7)</f>
        <v/>
      </c>
      <c r="C7" s="13">
        <f>SUMIF('Détection'!M6:M45,A7,'Détection'!O6:O45)</f>
        <v/>
      </c>
      <c r="D7" s="14">
        <f>C7/C11</f>
        <v/>
      </c>
      <c r="E7" s="12" t="inlineStr">
        <is>
          <t>Directeur commercial, sous 48 h</t>
        </is>
      </c>
    </row>
    <row r="8">
      <c r="A8" s="15" t="inlineStr">
        <is>
          <t>Élevé</t>
        </is>
      </c>
      <c r="B8" s="12">
        <f>COUNTIF('Détection'!M6:M45,A8)</f>
        <v/>
      </c>
      <c r="C8" s="13">
        <f>SUMIF('Détection'!M6:M45,A8,'Détection'!O6:O45)</f>
        <v/>
      </c>
      <c r="D8" s="14">
        <f>C8/C11</f>
        <v/>
      </c>
      <c r="E8" s="12" t="inlineStr">
        <is>
          <t>Chargé de compte, sous 7 jours</t>
        </is>
      </c>
    </row>
    <row r="9">
      <c r="A9" s="16" t="inlineStr">
        <is>
          <t>À surveiller</t>
        </is>
      </c>
      <c r="B9" s="12">
        <f>COUNTIF('Détection'!M6:M45,A9)</f>
        <v/>
      </c>
      <c r="C9" s="13">
        <f>SUMIF('Détection'!M6:M45,A9,'Détection'!O6:O45)</f>
        <v/>
      </c>
      <c r="D9" s="14">
        <f>C9/C11</f>
        <v/>
      </c>
      <c r="E9" s="12" t="inlineStr">
        <is>
          <t>Revu au prochain export</t>
        </is>
      </c>
    </row>
    <row r="10">
      <c r="A10" s="17" t="inlineStr">
        <is>
          <t>Sain</t>
        </is>
      </c>
      <c r="B10" s="12">
        <f>COUNTIF('Détection'!M6:M45,A10)</f>
        <v/>
      </c>
      <c r="C10" s="13">
        <f>SUMIF('Détection'!M6:M45,A10,'Détection'!O6:O45)</f>
        <v/>
      </c>
      <c r="D10" s="14">
        <f>C10/C11</f>
        <v/>
      </c>
      <c r="E10" s="12" t="inlineStr">
        <is>
          <t>Rien ce mois-ci</t>
        </is>
      </c>
    </row>
    <row r="11">
      <c r="A11" s="18" t="inlineStr">
        <is>
          <t>Total</t>
        </is>
      </c>
      <c r="B11" s="18">
        <f>SUM(B7:B10)</f>
        <v/>
      </c>
      <c r="C11" s="19">
        <f>SUM(C7:C10)</f>
        <v/>
      </c>
    </row>
    <row r="13">
      <c r="A13" s="18" t="inlineStr">
        <is>
          <t>Revenu annuel en jeu sur les comptes critiques et élevés</t>
        </is>
      </c>
      <c r="C13" s="20">
        <f>C7+C8</f>
        <v/>
      </c>
    </row>
    <row r="15">
      <c r="A15" s="9" t="inlineStr">
        <is>
          <t>Signal principal (comptes non sains)</t>
        </is>
      </c>
    </row>
    <row r="16">
      <c r="A16" s="10" t="inlineStr">
        <is>
          <t>Signal</t>
        </is>
      </c>
      <c r="B16" s="10" t="inlineStr">
        <is>
          <t>Clients</t>
        </is>
      </c>
      <c r="C16" s="10" t="inlineStr">
        <is>
          <t>Revenu annuel en jeu</t>
        </is>
      </c>
    </row>
    <row r="17">
      <c r="A17" s="12" t="inlineStr">
        <is>
          <t>Départ en cours</t>
        </is>
      </c>
      <c r="B17" s="12">
        <f>COUNTIF('Détection'!N6:N45,A17)</f>
        <v/>
      </c>
      <c r="C17" s="13">
        <f>SUMIF('Détection'!N6:N45,A17,'Détection'!O6:O45)</f>
        <v/>
      </c>
    </row>
    <row r="18">
      <c r="A18" s="12" t="inlineStr">
        <is>
          <t>Flux Wave qui partent</t>
        </is>
      </c>
      <c r="B18" s="12">
        <f>COUNTIF('Détection'!N6:N45,A18)</f>
        <v/>
      </c>
      <c r="C18" s="13">
        <f>SUMIF('Détection'!N6:N45,A18,'Détection'!O6:O45)</f>
        <v/>
      </c>
    </row>
    <row r="19">
      <c r="A19" s="12" t="inlineStr">
        <is>
          <t>Incident non soldé</t>
        </is>
      </c>
      <c r="B19" s="12">
        <f>COUNTIF('Détection'!N6:N45,A19)</f>
        <v/>
      </c>
      <c r="C19" s="13">
        <f>SUMIF('Détection'!N6:N45,A19,'Détection'!O6:O45)</f>
        <v/>
      </c>
    </row>
    <row r="20">
      <c r="A20" s="12" t="inlineStr">
        <is>
          <t>Baisse saisonnière probable</t>
        </is>
      </c>
      <c r="B20" s="12">
        <f>COUNTIF('Détection'!N6:N45,A20)</f>
        <v/>
      </c>
      <c r="C20" s="13">
        <f>SUMIF('Détection'!N6:N45,A20,'Détection'!O6:O45)</f>
        <v/>
      </c>
    </row>
    <row r="21">
      <c r="A21" s="12" t="inlineStr">
        <is>
          <t>Baisse de volume</t>
        </is>
      </c>
      <c r="B21" s="12">
        <f>COUNTIF('Détection'!N6:N45,A21)</f>
        <v/>
      </c>
      <c r="C21" s="13">
        <f>SUMIF('Détection'!N6:N45,A21,'Détection'!O6:O45)</f>
        <v/>
      </c>
    </row>
    <row r="23">
      <c r="A23" s="9" t="inlineStr">
        <is>
          <t>Par secteur</t>
        </is>
      </c>
    </row>
    <row r="24">
      <c r="A24" s="10" t="inlineStr">
        <is>
          <t>Secteur</t>
        </is>
      </c>
      <c r="B24" s="10" t="inlineStr">
        <is>
          <t>Clients</t>
        </is>
      </c>
      <c r="C24" s="10" t="inlineStr">
        <is>
          <t>Dont critiques ou élevés</t>
        </is>
      </c>
      <c r="D24" s="10" t="inlineStr">
        <is>
          <t>Score moyen</t>
        </is>
      </c>
    </row>
    <row r="25">
      <c r="A25" s="21" t="inlineStr">
        <is>
          <t>Agro-industrie</t>
        </is>
      </c>
      <c r="B25" s="21">
        <f>COUNTIF('Détection'!D6:D45,A25)</f>
        <v/>
      </c>
      <c r="C25" s="21">
        <f>COUNTIFS('Détection'!D6:D45,A25,'Détection'!M6:M45,"Critique")+COUNTIFS('Détection'!D6:D45,A25,'Détection'!M6:M45,"Élevé")</f>
        <v/>
      </c>
      <c r="D25" s="21">
        <f>ROUND(AVERAGEIF('Détection'!D6:D45,A25,'Détection'!L6:L45),0)</f>
        <v/>
      </c>
    </row>
    <row r="26">
      <c r="A26" s="12" t="inlineStr">
        <is>
          <t>Assurance</t>
        </is>
      </c>
      <c r="B26" s="12">
        <f>COUNTIF('Détection'!D6:D45,A26)</f>
        <v/>
      </c>
      <c r="C26" s="12">
        <f>COUNTIFS('Détection'!D6:D45,A26,'Détection'!M6:M45,"Critique")+COUNTIFS('Détection'!D6:D45,A26,'Détection'!M6:M45,"Élevé")</f>
        <v/>
      </c>
      <c r="D26" s="12">
        <f>ROUND(AVERAGEIF('Détection'!D6:D45,A26,'Détection'!L6:L45),0)</f>
        <v/>
      </c>
    </row>
    <row r="27">
      <c r="A27" s="21" t="inlineStr">
        <is>
          <t>BTP</t>
        </is>
      </c>
      <c r="B27" s="21">
        <f>COUNTIF('Détection'!D6:D45,A27)</f>
        <v/>
      </c>
      <c r="C27" s="21">
        <f>COUNTIFS('Détection'!D6:D45,A27,'Détection'!M6:M45,"Critique")+COUNTIFS('Détection'!D6:D45,A27,'Détection'!M6:M45,"Élevé")</f>
        <v/>
      </c>
      <c r="D27" s="21">
        <f>ROUND(AVERAGEIF('Détection'!D6:D45,A27,'Détection'!L6:L45),0)</f>
        <v/>
      </c>
    </row>
    <row r="28">
      <c r="A28" s="12" t="inlineStr">
        <is>
          <t>Distribution</t>
        </is>
      </c>
      <c r="B28" s="12">
        <f>COUNTIF('Détection'!D6:D45,A28)</f>
        <v/>
      </c>
      <c r="C28" s="12">
        <f>COUNTIFS('Détection'!D6:D45,A28,'Détection'!M6:M45,"Critique")+COUNTIFS('Détection'!D6:D45,A28,'Détection'!M6:M45,"Élevé")</f>
        <v/>
      </c>
      <c r="D28" s="12">
        <f>ROUND(AVERAGEIF('Détection'!D6:D45,A28,'Détection'!L6:L45),0)</f>
        <v/>
      </c>
    </row>
    <row r="29">
      <c r="A29" s="21" t="inlineStr">
        <is>
          <t>Hôtellerie</t>
        </is>
      </c>
      <c r="B29" s="21">
        <f>COUNTIF('Détection'!D6:D45,A29)</f>
        <v/>
      </c>
      <c r="C29" s="21">
        <f>COUNTIFS('Détection'!D6:D45,A29,'Détection'!M6:M45,"Critique")+COUNTIFS('Détection'!D6:D45,A29,'Détection'!M6:M45,"Élevé")</f>
        <v/>
      </c>
      <c r="D29" s="21">
        <f>ROUND(AVERAGEIF('Détection'!D6:D45,A29,'Détection'!L6:L45),0)</f>
        <v/>
      </c>
    </row>
    <row r="30">
      <c r="A30" s="12" t="inlineStr">
        <is>
          <t>Immobilier</t>
        </is>
      </c>
      <c r="B30" s="12">
        <f>COUNTIF('Détection'!D6:D45,A30)</f>
        <v/>
      </c>
      <c r="C30" s="12">
        <f>COUNTIFS('Détection'!D6:D45,A30,'Détection'!M6:M45,"Critique")+COUNTIFS('Détection'!D6:D45,A30,'Détection'!M6:M45,"Élevé")</f>
        <v/>
      </c>
      <c r="D30" s="12">
        <f>ROUND(AVERAGEIF('Détection'!D6:D45,A30,'Détection'!L6:L45),0)</f>
        <v/>
      </c>
    </row>
    <row r="31">
      <c r="A31" s="21" t="inlineStr">
        <is>
          <t>Industrie</t>
        </is>
      </c>
      <c r="B31" s="21">
        <f>COUNTIF('Détection'!D6:D45,A31)</f>
        <v/>
      </c>
      <c r="C31" s="21">
        <f>COUNTIFS('Détection'!D6:D45,A31,'Détection'!M6:M45,"Critique")+COUNTIFS('Détection'!D6:D45,A31,'Détection'!M6:M45,"Élevé")</f>
        <v/>
      </c>
      <c r="D31" s="21">
        <f>ROUND(AVERAGEIF('Détection'!D6:D45,A31,'Détection'!L6:L45),0)</f>
        <v/>
      </c>
    </row>
    <row r="32">
      <c r="A32" s="12" t="inlineStr">
        <is>
          <t>Microfinance</t>
        </is>
      </c>
      <c r="B32" s="12">
        <f>COUNTIF('Détection'!D6:D45,A32)</f>
        <v/>
      </c>
      <c r="C32" s="12">
        <f>COUNTIFS('Détection'!D6:D45,A32,'Détection'!M6:M45,"Critique")+COUNTIFS('Détection'!D6:D45,A32,'Détection'!M6:M45,"Élevé")</f>
        <v/>
      </c>
      <c r="D32" s="12">
        <f>ROUND(AVERAGEIF('Détection'!D6:D45,A32,'Détection'!L6:L45),0)</f>
        <v/>
      </c>
    </row>
    <row r="33">
      <c r="A33" s="21" t="inlineStr">
        <is>
          <t>ONG / bailleurs</t>
        </is>
      </c>
      <c r="B33" s="21">
        <f>COUNTIF('Détection'!D6:D45,A33)</f>
        <v/>
      </c>
      <c r="C33" s="21">
        <f>COUNTIFS('Détection'!D6:D45,A33,'Détection'!M6:M45,"Critique")+COUNTIFS('Détection'!D6:D45,A33,'Détection'!M6:M45,"Élevé")</f>
        <v/>
      </c>
      <c r="D33" s="21">
        <f>ROUND(AVERAGEIF('Détection'!D6:D45,A33,'Détection'!L6:L45),0)</f>
        <v/>
      </c>
    </row>
    <row r="34">
      <c r="A34" s="12" t="inlineStr">
        <is>
          <t>Restauration</t>
        </is>
      </c>
      <c r="B34" s="12">
        <f>COUNTIF('Détection'!D6:D45,A34)</f>
        <v/>
      </c>
      <c r="C34" s="12">
        <f>COUNTIFS('Détection'!D6:D45,A34,'Détection'!M6:M45,"Critique")+COUNTIFS('Détection'!D6:D45,A34,'Détection'!M6:M45,"Élevé")</f>
        <v/>
      </c>
      <c r="D34" s="12">
        <f>ROUND(AVERAGEIF('Détection'!D6:D45,A34,'Détection'!L6:L45),0)</f>
        <v/>
      </c>
    </row>
    <row r="35">
      <c r="A35" s="21" t="inlineStr">
        <is>
          <t>Santé</t>
        </is>
      </c>
      <c r="B35" s="21">
        <f>COUNTIF('Détection'!D6:D45,A35)</f>
        <v/>
      </c>
      <c r="C35" s="21">
        <f>COUNTIFS('Détection'!D6:D45,A35,'Détection'!M6:M45,"Critique")+COUNTIFS('Détection'!D6:D45,A35,'Détection'!M6:M45,"Élevé")</f>
        <v/>
      </c>
      <c r="D35" s="21">
        <f>ROUND(AVERAGEIF('Détection'!D6:D45,A35,'Détection'!L6:L45),0)</f>
        <v/>
      </c>
    </row>
    <row r="36">
      <c r="A36" s="12" t="inlineStr">
        <is>
          <t>Services aux entreprises</t>
        </is>
      </c>
      <c r="B36" s="12">
        <f>COUNTIF('Détection'!D6:D45,A36)</f>
        <v/>
      </c>
      <c r="C36" s="12">
        <f>COUNTIFS('Détection'!D6:D45,A36,'Détection'!M6:M45,"Critique")+COUNTIFS('Détection'!D6:D45,A36,'Détection'!M6:M45,"Élevé")</f>
        <v/>
      </c>
      <c r="D36" s="12">
        <f>ROUND(AVERAGEIF('Détection'!D6:D45,A36,'Détection'!L6:L45),0)</f>
        <v/>
      </c>
    </row>
    <row r="37">
      <c r="A37" s="21" t="inlineStr">
        <is>
          <t>Sécurité privée</t>
        </is>
      </c>
      <c r="B37" s="21">
        <f>COUNTIF('Détection'!D6:D45,A37)</f>
        <v/>
      </c>
      <c r="C37" s="21">
        <f>COUNTIFS('Détection'!D6:D45,A37,'Détection'!M6:M45,"Critique")+COUNTIFS('Détection'!D6:D45,A37,'Détection'!M6:M45,"Élevé")</f>
        <v/>
      </c>
      <c r="D37" s="21">
        <f>ROUND(AVERAGEIF('Détection'!D6:D45,A37,'Détection'!L6:L45),0)</f>
        <v/>
      </c>
    </row>
    <row r="38">
      <c r="A38" s="12" t="inlineStr">
        <is>
          <t>Technologie</t>
        </is>
      </c>
      <c r="B38" s="12">
        <f>COUNTIF('Détection'!D6:D45,A38)</f>
        <v/>
      </c>
      <c r="C38" s="12">
        <f>COUNTIFS('Détection'!D6:D45,A38,'Détection'!M6:M45,"Critique")+COUNTIFS('Détection'!D6:D45,A38,'Détection'!M6:M45,"Élevé")</f>
        <v/>
      </c>
      <c r="D38" s="12">
        <f>ROUND(AVERAGEIF('Détection'!D6:D45,A38,'Détection'!L6:L45),0)</f>
        <v/>
      </c>
    </row>
    <row r="39">
      <c r="A39" s="21" t="inlineStr">
        <is>
          <t>Transport / logistique</t>
        </is>
      </c>
      <c r="B39" s="21">
        <f>COUNTIF('Détection'!D6:D45,A39)</f>
        <v/>
      </c>
      <c r="C39" s="21">
        <f>COUNTIFS('Détection'!D6:D45,A39,'Détection'!M6:M45,"Critique")+COUNTIFS('Détection'!D6:D45,A39,'Détection'!M6:M45,"Élevé")</f>
        <v/>
      </c>
      <c r="D39" s="21">
        <f>ROUND(AVERAGEIF('Détection'!D6:D45,A39,'Détection'!L6:L45),0)</f>
        <v/>
      </c>
    </row>
    <row r="40">
      <c r="A40" s="12" t="inlineStr">
        <is>
          <t>Télécoms / services</t>
        </is>
      </c>
      <c r="B40" s="12">
        <f>COUNTIF('Détection'!D6:D45,A40)</f>
        <v/>
      </c>
      <c r="C40" s="12">
        <f>COUNTIFS('Détection'!D6:D45,A40,'Détection'!M6:M45,"Critique")+COUNTIFS('Détection'!D6:D45,A40,'Détection'!M6:M45,"Élevé")</f>
        <v/>
      </c>
      <c r="D40" s="12">
        <f>ROUND(AVERAGEIF('Détection'!D6:D45,A40,'Détection'!L6:L45),0)</f>
        <v/>
      </c>
    </row>
    <row r="41">
      <c r="A41" s="21" t="inlineStr">
        <is>
          <t>Éducation</t>
        </is>
      </c>
      <c r="B41" s="21">
        <f>COUNTIF('Détection'!D6:D45,A41)</f>
        <v/>
      </c>
      <c r="C41" s="21">
        <f>COUNTIFS('Détection'!D6:D45,A41,'Détection'!M6:M45,"Critique")+COUNTIFS('Détection'!D6:D45,A41,'Détection'!M6:M45,"Élevé")</f>
        <v/>
      </c>
      <c r="D41" s="21">
        <f>ROUND(AVERAGEIF('Détection'!D6:D45,A41,'Détection'!L6:L45),0)</f>
        <v/>
      </c>
    </row>
    <row r="42">
      <c r="A42" s="12" t="inlineStr">
        <is>
          <t>Énergie</t>
        </is>
      </c>
      <c r="B42" s="12">
        <f>COUNTIF('Détection'!D6:D45,A42)</f>
        <v/>
      </c>
      <c r="C42" s="12">
        <f>COUNTIFS('Détection'!D6:D45,A42,'Détection'!M6:M45,"Critique")+COUNTIFS('Détection'!D6:D45,A42,'Détection'!M6:M45,"Élevé")</f>
        <v/>
      </c>
      <c r="D42" s="12">
        <f>ROUND(AVERAGEIF('Détection'!D6:D45,A42,'Détection'!L6:L45),0)</f>
        <v/>
      </c>
    </row>
    <row r="43">
      <c r="A43" s="21" t="inlineStr">
        <is>
          <t>Événementiel</t>
        </is>
      </c>
      <c r="B43" s="21">
        <f>COUNTIF('Détection'!D6:D45,A43)</f>
        <v/>
      </c>
      <c r="C43" s="21">
        <f>COUNTIFS('Détection'!D6:D45,A43,'Détection'!M6:M45,"Critique")+COUNTIFS('Détection'!D6:D45,A43,'Détection'!M6:M45,"Élevé")</f>
        <v/>
      </c>
      <c r="D43" s="21">
        <f>ROUND(AVERAGEIF('Détection'!D6:D45,A43,'Détection'!L6:L45),0)</f>
        <v/>
      </c>
    </row>
    <row r="45">
      <c r="A45" s="22" t="inlineStr">
        <is>
          <t>Lecture : quand un même signal touche plus d'un client sur cinq, c'est un sujet d'offre ou de prix à porter à la direction de Julaya, que la relance ne réglera pas.</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292929"/>
    <outlinePr summaryBelow="1" summaryRight="1"/>
    <pageSetUpPr/>
  </sheetPr>
  <dimension ref="A1:C38"/>
  <sheetViews>
    <sheetView showGridLines="0" workbookViewId="0">
      <selection activeCell="A1" sqref="A1"/>
    </sheetView>
  </sheetViews>
  <sheetFormatPr baseColWidth="8" defaultRowHeight="15"/>
  <cols>
    <col width="52" customWidth="1" min="1" max="1"/>
    <col width="16" customWidth="1" min="2" max="2"/>
    <col width="64" customWidth="1" min="3" max="3"/>
  </cols>
  <sheetData>
    <row r="1" ht="34" customHeight="1">
      <c r="A1" s="1" t="n"/>
      <c r="B1" s="1" t="n"/>
      <c r="C1" s="2" t="inlineStr">
        <is>
          <t>Paramètres du score</t>
        </is>
      </c>
    </row>
    <row r="2">
      <c r="A2" s="3" t="inlineStr">
        <is>
          <t>FICTIF : clients, volumes et incidents inventés pour illustrer la méthode. Aucun nom, montant ni date ne vient de Julaya.</t>
        </is>
      </c>
      <c r="B2" s="4" t="n"/>
      <c r="C2" s="4" t="n"/>
    </row>
    <row r="3">
      <c r="A3" s="8" t="inlineStr">
        <is>
          <t>Cases bleues : modifiables. Tout le tableau se recalcule.</t>
        </is>
      </c>
    </row>
    <row r="5">
      <c r="A5" s="23" t="inlineStr">
        <is>
          <t>Date de l'export</t>
        </is>
      </c>
      <c r="B5" s="24" t="n">
        <v>46316</v>
      </c>
      <c r="C5" s="25" t="inlineStr"/>
    </row>
    <row r="6">
      <c r="A6" s="23" t="inlineStr">
        <is>
          <t>Taux de commission moyen de Julaya</t>
        </is>
      </c>
      <c r="B6" s="26" t="n">
        <v>0.008999999999999999</v>
      </c>
      <c r="C6" s="25" t="inlineStr">
        <is>
          <t>FICTIF : à remplacer par le taux réel</t>
        </is>
      </c>
    </row>
    <row r="7">
      <c r="A7" s="23" t="inlineStr">
        <is>
          <t>Baisse du volume total : seuil fort</t>
        </is>
      </c>
      <c r="B7" s="27" t="n">
        <v>0.4</v>
      </c>
      <c r="C7" s="25" t="inlineStr"/>
    </row>
    <row r="8">
      <c r="A8" s="12" t="inlineStr">
        <is>
          <t xml:space="preserve">  points</t>
        </is>
      </c>
      <c r="B8" s="28" t="n">
        <v>35</v>
      </c>
      <c r="C8" s="25" t="inlineStr"/>
    </row>
    <row r="9">
      <c r="A9" s="23" t="inlineStr">
        <is>
          <t>Baisse du volume total : seuil moyen</t>
        </is>
      </c>
      <c r="B9" s="27" t="n">
        <v>0.2</v>
      </c>
      <c r="C9" s="25" t="inlineStr"/>
    </row>
    <row r="10">
      <c r="A10" s="12" t="inlineStr">
        <is>
          <t xml:space="preserve">  points</t>
        </is>
      </c>
      <c r="B10" s="28" t="n">
        <v>25</v>
      </c>
      <c r="C10" s="25" t="inlineStr"/>
    </row>
    <row r="11">
      <c r="A11" s="23" t="inlineStr">
        <is>
          <t>Baisse du volume total : seuil faible</t>
        </is>
      </c>
      <c r="B11" s="27" t="n">
        <v>0.1</v>
      </c>
      <c r="C11" s="25" t="inlineStr"/>
    </row>
    <row r="12">
      <c r="A12" s="12" t="inlineStr">
        <is>
          <t xml:space="preserve">  points</t>
        </is>
      </c>
      <c r="B12" s="28" t="n">
        <v>12</v>
      </c>
      <c r="C12" s="25" t="inlineStr"/>
    </row>
    <row r="13">
      <c r="A13" s="23" t="inlineStr">
        <is>
          <t>Baisse des flux vers Wave : seuil fort</t>
        </is>
      </c>
      <c r="B13" s="27" t="n">
        <v>0.5</v>
      </c>
      <c r="C13" s="25" t="inlineStr">
        <is>
          <t>Septembre comparé à la moyenne avr.-juin</t>
        </is>
      </c>
    </row>
    <row r="14">
      <c r="A14" s="12" t="inlineStr">
        <is>
          <t xml:space="preserve">  points</t>
        </is>
      </c>
      <c r="B14" s="28" t="n">
        <v>25</v>
      </c>
      <c r="C14" s="25" t="inlineStr"/>
    </row>
    <row r="15">
      <c r="A15" s="23" t="inlineStr">
        <is>
          <t>Baisse des flux vers Wave : seuil moyen</t>
        </is>
      </c>
      <c r="B15" s="27" t="n">
        <v>0.25</v>
      </c>
      <c r="C15" s="25" t="inlineStr"/>
    </row>
    <row r="16">
      <c r="A16" s="12" t="inlineStr">
        <is>
          <t xml:space="preserve">  points</t>
        </is>
      </c>
      <c r="B16" s="28" t="n">
        <v>15</v>
      </c>
      <c r="C16" s="25" t="inlineStr"/>
    </row>
    <row r="17">
      <c r="A17" s="23" t="inlineStr">
        <is>
          <t>Jours sans lot : seuil long</t>
        </is>
      </c>
      <c r="B17" s="28" t="n">
        <v>21</v>
      </c>
      <c r="C17" s="25" t="inlineStr"/>
    </row>
    <row r="18">
      <c r="A18" s="12" t="inlineStr">
        <is>
          <t xml:space="preserve">  points</t>
        </is>
      </c>
      <c r="B18" s="28" t="n">
        <v>15</v>
      </c>
      <c r="C18" s="25" t="inlineStr"/>
    </row>
    <row r="19">
      <c r="A19" s="23" t="inlineStr">
        <is>
          <t>Jours sans lot : seuil court</t>
        </is>
      </c>
      <c r="B19" s="28" t="n">
        <v>10</v>
      </c>
      <c r="C19" s="25" t="inlineStr"/>
    </row>
    <row r="20">
      <c r="A20" s="12" t="inlineStr">
        <is>
          <t xml:space="preserve">  points</t>
        </is>
      </c>
      <c r="B20" s="28" t="n">
        <v>8</v>
      </c>
      <c r="C20" s="25" t="inlineStr"/>
    </row>
    <row r="21">
      <c r="A21" s="23" t="inlineStr">
        <is>
          <t>Baisse des bénéficiaires : seuil</t>
        </is>
      </c>
      <c r="B21" s="27" t="n">
        <v>0.3</v>
      </c>
      <c r="C21" s="25" t="inlineStr"/>
    </row>
    <row r="22">
      <c r="A22" s="12" t="inlineStr">
        <is>
          <t xml:space="preserve">  points</t>
        </is>
      </c>
      <c r="B22" s="28" t="n">
        <v>10</v>
      </c>
      <c r="C22" s="25" t="inlineStr"/>
    </row>
    <row r="23">
      <c r="A23" s="23" t="inlineStr">
        <is>
          <t>Réclamation sur 90 jours : points</t>
        </is>
      </c>
      <c r="B23" s="28" t="n">
        <v>10</v>
      </c>
      <c r="C23" s="25" t="inlineStr"/>
    </row>
    <row r="24">
      <c r="A24" s="23" t="inlineStr">
        <is>
          <t>Aucune intégration : points</t>
        </is>
      </c>
      <c r="B24" s="28" t="n">
        <v>5</v>
      </c>
      <c r="C24" s="25" t="inlineStr"/>
    </row>
    <row r="25">
      <c r="A25" s="23" t="inlineStr">
        <is>
          <t>Pas de contrat annuel : points</t>
        </is>
      </c>
      <c r="B25" s="28" t="n">
        <v>5</v>
      </c>
      <c r="C25" s="25" t="inlineStr"/>
    </row>
    <row r="26">
      <c r="A26" s="23" t="inlineStr">
        <is>
          <t>Niveau « Critique » à partir de</t>
        </is>
      </c>
      <c r="B26" s="28" t="n">
        <v>60</v>
      </c>
      <c r="C26" s="25" t="inlineStr"/>
    </row>
    <row r="27">
      <c r="A27" s="23" t="inlineStr">
        <is>
          <t>Niveau « Élevé » à partir de</t>
        </is>
      </c>
      <c r="B27" s="28" t="n">
        <v>40</v>
      </c>
      <c r="C27" s="25" t="inlineStr"/>
    </row>
    <row r="28">
      <c r="A28" s="23" t="inlineStr">
        <is>
          <t>Niveau « À surveiller » à partir de</t>
        </is>
      </c>
      <c r="B28" s="28" t="n">
        <v>20</v>
      </c>
      <c r="C28" s="25" t="inlineStr"/>
    </row>
    <row r="31">
      <c r="A31" s="9" t="inlineStr">
        <is>
          <t>Action recommandée selon le signal principal</t>
        </is>
      </c>
    </row>
    <row r="32">
      <c r="A32" s="29" t="inlineStr">
        <is>
          <t>Signal</t>
        </is>
      </c>
      <c r="B32" s="29" t="inlineStr">
        <is>
          <t>Action</t>
        </is>
      </c>
    </row>
    <row r="33" ht="42" customHeight="1">
      <c r="A33" s="23" t="inlineStr">
        <is>
          <t>Départ en cours</t>
        </is>
      </c>
      <c r="B33" s="30" t="inlineStr">
        <is>
          <t>Appel du directeur commercial sous 48 h. Comprendre la raison, dans les mots du client, avant toute offre.</t>
        </is>
      </c>
    </row>
    <row r="34" ht="42" customHeight="1">
      <c r="A34" s="23" t="inlineStr">
        <is>
          <t>Flux Wave qui partent</t>
        </is>
      </c>
      <c r="B34" s="30" t="inlineStr">
        <is>
          <t>Revue de compte sous 7 jours : montrer le coût réel d'un éclatement des paiements (double validation, rapprochement, exports). Option ⟦alignement sur les seuls flux Wave, à décider par la direction⟧.</t>
        </is>
      </c>
    </row>
    <row r="35" ht="42" customHeight="1">
      <c r="A35" s="23" t="inlineStr">
        <is>
          <t>Incident non soldé</t>
        </is>
      </c>
      <c r="B35" s="30" t="inlineStr">
        <is>
          <t>Solder l'incident d'abord (appel du chargé de compte, cause et correctif), aucune offre commerciale avant.</t>
        </is>
      </c>
    </row>
    <row r="36" ht="42" customHeight="1">
      <c r="A36" s="23" t="inlineStr">
        <is>
          <t>Baisse saisonnière probable</t>
        </is>
      </c>
      <c r="B36" s="30" t="inlineStr">
        <is>
          <t>Vérifier avec le client que la baisse est bien saisonnière. Pas d'action commerciale.</t>
        </is>
      </c>
    </row>
    <row r="37" ht="42" customHeight="1">
      <c r="A37" s="23" t="inlineStr">
        <is>
          <t>Baisse de volume</t>
        </is>
      </c>
      <c r="B37" s="30" t="inlineStr">
        <is>
          <t>Point de compte par le chargé de compte dans le mois : ce qui a changé chez le client.</t>
        </is>
      </c>
    </row>
    <row r="38" ht="42" customHeight="1">
      <c r="A38" s="23" t="inlineStr">
        <is>
          <t>—</t>
        </is>
      </c>
      <c r="B38" s="30" t="inlineStr">
        <is>
          <t>Rien à faire ce mois-ci.</t>
        </is>
      </c>
    </row>
  </sheetData>
  <mergeCells count="7">
    <mergeCell ref="B38:C38"/>
    <mergeCell ref="B33:C33"/>
    <mergeCell ref="B34:C34"/>
    <mergeCell ref="B37:C37"/>
    <mergeCell ref="B36:C36"/>
    <mergeCell ref="B32:C32"/>
    <mergeCell ref="B35:C3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292929"/>
    <outlinePr summaryBelow="1" summaryRight="1"/>
    <pageSetUpPr/>
  </sheetPr>
  <dimension ref="A1:AB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20" customWidth="1" min="3" max="3"/>
    <col width="6" customWidth="1" min="4" max="4"/>
    <col width="13" customWidth="1" min="5" max="5"/>
    <col width="13" customWidth="1" min="6" max="6"/>
    <col width="14" customWidth="1" min="7" max="7"/>
    <col width="11" customWidth="1" min="8" max="8"/>
    <col width="20" customWidth="1" min="9" max="9"/>
    <col width="1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0" customWidth="1" min="23" max="23"/>
    <col width="10" customWidth="1" min="24" max="24"/>
    <col width="10" customWidth="1" min="25" max="25"/>
    <col width="10" customWidth="1" min="26" max="26"/>
    <col width="10" customWidth="1" min="27" max="27"/>
    <col width="10" customWidth="1" min="28" max="28"/>
  </cols>
  <sheetData>
    <row r="1" ht="34" customHeight="1">
      <c r="A1" s="1" t="n"/>
      <c r="B1" s="1" t="n"/>
      <c r="C1" s="2" t="inlineStr">
        <is>
          <t>Volumes mensuels payés par client (export à coller chaque mois)</t>
        </is>
      </c>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row>
    <row r="2">
      <c r="A2" s="3" t="inlineStr">
        <is>
          <t>FICTIF : clients, volumes et incidents inventés pour illustrer la méthode. Aucun nom, montant ni date ne vient de Julaya.</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row>
    <row r="3">
      <c r="A3" s="8" t="inlineStr">
        <is>
          <t>Montants en FCFA. Une ligne par client. Seul onglet à remplir.</t>
        </is>
      </c>
    </row>
    <row r="5" ht="44" customHeight="1">
      <c r="A5" s="31" t="inlineStr">
        <is>
          <t>ID</t>
        </is>
      </c>
      <c r="B5" s="31" t="inlineStr">
        <is>
          <t>Client</t>
        </is>
      </c>
      <c r="C5" s="31" t="inlineStr">
        <is>
          <t>Secteur</t>
        </is>
      </c>
      <c r="D5" s="31" t="inlineStr">
        <is>
          <t>Pays</t>
        </is>
      </c>
      <c r="E5" s="31" t="inlineStr">
        <is>
          <t>Chargé de compte</t>
        </is>
      </c>
      <c r="F5" s="31" t="inlineStr">
        <is>
          <t>Intégration</t>
        </is>
      </c>
      <c r="G5" s="31" t="inlineStr">
        <is>
          <t>Contrat</t>
        </is>
      </c>
      <c r="H5" s="31" t="inlineStr">
        <is>
          <t>Activité saisonnière</t>
        </is>
      </c>
      <c r="I5" s="31" t="inlineStr">
        <is>
          <t>Réclamation (90 j)</t>
        </is>
      </c>
      <c r="J5" s="31" t="inlineStr">
        <is>
          <t>Jours depuis le dernier lot</t>
        </is>
      </c>
      <c r="K5" s="31" t="inlineStr">
        <is>
          <t>Volume total avr.</t>
        </is>
      </c>
      <c r="L5" s="31" t="inlineStr">
        <is>
          <t>Volume total mai</t>
        </is>
      </c>
      <c r="M5" s="31" t="inlineStr">
        <is>
          <t>Volume total juin</t>
        </is>
      </c>
      <c r="N5" s="31" t="inlineStr">
        <is>
          <t>Volume total juil.</t>
        </is>
      </c>
      <c r="O5" s="31" t="inlineStr">
        <is>
          <t>Volume total août</t>
        </is>
      </c>
      <c r="P5" s="31" t="inlineStr">
        <is>
          <t>Volume total sept.</t>
        </is>
      </c>
      <c r="Q5" s="31" t="inlineStr">
        <is>
          <t>Vers Wave avr.</t>
        </is>
      </c>
      <c r="R5" s="31" t="inlineStr">
        <is>
          <t>Vers Wave mai</t>
        </is>
      </c>
      <c r="S5" s="31" t="inlineStr">
        <is>
          <t>Vers Wave juin</t>
        </is>
      </c>
      <c r="T5" s="31" t="inlineStr">
        <is>
          <t>Vers Wave juil.</t>
        </is>
      </c>
      <c r="U5" s="31" t="inlineStr">
        <is>
          <t>Vers Wave août</t>
        </is>
      </c>
      <c r="V5" s="31" t="inlineStr">
        <is>
          <t>Vers Wave sept.</t>
        </is>
      </c>
      <c r="W5" s="31" t="inlineStr">
        <is>
          <t>Bénéficiaires avr.</t>
        </is>
      </c>
      <c r="X5" s="31" t="inlineStr">
        <is>
          <t>Bénéficiaires mai</t>
        </is>
      </c>
      <c r="Y5" s="31" t="inlineStr">
        <is>
          <t>Bénéficiaires juin</t>
        </is>
      </c>
      <c r="Z5" s="31" t="inlineStr">
        <is>
          <t>Bénéficiaires juil.</t>
        </is>
      </c>
      <c r="AA5" s="31" t="inlineStr">
        <is>
          <t>Bénéficiaires août</t>
        </is>
      </c>
      <c r="AB5" s="31" t="inlineStr">
        <is>
          <t>Bénéficiaires sept.</t>
        </is>
      </c>
    </row>
    <row r="6">
      <c r="A6" s="32" t="inlineStr">
        <is>
          <t>JUL-101</t>
        </is>
      </c>
      <c r="B6" s="32" t="inlineStr">
        <is>
          <t>Sotradis Négoce</t>
        </is>
      </c>
      <c r="C6" s="32" t="inlineStr">
        <is>
          <t>Distribution</t>
        </is>
      </c>
      <c r="D6" s="32" t="inlineStr">
        <is>
          <t>CI</t>
        </is>
      </c>
      <c r="E6" s="32" t="inlineStr">
        <is>
          <t>Aïcha K.</t>
        </is>
      </c>
      <c r="F6" s="32" t="inlineStr">
        <is>
          <t>Export compta</t>
        </is>
      </c>
      <c r="G6" s="32" t="inlineStr">
        <is>
          <t>Sans engagement</t>
        </is>
      </c>
      <c r="H6" s="32" t="inlineStr">
        <is>
          <t>Non</t>
        </is>
      </c>
      <c r="I6" s="32" t="inlineStr">
        <is>
          <t>Frais jugés trop élevés</t>
        </is>
      </c>
      <c r="J6" s="32" t="n">
        <v>10</v>
      </c>
      <c r="K6" s="33" t="n">
        <v>299600000</v>
      </c>
      <c r="L6" s="33" t="n">
        <v>314200000</v>
      </c>
      <c r="M6" s="33" t="n">
        <v>301200000</v>
      </c>
      <c r="N6" s="33" t="n">
        <v>287600000</v>
      </c>
      <c r="O6" s="33" t="n">
        <v>248100000</v>
      </c>
      <c r="P6" s="33" t="n">
        <v>212100000</v>
      </c>
      <c r="Q6" s="33" t="n">
        <v>113900000</v>
      </c>
      <c r="R6" s="33" t="n">
        <v>119400000</v>
      </c>
      <c r="S6" s="33" t="n">
        <v>114500000</v>
      </c>
      <c r="T6" s="33" t="n">
        <v>85000000</v>
      </c>
      <c r="U6" s="33" t="n">
        <v>53000000</v>
      </c>
      <c r="V6" s="33" t="n">
        <v>33600000</v>
      </c>
      <c r="W6" s="32" t="n">
        <v>425</v>
      </c>
      <c r="X6" s="32" t="n">
        <v>419</v>
      </c>
      <c r="Y6" s="32" t="n">
        <v>427</v>
      </c>
      <c r="Z6" s="32" t="n">
        <v>387</v>
      </c>
      <c r="AA6" s="32" t="n">
        <v>351</v>
      </c>
      <c r="AB6" s="32" t="n">
        <v>333</v>
      </c>
    </row>
    <row r="7">
      <c r="A7" s="34" t="inlineStr">
        <is>
          <t>JUL-102</t>
        </is>
      </c>
      <c r="B7" s="34" t="inlineStr">
        <is>
          <t>Bâtirama BTP</t>
        </is>
      </c>
      <c r="C7" s="34" t="inlineStr">
        <is>
          <t>BTP</t>
        </is>
      </c>
      <c r="D7" s="34" t="inlineStr">
        <is>
          <t>CI</t>
        </is>
      </c>
      <c r="E7" s="34" t="inlineStr">
        <is>
          <t>Serge T.</t>
        </is>
      </c>
      <c r="F7" s="34" t="inlineStr">
        <is>
          <t>Aucune</t>
        </is>
      </c>
      <c r="G7" s="34" t="inlineStr">
        <is>
          <t>Sans engagement</t>
        </is>
      </c>
      <c r="H7" s="34" t="inlineStr">
        <is>
          <t>Non</t>
        </is>
      </c>
      <c r="I7" s="34" t="inlineStr">
        <is>
          <t>Lot de salaires en échec</t>
        </is>
      </c>
      <c r="J7" s="34" t="n">
        <v>37</v>
      </c>
      <c r="K7" s="35" t="n">
        <v>278200000</v>
      </c>
      <c r="L7" s="35" t="n">
        <v>274900000</v>
      </c>
      <c r="M7" s="35" t="n">
        <v>240000000</v>
      </c>
      <c r="N7" s="35" t="n">
        <v>185500000</v>
      </c>
      <c r="O7" s="35" t="n">
        <v>124600000</v>
      </c>
      <c r="P7" s="35" t="n">
        <v>76800000</v>
      </c>
      <c r="Q7" s="35" t="n">
        <v>83500000</v>
      </c>
      <c r="R7" s="35" t="n">
        <v>82500000</v>
      </c>
      <c r="S7" s="35" t="n">
        <v>68200000</v>
      </c>
      <c r="T7" s="35" t="n">
        <v>47700000</v>
      </c>
      <c r="U7" s="35" t="n">
        <v>29100000</v>
      </c>
      <c r="V7" s="35" t="n">
        <v>15400000</v>
      </c>
      <c r="W7" s="34" t="n">
        <v>659</v>
      </c>
      <c r="X7" s="34" t="n">
        <v>655</v>
      </c>
      <c r="Y7" s="34" t="n">
        <v>611</v>
      </c>
      <c r="Z7" s="34" t="n">
        <v>445</v>
      </c>
      <c r="AA7" s="34" t="n">
        <v>322</v>
      </c>
      <c r="AB7" s="34" t="n">
        <v>232</v>
      </c>
    </row>
    <row r="8">
      <c r="A8" s="32" t="inlineStr">
        <is>
          <t>JUL-103</t>
        </is>
      </c>
      <c r="B8" s="32" t="inlineStr">
        <is>
          <t>Agrivoire Coop</t>
        </is>
      </c>
      <c r="C8" s="32" t="inlineStr">
        <is>
          <t>Agro-industrie</t>
        </is>
      </c>
      <c r="D8" s="32" t="inlineStr">
        <is>
          <t>CI</t>
        </is>
      </c>
      <c r="E8" s="32" t="inlineStr">
        <is>
          <t>Mariam D.</t>
        </is>
      </c>
      <c r="F8" s="32" t="inlineStr">
        <is>
          <t>Export compta</t>
        </is>
      </c>
      <c r="G8" s="32" t="inlineStr">
        <is>
          <t>Annuel</t>
        </is>
      </c>
      <c r="H8" s="32" t="inlineStr">
        <is>
          <t>Oui</t>
        </is>
      </c>
      <c r="I8" s="32" t="inlineStr"/>
      <c r="J8" s="32" t="n">
        <v>11</v>
      </c>
      <c r="K8" s="33" t="n">
        <v>239600000</v>
      </c>
      <c r="L8" s="33" t="n">
        <v>228900000</v>
      </c>
      <c r="M8" s="33" t="n">
        <v>222000000</v>
      </c>
      <c r="N8" s="33" t="n">
        <v>139800000</v>
      </c>
      <c r="O8" s="33" t="n">
        <v>137200000</v>
      </c>
      <c r="P8" s="33" t="n">
        <v>209400000</v>
      </c>
      <c r="Q8" s="33" t="n">
        <v>52700000</v>
      </c>
      <c r="R8" s="33" t="n">
        <v>50400000</v>
      </c>
      <c r="S8" s="33" t="n">
        <v>48800000</v>
      </c>
      <c r="T8" s="33" t="n">
        <v>30800000</v>
      </c>
      <c r="U8" s="33" t="n">
        <v>30200000</v>
      </c>
      <c r="V8" s="33" t="n">
        <v>46100000</v>
      </c>
      <c r="W8" s="32" t="n">
        <v>1177</v>
      </c>
      <c r="X8" s="32" t="n">
        <v>1226</v>
      </c>
      <c r="Y8" s="32" t="n">
        <v>1220</v>
      </c>
      <c r="Z8" s="32" t="n">
        <v>864</v>
      </c>
      <c r="AA8" s="32" t="n">
        <v>792</v>
      </c>
      <c r="AB8" s="32" t="n">
        <v>1085</v>
      </c>
    </row>
    <row r="9">
      <c r="A9" s="34" t="inlineStr">
        <is>
          <t>JUL-104</t>
        </is>
      </c>
      <c r="B9" s="34" t="inlineStr">
        <is>
          <t>ONG Sahel Espoir</t>
        </is>
      </c>
      <c r="C9" s="34" t="inlineStr">
        <is>
          <t>ONG / bailleurs</t>
        </is>
      </c>
      <c r="D9" s="34" t="inlineStr">
        <is>
          <t>SN</t>
        </is>
      </c>
      <c r="E9" s="34" t="inlineStr">
        <is>
          <t>Yannick B.</t>
        </is>
      </c>
      <c r="F9" s="34" t="inlineStr">
        <is>
          <t>API</t>
        </is>
      </c>
      <c r="G9" s="34" t="inlineStr">
        <is>
          <t>Annuel</t>
        </is>
      </c>
      <c r="H9" s="34" t="inlineStr">
        <is>
          <t>Non</t>
        </is>
      </c>
      <c r="I9" s="34" t="inlineStr"/>
      <c r="J9" s="34" t="n">
        <v>5</v>
      </c>
      <c r="K9" s="35" t="n">
        <v>94100000</v>
      </c>
      <c r="L9" s="35" t="n">
        <v>97800000</v>
      </c>
      <c r="M9" s="35" t="n">
        <v>106700000</v>
      </c>
      <c r="N9" s="35" t="n">
        <v>100000000</v>
      </c>
      <c r="O9" s="35" t="n">
        <v>110700000</v>
      </c>
      <c r="P9" s="35" t="n">
        <v>111600000</v>
      </c>
      <c r="Q9" s="35" t="n">
        <v>42400000</v>
      </c>
      <c r="R9" s="35" t="n">
        <v>42500000</v>
      </c>
      <c r="S9" s="35" t="n">
        <v>44900000</v>
      </c>
      <c r="T9" s="35" t="n">
        <v>40700000</v>
      </c>
      <c r="U9" s="35" t="n">
        <v>43700000</v>
      </c>
      <c r="V9" s="35" t="n">
        <v>42700000</v>
      </c>
      <c r="W9" s="34" t="n">
        <v>179</v>
      </c>
      <c r="X9" s="34" t="n">
        <v>182</v>
      </c>
      <c r="Y9" s="34" t="n">
        <v>186</v>
      </c>
      <c r="Z9" s="34" t="n">
        <v>186</v>
      </c>
      <c r="AA9" s="34" t="n">
        <v>200</v>
      </c>
      <c r="AB9" s="34" t="n">
        <v>198</v>
      </c>
    </row>
    <row r="10">
      <c r="A10" s="32" t="inlineStr">
        <is>
          <t>JUL-105</t>
        </is>
      </c>
      <c r="B10" s="32" t="inlineStr">
        <is>
          <t>Kodjo Logistique</t>
        </is>
      </c>
      <c r="C10" s="32" t="inlineStr">
        <is>
          <t>Transport / logistique</t>
        </is>
      </c>
      <c r="D10" s="32" t="inlineStr">
        <is>
          <t>TG</t>
        </is>
      </c>
      <c r="E10" s="32" t="inlineStr">
        <is>
          <t>Aïcha K.</t>
        </is>
      </c>
      <c r="F10" s="32" t="inlineStr">
        <is>
          <t>Aucune</t>
        </is>
      </c>
      <c r="G10" s="32" t="inlineStr">
        <is>
          <t>Sans engagement</t>
        </is>
      </c>
      <c r="H10" s="32" t="inlineStr">
        <is>
          <t>Non</t>
        </is>
      </c>
      <c r="I10" s="32" t="inlineStr"/>
      <c r="J10" s="32" t="n">
        <v>15</v>
      </c>
      <c r="K10" s="33" t="n">
        <v>137900000</v>
      </c>
      <c r="L10" s="33" t="n">
        <v>137900000</v>
      </c>
      <c r="M10" s="33" t="n">
        <v>137300000</v>
      </c>
      <c r="N10" s="33" t="n">
        <v>120500000</v>
      </c>
      <c r="O10" s="33" t="n">
        <v>115100000</v>
      </c>
      <c r="P10" s="33" t="n">
        <v>102600000</v>
      </c>
      <c r="Q10" s="33" t="n">
        <v>56500000</v>
      </c>
      <c r="R10" s="33" t="n">
        <v>56500000</v>
      </c>
      <c r="S10" s="33" t="n">
        <v>56300000</v>
      </c>
      <c r="T10" s="33" t="n">
        <v>38400000</v>
      </c>
      <c r="U10" s="33" t="n">
        <v>26500000</v>
      </c>
      <c r="V10" s="33" t="n">
        <v>17500000</v>
      </c>
      <c r="W10" s="32" t="n">
        <v>318</v>
      </c>
      <c r="X10" s="32" t="n">
        <v>312</v>
      </c>
      <c r="Y10" s="32" t="n">
        <v>303</v>
      </c>
      <c r="Z10" s="32" t="n">
        <v>291</v>
      </c>
      <c r="AA10" s="32" t="n">
        <v>262</v>
      </c>
      <c r="AB10" s="32" t="n">
        <v>251</v>
      </c>
    </row>
    <row r="11">
      <c r="A11" s="34" t="inlineStr">
        <is>
          <t>JUL-106</t>
        </is>
      </c>
      <c r="B11" s="34" t="inlineStr">
        <is>
          <t>Clinique Les Palmes</t>
        </is>
      </c>
      <c r="C11" s="34" t="inlineStr">
        <is>
          <t>Santé</t>
        </is>
      </c>
      <c r="D11" s="34" t="inlineStr">
        <is>
          <t>CI</t>
        </is>
      </c>
      <c r="E11" s="34" t="inlineStr">
        <is>
          <t>Serge T.</t>
        </is>
      </c>
      <c r="F11" s="34" t="inlineStr">
        <is>
          <t>Export compta</t>
        </is>
      </c>
      <c r="G11" s="34" t="inlineStr">
        <is>
          <t>Annuel</t>
        </is>
      </c>
      <c r="H11" s="34" t="inlineStr">
        <is>
          <t>Non</t>
        </is>
      </c>
      <c r="I11" s="34" t="inlineStr"/>
      <c r="J11" s="34" t="n">
        <v>3</v>
      </c>
      <c r="K11" s="35" t="n">
        <v>63000000</v>
      </c>
      <c r="L11" s="35" t="n">
        <v>60400000</v>
      </c>
      <c r="M11" s="35" t="n">
        <v>61600000</v>
      </c>
      <c r="N11" s="35" t="n">
        <v>63500000</v>
      </c>
      <c r="O11" s="35" t="n">
        <v>60700000</v>
      </c>
      <c r="P11" s="35" t="n">
        <v>63000000</v>
      </c>
      <c r="Q11" s="35" t="n">
        <v>22100000</v>
      </c>
      <c r="R11" s="35" t="n">
        <v>21100000</v>
      </c>
      <c r="S11" s="35" t="n">
        <v>21600000</v>
      </c>
      <c r="T11" s="35" t="n">
        <v>22200000</v>
      </c>
      <c r="U11" s="35" t="n">
        <v>21200000</v>
      </c>
      <c r="V11" s="35" t="n">
        <v>22000000</v>
      </c>
      <c r="W11" s="34" t="n">
        <v>144</v>
      </c>
      <c r="X11" s="34" t="n">
        <v>141</v>
      </c>
      <c r="Y11" s="34" t="n">
        <v>139</v>
      </c>
      <c r="Z11" s="34" t="n">
        <v>136</v>
      </c>
      <c r="AA11" s="34" t="n">
        <v>143</v>
      </c>
      <c r="AB11" s="34" t="n">
        <v>136</v>
      </c>
    </row>
    <row r="12">
      <c r="A12" s="32" t="inlineStr">
        <is>
          <t>JUL-107</t>
        </is>
      </c>
      <c r="B12" s="32" t="inlineStr">
        <is>
          <t>Garde Sûre Sécurité</t>
        </is>
      </c>
      <c r="C12" s="32" t="inlineStr">
        <is>
          <t>Sécurité privée</t>
        </is>
      </c>
      <c r="D12" s="32" t="inlineStr">
        <is>
          <t>CI</t>
        </is>
      </c>
      <c r="E12" s="32" t="inlineStr">
        <is>
          <t>Mariam D.</t>
        </is>
      </c>
      <c r="F12" s="32" t="inlineStr">
        <is>
          <t>Aucune</t>
        </is>
      </c>
      <c r="G12" s="32" t="inlineStr">
        <is>
          <t>Sans engagement</t>
        </is>
      </c>
      <c r="H12" s="32" t="inlineStr">
        <is>
          <t>Non</t>
        </is>
      </c>
      <c r="I12" s="32" t="inlineStr"/>
      <c r="J12" s="32" t="n">
        <v>16</v>
      </c>
      <c r="K12" s="33" t="n">
        <v>189200000</v>
      </c>
      <c r="L12" s="33" t="n">
        <v>178300000</v>
      </c>
      <c r="M12" s="33" t="n">
        <v>192600000</v>
      </c>
      <c r="N12" s="33" t="n">
        <v>174000000</v>
      </c>
      <c r="O12" s="33" t="n">
        <v>146000000</v>
      </c>
      <c r="P12" s="33" t="n">
        <v>131500000</v>
      </c>
      <c r="Q12" s="33" t="n">
        <v>98400000</v>
      </c>
      <c r="R12" s="33" t="n">
        <v>92700000</v>
      </c>
      <c r="S12" s="33" t="n">
        <v>100200000</v>
      </c>
      <c r="T12" s="33" t="n">
        <v>70400000</v>
      </c>
      <c r="U12" s="33" t="n">
        <v>42700000</v>
      </c>
      <c r="V12" s="33" t="n">
        <v>28500000</v>
      </c>
      <c r="W12" s="32" t="n">
        <v>876</v>
      </c>
      <c r="X12" s="32" t="n">
        <v>908</v>
      </c>
      <c r="Y12" s="32" t="n">
        <v>899</v>
      </c>
      <c r="Z12" s="32" t="n">
        <v>848</v>
      </c>
      <c r="AA12" s="32" t="n">
        <v>749</v>
      </c>
      <c r="AB12" s="32" t="n">
        <v>732</v>
      </c>
    </row>
    <row r="13">
      <c r="A13" s="34" t="inlineStr">
        <is>
          <t>JUL-108</t>
        </is>
      </c>
      <c r="B13" s="34" t="inlineStr">
        <is>
          <t>Groupe scolaire Lumière</t>
        </is>
      </c>
      <c r="C13" s="34" t="inlineStr">
        <is>
          <t>Éducation</t>
        </is>
      </c>
      <c r="D13" s="34" t="inlineStr">
        <is>
          <t>CI</t>
        </is>
      </c>
      <c r="E13" s="34" t="inlineStr">
        <is>
          <t>Yannick B.</t>
        </is>
      </c>
      <c r="F13" s="34" t="inlineStr">
        <is>
          <t>Aucune</t>
        </is>
      </c>
      <c r="G13" s="34" t="inlineStr">
        <is>
          <t>Sans engagement</t>
        </is>
      </c>
      <c r="H13" s="34" t="inlineStr">
        <is>
          <t>Oui</t>
        </is>
      </c>
      <c r="I13" s="34" t="inlineStr"/>
      <c r="J13" s="34" t="n">
        <v>11</v>
      </c>
      <c r="K13" s="35" t="n">
        <v>39000000</v>
      </c>
      <c r="L13" s="35" t="n">
        <v>38700000</v>
      </c>
      <c r="M13" s="35" t="n">
        <v>34400000</v>
      </c>
      <c r="N13" s="35" t="n">
        <v>23100000</v>
      </c>
      <c r="O13" s="35" t="n">
        <v>21100000</v>
      </c>
      <c r="P13" s="35" t="n">
        <v>32000000</v>
      </c>
      <c r="Q13" s="35" t="n">
        <v>18700000</v>
      </c>
      <c r="R13" s="35" t="n">
        <v>18600000</v>
      </c>
      <c r="S13" s="35" t="n">
        <v>16500000</v>
      </c>
      <c r="T13" s="35" t="n">
        <v>11100000</v>
      </c>
      <c r="U13" s="35" t="n">
        <v>10100000</v>
      </c>
      <c r="V13" s="35" t="n">
        <v>15400000</v>
      </c>
      <c r="W13" s="34" t="n">
        <v>92</v>
      </c>
      <c r="X13" s="34" t="n">
        <v>98</v>
      </c>
      <c r="Y13" s="34" t="n">
        <v>96</v>
      </c>
      <c r="Z13" s="34" t="n">
        <v>68</v>
      </c>
      <c r="AA13" s="34" t="n">
        <v>61</v>
      </c>
      <c r="AB13" s="34" t="n">
        <v>88</v>
      </c>
    </row>
    <row r="14">
      <c r="A14" s="32" t="inlineStr">
        <is>
          <t>JUL-109</t>
        </is>
      </c>
      <c r="B14" s="32" t="inlineStr">
        <is>
          <t>Ivoire Minoterie</t>
        </is>
      </c>
      <c r="C14" s="32" t="inlineStr">
        <is>
          <t>Agro-industrie</t>
        </is>
      </c>
      <c r="D14" s="32" t="inlineStr">
        <is>
          <t>CI</t>
        </is>
      </c>
      <c r="E14" s="32" t="inlineStr">
        <is>
          <t>Aïcha K.</t>
        </is>
      </c>
      <c r="F14" s="32" t="inlineStr">
        <is>
          <t>API</t>
        </is>
      </c>
      <c r="G14" s="32" t="inlineStr">
        <is>
          <t>Annuel</t>
        </is>
      </c>
      <c r="H14" s="32" t="inlineStr">
        <is>
          <t>Non</t>
        </is>
      </c>
      <c r="I14" s="32" t="inlineStr"/>
      <c r="J14" s="32" t="n">
        <v>6</v>
      </c>
      <c r="K14" s="33" t="n">
        <v>218800000</v>
      </c>
      <c r="L14" s="33" t="n">
        <v>236100000</v>
      </c>
      <c r="M14" s="33" t="n">
        <v>226600000</v>
      </c>
      <c r="N14" s="33" t="n">
        <v>238800000</v>
      </c>
      <c r="O14" s="33" t="n">
        <v>243800000</v>
      </c>
      <c r="P14" s="33" t="n">
        <v>250300000</v>
      </c>
      <c r="Q14" s="33" t="n">
        <v>54700000</v>
      </c>
      <c r="R14" s="33" t="n">
        <v>57000000</v>
      </c>
      <c r="S14" s="33" t="n">
        <v>52900000</v>
      </c>
      <c r="T14" s="33" t="n">
        <v>54000000</v>
      </c>
      <c r="U14" s="33" t="n">
        <v>53500000</v>
      </c>
      <c r="V14" s="33" t="n">
        <v>53300000</v>
      </c>
      <c r="W14" s="32" t="n">
        <v>372</v>
      </c>
      <c r="X14" s="32" t="n">
        <v>391</v>
      </c>
      <c r="Y14" s="32" t="n">
        <v>396</v>
      </c>
      <c r="Z14" s="32" t="n">
        <v>403</v>
      </c>
      <c r="AA14" s="32" t="n">
        <v>402</v>
      </c>
      <c r="AB14" s="32" t="n">
        <v>415</v>
      </c>
    </row>
    <row r="15">
      <c r="A15" s="34" t="inlineStr">
        <is>
          <t>JUL-110</t>
        </is>
      </c>
      <c r="B15" s="34" t="inlineStr">
        <is>
          <t>Dakar Fret Services</t>
        </is>
      </c>
      <c r="C15" s="34" t="inlineStr">
        <is>
          <t>Transport / logistique</t>
        </is>
      </c>
      <c r="D15" s="34" t="inlineStr">
        <is>
          <t>SN</t>
        </is>
      </c>
      <c r="E15" s="34" t="inlineStr">
        <is>
          <t>Serge T.</t>
        </is>
      </c>
      <c r="F15" s="34" t="inlineStr">
        <is>
          <t>Export compta</t>
        </is>
      </c>
      <c r="G15" s="34" t="inlineStr">
        <is>
          <t>Sans engagement</t>
        </is>
      </c>
      <c r="H15" s="34" t="inlineStr">
        <is>
          <t>Non</t>
        </is>
      </c>
      <c r="I15" s="34" t="inlineStr">
        <is>
          <t>Lot de salaires en échec</t>
        </is>
      </c>
      <c r="J15" s="34" t="n">
        <v>10</v>
      </c>
      <c r="K15" s="35" t="n">
        <v>123200000</v>
      </c>
      <c r="L15" s="35" t="n">
        <v>122500000</v>
      </c>
      <c r="M15" s="35" t="n">
        <v>122400000</v>
      </c>
      <c r="N15" s="35" t="n">
        <v>114500000</v>
      </c>
      <c r="O15" s="35" t="n">
        <v>108300000</v>
      </c>
      <c r="P15" s="35" t="n">
        <v>96400000</v>
      </c>
      <c r="Q15" s="35" t="n">
        <v>40600000</v>
      </c>
      <c r="R15" s="35" t="n">
        <v>40400000</v>
      </c>
      <c r="S15" s="35" t="n">
        <v>40400000</v>
      </c>
      <c r="T15" s="35" t="n">
        <v>37800000</v>
      </c>
      <c r="U15" s="35" t="n">
        <v>35000000</v>
      </c>
      <c r="V15" s="35" t="n">
        <v>30300000</v>
      </c>
      <c r="W15" s="34" t="n">
        <v>255</v>
      </c>
      <c r="X15" s="34" t="n">
        <v>256</v>
      </c>
      <c r="Y15" s="34" t="n">
        <v>257</v>
      </c>
      <c r="Z15" s="34" t="n">
        <v>258</v>
      </c>
      <c r="AA15" s="34" t="n">
        <v>253</v>
      </c>
      <c r="AB15" s="34" t="n">
        <v>234</v>
      </c>
    </row>
    <row r="16">
      <c r="A16" s="32" t="inlineStr">
        <is>
          <t>JUL-111</t>
        </is>
      </c>
      <c r="B16" s="32" t="inlineStr">
        <is>
          <t>Cotonou Distribution</t>
        </is>
      </c>
      <c r="C16" s="32" t="inlineStr">
        <is>
          <t>Distribution</t>
        </is>
      </c>
      <c r="D16" s="32" t="inlineStr">
        <is>
          <t>BJ</t>
        </is>
      </c>
      <c r="E16" s="32" t="inlineStr">
        <is>
          <t>Mariam D.</t>
        </is>
      </c>
      <c r="F16" s="32" t="inlineStr">
        <is>
          <t>Export compta</t>
        </is>
      </c>
      <c r="G16" s="32" t="inlineStr">
        <is>
          <t>Annuel</t>
        </is>
      </c>
      <c r="H16" s="32" t="inlineStr">
        <is>
          <t>Non</t>
        </is>
      </c>
      <c r="I16" s="32" t="inlineStr"/>
      <c r="J16" s="32" t="n">
        <v>6</v>
      </c>
      <c r="K16" s="33" t="n">
        <v>111400000</v>
      </c>
      <c r="L16" s="33" t="n">
        <v>106600000</v>
      </c>
      <c r="M16" s="33" t="n">
        <v>108100000</v>
      </c>
      <c r="N16" s="33" t="n">
        <v>105200000</v>
      </c>
      <c r="O16" s="33" t="n">
        <v>109100000</v>
      </c>
      <c r="P16" s="33" t="n">
        <v>111700000</v>
      </c>
      <c r="Q16" s="33" t="n">
        <v>32300000</v>
      </c>
      <c r="R16" s="33" t="n">
        <v>30900000</v>
      </c>
      <c r="S16" s="33" t="n">
        <v>31300000</v>
      </c>
      <c r="T16" s="33" t="n">
        <v>30500000</v>
      </c>
      <c r="U16" s="33" t="n">
        <v>31600000</v>
      </c>
      <c r="V16" s="33" t="n">
        <v>32400000</v>
      </c>
      <c r="W16" s="32" t="n">
        <v>213</v>
      </c>
      <c r="X16" s="32" t="n">
        <v>211</v>
      </c>
      <c r="Y16" s="32" t="n">
        <v>206</v>
      </c>
      <c r="Z16" s="32" t="n">
        <v>212</v>
      </c>
      <c r="AA16" s="32" t="n">
        <v>215</v>
      </c>
      <c r="AB16" s="32" t="n">
        <v>212</v>
      </c>
    </row>
    <row r="17">
      <c r="A17" s="34" t="inlineStr">
        <is>
          <t>JUL-112</t>
        </is>
      </c>
      <c r="B17" s="34" t="inlineStr">
        <is>
          <t>Hôtel Lagune Bleue</t>
        </is>
      </c>
      <c r="C17" s="34" t="inlineStr">
        <is>
          <t>Hôtellerie</t>
        </is>
      </c>
      <c r="D17" s="34" t="inlineStr">
        <is>
          <t>CI</t>
        </is>
      </c>
      <c r="E17" s="34" t="inlineStr">
        <is>
          <t>Yannick B.</t>
        </is>
      </c>
      <c r="F17" s="34" t="inlineStr">
        <is>
          <t>Aucune</t>
        </is>
      </c>
      <c r="G17" s="34" t="inlineStr">
        <is>
          <t>Sans engagement</t>
        </is>
      </c>
      <c r="H17" s="34" t="inlineStr">
        <is>
          <t>Non</t>
        </is>
      </c>
      <c r="I17" s="34" t="inlineStr"/>
      <c r="J17" s="34" t="n">
        <v>9</v>
      </c>
      <c r="K17" s="35" t="n">
        <v>45900000</v>
      </c>
      <c r="L17" s="35" t="n">
        <v>48800000</v>
      </c>
      <c r="M17" s="35" t="n">
        <v>46900000</v>
      </c>
      <c r="N17" s="35" t="n">
        <v>42800000</v>
      </c>
      <c r="O17" s="35" t="n">
        <v>39500000</v>
      </c>
      <c r="P17" s="35" t="n">
        <v>34000000</v>
      </c>
      <c r="Q17" s="35" t="n">
        <v>20200000</v>
      </c>
      <c r="R17" s="35" t="n">
        <v>21500000</v>
      </c>
      <c r="S17" s="35" t="n">
        <v>20600000</v>
      </c>
      <c r="T17" s="35" t="n">
        <v>14600000</v>
      </c>
      <c r="U17" s="35" t="n">
        <v>9800000</v>
      </c>
      <c r="V17" s="35" t="n">
        <v>6200000</v>
      </c>
      <c r="W17" s="34" t="n">
        <v>155</v>
      </c>
      <c r="X17" s="34" t="n">
        <v>156</v>
      </c>
      <c r="Y17" s="34" t="n">
        <v>161</v>
      </c>
      <c r="Z17" s="34" t="n">
        <v>147</v>
      </c>
      <c r="AA17" s="34" t="n">
        <v>135</v>
      </c>
      <c r="AB17" s="34" t="n">
        <v>126</v>
      </c>
    </row>
    <row r="18">
      <c r="A18" s="32" t="inlineStr">
        <is>
          <t>JUL-113</t>
        </is>
      </c>
      <c r="B18" s="32" t="inlineStr">
        <is>
          <t>Projet Eau Pour Tous</t>
        </is>
      </c>
      <c r="C18" s="32" t="inlineStr">
        <is>
          <t>ONG / bailleurs</t>
        </is>
      </c>
      <c r="D18" s="32" t="inlineStr">
        <is>
          <t>BJ</t>
        </is>
      </c>
      <c r="E18" s="32" t="inlineStr">
        <is>
          <t>Aïcha K.</t>
        </is>
      </c>
      <c r="F18" s="32" t="inlineStr">
        <is>
          <t>Export compta</t>
        </is>
      </c>
      <c r="G18" s="32" t="inlineStr">
        <is>
          <t>Annuel</t>
        </is>
      </c>
      <c r="H18" s="32" t="inlineStr">
        <is>
          <t>Non</t>
        </is>
      </c>
      <c r="I18" s="32" t="inlineStr"/>
      <c r="J18" s="32" t="n">
        <v>5</v>
      </c>
      <c r="K18" s="33" t="n">
        <v>57100000</v>
      </c>
      <c r="L18" s="33" t="n">
        <v>57600000</v>
      </c>
      <c r="M18" s="33" t="n">
        <v>59800000</v>
      </c>
      <c r="N18" s="33" t="n">
        <v>62000000</v>
      </c>
      <c r="O18" s="33" t="n">
        <v>61100000</v>
      </c>
      <c r="P18" s="33" t="n">
        <v>63900000</v>
      </c>
      <c r="Q18" s="33" t="n">
        <v>22900000</v>
      </c>
      <c r="R18" s="33" t="n">
        <v>22300000</v>
      </c>
      <c r="S18" s="33" t="n">
        <v>22400000</v>
      </c>
      <c r="T18" s="33" t="n">
        <v>22400000</v>
      </c>
      <c r="U18" s="33" t="n">
        <v>21400000</v>
      </c>
      <c r="V18" s="33" t="n">
        <v>21700000</v>
      </c>
      <c r="W18" s="32" t="n">
        <v>76</v>
      </c>
      <c r="X18" s="32" t="n">
        <v>78</v>
      </c>
      <c r="Y18" s="32" t="n">
        <v>80</v>
      </c>
      <c r="Z18" s="32" t="n">
        <v>80</v>
      </c>
      <c r="AA18" s="32" t="n">
        <v>83</v>
      </c>
      <c r="AB18" s="32" t="n">
        <v>83</v>
      </c>
    </row>
    <row r="19">
      <c r="A19" s="34" t="inlineStr">
        <is>
          <t>JUL-114</t>
        </is>
      </c>
      <c r="B19" s="34" t="inlineStr">
        <is>
          <t>Sahel Telecom Services</t>
        </is>
      </c>
      <c r="C19" s="34" t="inlineStr">
        <is>
          <t>Télécoms / services</t>
        </is>
      </c>
      <c r="D19" s="34" t="inlineStr">
        <is>
          <t>SN</t>
        </is>
      </c>
      <c r="E19" s="34" t="inlineStr">
        <is>
          <t>Serge T.</t>
        </is>
      </c>
      <c r="F19" s="34" t="inlineStr">
        <is>
          <t>API</t>
        </is>
      </c>
      <c r="G19" s="34" t="inlineStr">
        <is>
          <t>Annuel</t>
        </is>
      </c>
      <c r="H19" s="34" t="inlineStr">
        <is>
          <t>Non</t>
        </is>
      </c>
      <c r="I19" s="34" t="inlineStr"/>
      <c r="J19" s="34" t="n">
        <v>6</v>
      </c>
      <c r="K19" s="35" t="n">
        <v>168800000</v>
      </c>
      <c r="L19" s="35" t="n">
        <v>173500000</v>
      </c>
      <c r="M19" s="35" t="n">
        <v>195600000</v>
      </c>
      <c r="N19" s="35" t="n">
        <v>192600000</v>
      </c>
      <c r="O19" s="35" t="n">
        <v>208600000</v>
      </c>
      <c r="P19" s="35" t="n">
        <v>199600000</v>
      </c>
      <c r="Q19" s="35" t="n">
        <v>60800000</v>
      </c>
      <c r="R19" s="35" t="n">
        <v>60400000</v>
      </c>
      <c r="S19" s="35" t="n">
        <v>65800000</v>
      </c>
      <c r="T19" s="35" t="n">
        <v>62800000</v>
      </c>
      <c r="U19" s="35" t="n">
        <v>65900000</v>
      </c>
      <c r="V19" s="35" t="n">
        <v>61100000</v>
      </c>
      <c r="W19" s="34" t="n">
        <v>341</v>
      </c>
      <c r="X19" s="34" t="n">
        <v>343</v>
      </c>
      <c r="Y19" s="34" t="n">
        <v>359</v>
      </c>
      <c r="Z19" s="34" t="n">
        <v>352</v>
      </c>
      <c r="AA19" s="34" t="n">
        <v>372</v>
      </c>
      <c r="AB19" s="34" t="n">
        <v>370</v>
      </c>
    </row>
    <row r="20">
      <c r="A20" s="32" t="inlineStr">
        <is>
          <t>JUL-115</t>
        </is>
      </c>
      <c r="B20" s="32" t="inlineStr">
        <is>
          <t>Bouaké Agro Plus</t>
        </is>
      </c>
      <c r="C20" s="32" t="inlineStr">
        <is>
          <t>Agro-industrie</t>
        </is>
      </c>
      <c r="D20" s="32" t="inlineStr">
        <is>
          <t>CI</t>
        </is>
      </c>
      <c r="E20" s="32" t="inlineStr">
        <is>
          <t>Mariam D.</t>
        </is>
      </c>
      <c r="F20" s="32" t="inlineStr">
        <is>
          <t>Aucune</t>
        </is>
      </c>
      <c r="G20" s="32" t="inlineStr">
        <is>
          <t>Sans engagement</t>
        </is>
      </c>
      <c r="H20" s="32" t="inlineStr">
        <is>
          <t>Non</t>
        </is>
      </c>
      <c r="I20" s="32" t="inlineStr">
        <is>
          <t>Lot de salaires en échec</t>
        </is>
      </c>
      <c r="J20" s="32" t="n">
        <v>31</v>
      </c>
      <c r="K20" s="33" t="n">
        <v>135800000</v>
      </c>
      <c r="L20" s="33" t="n">
        <v>135200000</v>
      </c>
      <c r="M20" s="33" t="n">
        <v>120300000</v>
      </c>
      <c r="N20" s="33" t="n">
        <v>93000000</v>
      </c>
      <c r="O20" s="33" t="n">
        <v>57900000</v>
      </c>
      <c r="P20" s="33" t="n">
        <v>38800000</v>
      </c>
      <c r="Q20" s="33" t="n">
        <v>42100000</v>
      </c>
      <c r="R20" s="33" t="n">
        <v>41900000</v>
      </c>
      <c r="S20" s="33" t="n">
        <v>35300000</v>
      </c>
      <c r="T20" s="33" t="n">
        <v>24700000</v>
      </c>
      <c r="U20" s="33" t="n">
        <v>14000000</v>
      </c>
      <c r="V20" s="33" t="n">
        <v>8000000</v>
      </c>
      <c r="W20" s="32" t="n">
        <v>535</v>
      </c>
      <c r="X20" s="32" t="n">
        <v>520</v>
      </c>
      <c r="Y20" s="32" t="n">
        <v>500</v>
      </c>
      <c r="Z20" s="32" t="n">
        <v>357</v>
      </c>
      <c r="AA20" s="32" t="n">
        <v>258</v>
      </c>
      <c r="AB20" s="32" t="n">
        <v>184</v>
      </c>
    </row>
    <row r="21">
      <c r="A21" s="34" t="inlineStr">
        <is>
          <t>JUL-116</t>
        </is>
      </c>
      <c r="B21" s="34" t="inlineStr">
        <is>
          <t>Résidences Akwaba</t>
        </is>
      </c>
      <c r="C21" s="34" t="inlineStr">
        <is>
          <t>Immobilier</t>
        </is>
      </c>
      <c r="D21" s="34" t="inlineStr">
        <is>
          <t>CI</t>
        </is>
      </c>
      <c r="E21" s="34" t="inlineStr">
        <is>
          <t>Yannick B.</t>
        </is>
      </c>
      <c r="F21" s="34" t="inlineStr">
        <is>
          <t>Export compta</t>
        </is>
      </c>
      <c r="G21" s="34" t="inlineStr">
        <is>
          <t>Sans engagement</t>
        </is>
      </c>
      <c r="H21" s="34" t="inlineStr">
        <is>
          <t>Non</t>
        </is>
      </c>
      <c r="I21" s="34" t="inlineStr"/>
      <c r="J21" s="34" t="n">
        <v>3</v>
      </c>
      <c r="K21" s="35" t="n">
        <v>74200000</v>
      </c>
      <c r="L21" s="35" t="n">
        <v>73500000</v>
      </c>
      <c r="M21" s="35" t="n">
        <v>72000000</v>
      </c>
      <c r="N21" s="35" t="n">
        <v>72800000</v>
      </c>
      <c r="O21" s="35" t="n">
        <v>70100000</v>
      </c>
      <c r="P21" s="35" t="n">
        <v>72300000</v>
      </c>
      <c r="Q21" s="35" t="n">
        <v>14800000</v>
      </c>
      <c r="R21" s="35" t="n">
        <v>14700000</v>
      </c>
      <c r="S21" s="35" t="n">
        <v>14400000</v>
      </c>
      <c r="T21" s="35" t="n">
        <v>14600000</v>
      </c>
      <c r="U21" s="35" t="n">
        <v>14000000</v>
      </c>
      <c r="V21" s="35" t="n">
        <v>14500000</v>
      </c>
      <c r="W21" s="34" t="n">
        <v>62</v>
      </c>
      <c r="X21" s="34" t="n">
        <v>58</v>
      </c>
      <c r="Y21" s="34" t="n">
        <v>58</v>
      </c>
      <c r="Z21" s="34" t="n">
        <v>61</v>
      </c>
      <c r="AA21" s="34" t="n">
        <v>58</v>
      </c>
      <c r="AB21" s="34" t="n">
        <v>59</v>
      </c>
    </row>
    <row r="22">
      <c r="A22" s="32" t="inlineStr">
        <is>
          <t>JUL-117</t>
        </is>
      </c>
      <c r="B22" s="32" t="inlineStr">
        <is>
          <t>Nettoyage Pro Abidjan</t>
        </is>
      </c>
      <c r="C22" s="32" t="inlineStr">
        <is>
          <t>Services aux entreprises</t>
        </is>
      </c>
      <c r="D22" s="32" t="inlineStr">
        <is>
          <t>CI</t>
        </is>
      </c>
      <c r="E22" s="32" t="inlineStr">
        <is>
          <t>Aïcha K.</t>
        </is>
      </c>
      <c r="F22" s="32" t="inlineStr">
        <is>
          <t>Aucune</t>
        </is>
      </c>
      <c r="G22" s="32" t="inlineStr">
        <is>
          <t>Sans engagement</t>
        </is>
      </c>
      <c r="H22" s="32" t="inlineStr">
        <is>
          <t>Non</t>
        </is>
      </c>
      <c r="I22" s="32" t="inlineStr"/>
      <c r="J22" s="32" t="n">
        <v>10</v>
      </c>
      <c r="K22" s="33" t="n">
        <v>100900000</v>
      </c>
      <c r="L22" s="33" t="n">
        <v>98300000</v>
      </c>
      <c r="M22" s="33" t="n">
        <v>94900000</v>
      </c>
      <c r="N22" s="33" t="n">
        <v>88700000</v>
      </c>
      <c r="O22" s="33" t="n">
        <v>80800000</v>
      </c>
      <c r="P22" s="33" t="n">
        <v>73600000</v>
      </c>
      <c r="Q22" s="33" t="n">
        <v>57500000</v>
      </c>
      <c r="R22" s="33" t="n">
        <v>56000000</v>
      </c>
      <c r="S22" s="33" t="n">
        <v>54100000</v>
      </c>
      <c r="T22" s="33" t="n">
        <v>39300000</v>
      </c>
      <c r="U22" s="33" t="n">
        <v>25900000</v>
      </c>
      <c r="V22" s="33" t="n">
        <v>17500000</v>
      </c>
      <c r="W22" s="32" t="n">
        <v>489</v>
      </c>
      <c r="X22" s="32" t="n">
        <v>467</v>
      </c>
      <c r="Y22" s="32" t="n">
        <v>477</v>
      </c>
      <c r="Z22" s="32" t="n">
        <v>434</v>
      </c>
      <c r="AA22" s="32" t="n">
        <v>416</v>
      </c>
      <c r="AB22" s="32" t="n">
        <v>393</v>
      </c>
    </row>
    <row r="23">
      <c r="A23" s="34" t="inlineStr">
        <is>
          <t>JUL-118</t>
        </is>
      </c>
      <c r="B23" s="34" t="inlineStr">
        <is>
          <t>Lomé Port Manutention</t>
        </is>
      </c>
      <c r="C23" s="34" t="inlineStr">
        <is>
          <t>Transport / logistique</t>
        </is>
      </c>
      <c r="D23" s="34" t="inlineStr">
        <is>
          <t>TG</t>
        </is>
      </c>
      <c r="E23" s="34" t="inlineStr">
        <is>
          <t>Serge T.</t>
        </is>
      </c>
      <c r="F23" s="34" t="inlineStr">
        <is>
          <t>API</t>
        </is>
      </c>
      <c r="G23" s="34" t="inlineStr">
        <is>
          <t>Annuel</t>
        </is>
      </c>
      <c r="H23" s="34" t="inlineStr">
        <is>
          <t>Non</t>
        </is>
      </c>
      <c r="I23" s="34" t="inlineStr"/>
      <c r="J23" s="34" t="n">
        <v>1</v>
      </c>
      <c r="K23" s="35" t="n">
        <v>197900000</v>
      </c>
      <c r="L23" s="35" t="n">
        <v>212700000</v>
      </c>
      <c r="M23" s="35" t="n">
        <v>219200000</v>
      </c>
      <c r="N23" s="35" t="n">
        <v>230500000</v>
      </c>
      <c r="O23" s="35" t="n">
        <v>225600000</v>
      </c>
      <c r="P23" s="35" t="n">
        <v>244200000</v>
      </c>
      <c r="Q23" s="35" t="n">
        <v>67300000</v>
      </c>
      <c r="R23" s="35" t="n">
        <v>69900000</v>
      </c>
      <c r="S23" s="35" t="n">
        <v>69600000</v>
      </c>
      <c r="T23" s="35" t="n">
        <v>70900000</v>
      </c>
      <c r="U23" s="35" t="n">
        <v>67300000</v>
      </c>
      <c r="V23" s="35" t="n">
        <v>70700000</v>
      </c>
      <c r="W23" s="34" t="n">
        <v>700</v>
      </c>
      <c r="X23" s="34" t="n">
        <v>716</v>
      </c>
      <c r="Y23" s="34" t="n">
        <v>736</v>
      </c>
      <c r="Z23" s="34" t="n">
        <v>727</v>
      </c>
      <c r="AA23" s="34" t="n">
        <v>746</v>
      </c>
      <c r="AB23" s="34" t="n">
        <v>747</v>
      </c>
    </row>
    <row r="24">
      <c r="A24" s="32" t="inlineStr">
        <is>
          <t>JUL-119</t>
        </is>
      </c>
      <c r="B24" s="32" t="inlineStr">
        <is>
          <t>Pharmadis Afrique</t>
        </is>
      </c>
      <c r="C24" s="32" t="inlineStr">
        <is>
          <t>Santé</t>
        </is>
      </c>
      <c r="D24" s="32" t="inlineStr">
        <is>
          <t>CI</t>
        </is>
      </c>
      <c r="E24" s="32" t="inlineStr">
        <is>
          <t>Mariam D.</t>
        </is>
      </c>
      <c r="F24" s="32" t="inlineStr">
        <is>
          <t>API</t>
        </is>
      </c>
      <c r="G24" s="32" t="inlineStr">
        <is>
          <t>Annuel</t>
        </is>
      </c>
      <c r="H24" s="32" t="inlineStr">
        <is>
          <t>Non</t>
        </is>
      </c>
      <c r="I24" s="32" t="inlineStr"/>
      <c r="J24" s="32" t="n">
        <v>5</v>
      </c>
      <c r="K24" s="33" t="n">
        <v>142900000</v>
      </c>
      <c r="L24" s="33" t="n">
        <v>151400000</v>
      </c>
      <c r="M24" s="33" t="n">
        <v>159600000</v>
      </c>
      <c r="N24" s="33" t="n">
        <v>152700000</v>
      </c>
      <c r="O24" s="33" t="n">
        <v>163000000</v>
      </c>
      <c r="P24" s="33" t="n">
        <v>165200000</v>
      </c>
      <c r="Q24" s="33" t="n">
        <v>25700000</v>
      </c>
      <c r="R24" s="33" t="n">
        <v>26300000</v>
      </c>
      <c r="S24" s="33" t="n">
        <v>26900000</v>
      </c>
      <c r="T24" s="33" t="n">
        <v>24900000</v>
      </c>
      <c r="U24" s="33" t="n">
        <v>25700000</v>
      </c>
      <c r="V24" s="33" t="n">
        <v>25300000</v>
      </c>
      <c r="W24" s="32" t="n">
        <v>118</v>
      </c>
      <c r="X24" s="32" t="n">
        <v>121</v>
      </c>
      <c r="Y24" s="32" t="n">
        <v>124</v>
      </c>
      <c r="Z24" s="32" t="n">
        <v>125</v>
      </c>
      <c r="AA24" s="32" t="n">
        <v>128</v>
      </c>
      <c r="AB24" s="32" t="n">
        <v>130</v>
      </c>
    </row>
    <row r="25">
      <c r="A25" s="34" t="inlineStr">
        <is>
          <t>JUL-120</t>
        </is>
      </c>
      <c r="B25" s="34" t="inlineStr">
        <is>
          <t>Restaurants Gbaka &amp; Co</t>
        </is>
      </c>
      <c r="C25" s="34" t="inlineStr">
        <is>
          <t>Restauration</t>
        </is>
      </c>
      <c r="D25" s="34" t="inlineStr">
        <is>
          <t>CI</t>
        </is>
      </c>
      <c r="E25" s="34" t="inlineStr">
        <is>
          <t>Yannick B.</t>
        </is>
      </c>
      <c r="F25" s="34" t="inlineStr">
        <is>
          <t>Aucune</t>
        </is>
      </c>
      <c r="G25" s="34" t="inlineStr">
        <is>
          <t>Sans engagement</t>
        </is>
      </c>
      <c r="H25" s="34" t="inlineStr">
        <is>
          <t>Non</t>
        </is>
      </c>
      <c r="I25" s="34" t="inlineStr">
        <is>
          <t>Lot de salaires en échec</t>
        </is>
      </c>
      <c r="J25" s="34" t="n">
        <v>32</v>
      </c>
      <c r="K25" s="35" t="n">
        <v>40400000</v>
      </c>
      <c r="L25" s="35" t="n">
        <v>41500000</v>
      </c>
      <c r="M25" s="35" t="n">
        <v>39800000</v>
      </c>
      <c r="N25" s="35" t="n">
        <v>27700000</v>
      </c>
      <c r="O25" s="35" t="n">
        <v>19000000</v>
      </c>
      <c r="P25" s="35" t="n">
        <v>12500000</v>
      </c>
      <c r="Q25" s="35" t="n">
        <v>22200000</v>
      </c>
      <c r="R25" s="35" t="n">
        <v>22800000</v>
      </c>
      <c r="S25" s="35" t="n">
        <v>20700000</v>
      </c>
      <c r="T25" s="35" t="n">
        <v>13100000</v>
      </c>
      <c r="U25" s="35" t="n">
        <v>8100000</v>
      </c>
      <c r="V25" s="35" t="n">
        <v>4600000</v>
      </c>
      <c r="W25" s="34" t="n">
        <v>230</v>
      </c>
      <c r="X25" s="34" t="n">
        <v>226</v>
      </c>
      <c r="Y25" s="34" t="n">
        <v>218</v>
      </c>
      <c r="Z25" s="34" t="n">
        <v>164</v>
      </c>
      <c r="AA25" s="34" t="n">
        <v>118</v>
      </c>
      <c r="AB25" s="34" t="n">
        <v>79</v>
      </c>
    </row>
    <row r="26">
      <c r="A26" s="32" t="inlineStr">
        <is>
          <t>JUL-121</t>
        </is>
      </c>
      <c r="B26" s="32" t="inlineStr">
        <is>
          <t>Fondation Avenir Jeunes</t>
        </is>
      </c>
      <c r="C26" s="32" t="inlineStr">
        <is>
          <t>ONG / bailleurs</t>
        </is>
      </c>
      <c r="D26" s="32" t="inlineStr">
        <is>
          <t>CI</t>
        </is>
      </c>
      <c r="E26" s="32" t="inlineStr">
        <is>
          <t>Aïcha K.</t>
        </is>
      </c>
      <c r="F26" s="32" t="inlineStr">
        <is>
          <t>Aucune</t>
        </is>
      </c>
      <c r="G26" s="32" t="inlineStr">
        <is>
          <t>Annuel</t>
        </is>
      </c>
      <c r="H26" s="32" t="inlineStr">
        <is>
          <t>Non</t>
        </is>
      </c>
      <c r="I26" s="32" t="inlineStr">
        <is>
          <t>Lot de salaires en échec</t>
        </is>
      </c>
      <c r="J26" s="32" t="n">
        <v>7</v>
      </c>
      <c r="K26" s="33" t="n">
        <v>32300000</v>
      </c>
      <c r="L26" s="33" t="n">
        <v>34400000</v>
      </c>
      <c r="M26" s="33" t="n">
        <v>34900000</v>
      </c>
      <c r="N26" s="33" t="n">
        <v>32800000</v>
      </c>
      <c r="O26" s="33" t="n">
        <v>31400000</v>
      </c>
      <c r="P26" s="33" t="n">
        <v>27100000</v>
      </c>
      <c r="Q26" s="33" t="n">
        <v>13600000</v>
      </c>
      <c r="R26" s="33" t="n">
        <v>14400000</v>
      </c>
      <c r="S26" s="33" t="n">
        <v>14600000</v>
      </c>
      <c r="T26" s="33" t="n">
        <v>13800000</v>
      </c>
      <c r="U26" s="33" t="n">
        <v>12900000</v>
      </c>
      <c r="V26" s="33" t="n">
        <v>10800000</v>
      </c>
      <c r="W26" s="32" t="n">
        <v>50</v>
      </c>
      <c r="X26" s="32" t="n">
        <v>50</v>
      </c>
      <c r="Y26" s="32" t="n">
        <v>50</v>
      </c>
      <c r="Z26" s="32" t="n">
        <v>51</v>
      </c>
      <c r="AA26" s="32" t="n">
        <v>49</v>
      </c>
      <c r="AB26" s="32" t="n">
        <v>46</v>
      </c>
    </row>
    <row r="27">
      <c r="A27" s="34" t="inlineStr">
        <is>
          <t>JUL-122</t>
        </is>
      </c>
      <c r="B27" s="34" t="inlineStr">
        <is>
          <t>Énergie Solaire Nord</t>
        </is>
      </c>
      <c r="C27" s="34" t="inlineStr">
        <is>
          <t>Énergie</t>
        </is>
      </c>
      <c r="D27" s="34" t="inlineStr">
        <is>
          <t>CI</t>
        </is>
      </c>
      <c r="E27" s="34" t="inlineStr">
        <is>
          <t>Serge T.</t>
        </is>
      </c>
      <c r="F27" s="34" t="inlineStr">
        <is>
          <t>Export compta</t>
        </is>
      </c>
      <c r="G27" s="34" t="inlineStr">
        <is>
          <t>Annuel</t>
        </is>
      </c>
      <c r="H27" s="34" t="inlineStr">
        <is>
          <t>Non</t>
        </is>
      </c>
      <c r="I27" s="34" t="inlineStr"/>
      <c r="J27" s="34" t="n">
        <v>6</v>
      </c>
      <c r="K27" s="35" t="n">
        <v>86700000</v>
      </c>
      <c r="L27" s="35" t="n">
        <v>91200000</v>
      </c>
      <c r="M27" s="35" t="n">
        <v>92300000</v>
      </c>
      <c r="N27" s="35" t="n">
        <v>92000000</v>
      </c>
      <c r="O27" s="35" t="n">
        <v>92300000</v>
      </c>
      <c r="P27" s="35" t="n">
        <v>90100000</v>
      </c>
      <c r="Q27" s="35" t="n">
        <v>23400000</v>
      </c>
      <c r="R27" s="35" t="n">
        <v>24600000</v>
      </c>
      <c r="S27" s="35" t="n">
        <v>24900000</v>
      </c>
      <c r="T27" s="35" t="n">
        <v>24800000</v>
      </c>
      <c r="U27" s="35" t="n">
        <v>24900000</v>
      </c>
      <c r="V27" s="35" t="n">
        <v>24300000</v>
      </c>
      <c r="W27" s="34" t="n">
        <v>152</v>
      </c>
      <c r="X27" s="34" t="n">
        <v>151</v>
      </c>
      <c r="Y27" s="34" t="n">
        <v>154</v>
      </c>
      <c r="Z27" s="34" t="n">
        <v>152</v>
      </c>
      <c r="AA27" s="34" t="n">
        <v>152</v>
      </c>
      <c r="AB27" s="34" t="n">
        <v>147</v>
      </c>
    </row>
    <row r="28">
      <c r="A28" s="32" t="inlineStr">
        <is>
          <t>JUL-123</t>
        </is>
      </c>
      <c r="B28" s="32" t="inlineStr">
        <is>
          <t>Thiès Industries</t>
        </is>
      </c>
      <c r="C28" s="32" t="inlineStr">
        <is>
          <t>Industrie</t>
        </is>
      </c>
      <c r="D28" s="32" t="inlineStr">
        <is>
          <t>SN</t>
        </is>
      </c>
      <c r="E28" s="32" t="inlineStr">
        <is>
          <t>Mariam D.</t>
        </is>
      </c>
      <c r="F28" s="32" t="inlineStr">
        <is>
          <t>Export compta</t>
        </is>
      </c>
      <c r="G28" s="32" t="inlineStr">
        <is>
          <t>Annuel</t>
        </is>
      </c>
      <c r="H28" s="32" t="inlineStr">
        <is>
          <t>Non</t>
        </is>
      </c>
      <c r="I28" s="32" t="inlineStr"/>
      <c r="J28" s="32" t="n">
        <v>3</v>
      </c>
      <c r="K28" s="33" t="n">
        <v>161800000</v>
      </c>
      <c r="L28" s="33" t="n">
        <v>165500000</v>
      </c>
      <c r="M28" s="33" t="n">
        <v>166300000</v>
      </c>
      <c r="N28" s="33" t="n">
        <v>182600000</v>
      </c>
      <c r="O28" s="33" t="n">
        <v>182000000</v>
      </c>
      <c r="P28" s="33" t="n">
        <v>194700000</v>
      </c>
      <c r="Q28" s="33" t="n">
        <v>38800000</v>
      </c>
      <c r="R28" s="33" t="n">
        <v>38400000</v>
      </c>
      <c r="S28" s="33" t="n">
        <v>37300000</v>
      </c>
      <c r="T28" s="33" t="n">
        <v>39700000</v>
      </c>
      <c r="U28" s="33" t="n">
        <v>38300000</v>
      </c>
      <c r="V28" s="33" t="n">
        <v>39800000</v>
      </c>
      <c r="W28" s="32" t="n">
        <v>389</v>
      </c>
      <c r="X28" s="32" t="n">
        <v>390</v>
      </c>
      <c r="Y28" s="32" t="n">
        <v>398</v>
      </c>
      <c r="Z28" s="32" t="n">
        <v>407</v>
      </c>
      <c r="AA28" s="32" t="n">
        <v>410</v>
      </c>
      <c r="AB28" s="32" t="n">
        <v>421</v>
      </c>
    </row>
    <row r="29">
      <c r="A29" s="34" t="inlineStr">
        <is>
          <t>JUL-124</t>
        </is>
      </c>
      <c r="B29" s="34" t="inlineStr">
        <is>
          <t>Marché Frais Cocody</t>
        </is>
      </c>
      <c r="C29" s="34" t="inlineStr">
        <is>
          <t>Distribution</t>
        </is>
      </c>
      <c r="D29" s="34" t="inlineStr">
        <is>
          <t>CI</t>
        </is>
      </c>
      <c r="E29" s="34" t="inlineStr">
        <is>
          <t>Yannick B.</t>
        </is>
      </c>
      <c r="F29" s="34" t="inlineStr">
        <is>
          <t>Aucune</t>
        </is>
      </c>
      <c r="G29" s="34" t="inlineStr">
        <is>
          <t>Sans engagement</t>
        </is>
      </c>
      <c r="H29" s="34" t="inlineStr">
        <is>
          <t>Non</t>
        </is>
      </c>
      <c r="I29" s="34" t="inlineStr"/>
      <c r="J29" s="34" t="n">
        <v>11</v>
      </c>
      <c r="K29" s="35" t="n">
        <v>50100000</v>
      </c>
      <c r="L29" s="35" t="n">
        <v>53400000</v>
      </c>
      <c r="M29" s="35" t="n">
        <v>50900000</v>
      </c>
      <c r="N29" s="35" t="n">
        <v>46600000</v>
      </c>
      <c r="O29" s="35" t="n">
        <v>43100000</v>
      </c>
      <c r="P29" s="35" t="n">
        <v>38400000</v>
      </c>
      <c r="Q29" s="35" t="n">
        <v>25100000</v>
      </c>
      <c r="R29" s="35" t="n">
        <v>26700000</v>
      </c>
      <c r="S29" s="35" t="n">
        <v>25500000</v>
      </c>
      <c r="T29" s="35" t="n">
        <v>18100000</v>
      </c>
      <c r="U29" s="35" t="n">
        <v>12100000</v>
      </c>
      <c r="V29" s="35" t="n">
        <v>8000000</v>
      </c>
      <c r="W29" s="34" t="n">
        <v>107</v>
      </c>
      <c r="X29" s="34" t="n">
        <v>112</v>
      </c>
      <c r="Y29" s="34" t="n">
        <v>112</v>
      </c>
      <c r="Z29" s="34" t="n">
        <v>101</v>
      </c>
      <c r="AA29" s="34" t="n">
        <v>94</v>
      </c>
      <c r="AB29" s="34" t="n">
        <v>89</v>
      </c>
    </row>
    <row r="30">
      <c r="A30" s="32" t="inlineStr">
        <is>
          <t>JUL-125</t>
        </is>
      </c>
      <c r="B30" s="32" t="inlineStr">
        <is>
          <t>Assurances Kpêkpê</t>
        </is>
      </c>
      <c r="C30" s="32" t="inlineStr">
        <is>
          <t>Assurance</t>
        </is>
      </c>
      <c r="D30" s="32" t="inlineStr">
        <is>
          <t>CI</t>
        </is>
      </c>
      <c r="E30" s="32" t="inlineStr">
        <is>
          <t>Aïcha K.</t>
        </is>
      </c>
      <c r="F30" s="32" t="inlineStr">
        <is>
          <t>API</t>
        </is>
      </c>
      <c r="G30" s="32" t="inlineStr">
        <is>
          <t>Annuel</t>
        </is>
      </c>
      <c r="H30" s="32" t="inlineStr">
        <is>
          <t>Non</t>
        </is>
      </c>
      <c r="I30" s="32" t="inlineStr"/>
      <c r="J30" s="32" t="n">
        <v>1</v>
      </c>
      <c r="K30" s="33" t="n">
        <v>233000000</v>
      </c>
      <c r="L30" s="33" t="n">
        <v>242600000</v>
      </c>
      <c r="M30" s="33" t="n">
        <v>252300000</v>
      </c>
      <c r="N30" s="33" t="n">
        <v>247800000</v>
      </c>
      <c r="O30" s="33" t="n">
        <v>269900000</v>
      </c>
      <c r="P30" s="33" t="n">
        <v>262100000</v>
      </c>
      <c r="Q30" s="33" t="n">
        <v>34900000</v>
      </c>
      <c r="R30" s="33" t="n">
        <v>35200000</v>
      </c>
      <c r="S30" s="33" t="n">
        <v>35400000</v>
      </c>
      <c r="T30" s="33" t="n">
        <v>33600000</v>
      </c>
      <c r="U30" s="33" t="n">
        <v>35500000</v>
      </c>
      <c r="V30" s="33" t="n">
        <v>33500000</v>
      </c>
      <c r="W30" s="32" t="n">
        <v>86</v>
      </c>
      <c r="X30" s="32" t="n">
        <v>89</v>
      </c>
      <c r="Y30" s="32" t="n">
        <v>88</v>
      </c>
      <c r="Z30" s="32" t="n">
        <v>92</v>
      </c>
      <c r="AA30" s="32" t="n">
        <v>94</v>
      </c>
      <c r="AB30" s="32" t="n">
        <v>95</v>
      </c>
    </row>
    <row r="31">
      <c r="A31" s="34" t="inlineStr">
        <is>
          <t>JUL-126</t>
        </is>
      </c>
      <c r="B31" s="34" t="inlineStr">
        <is>
          <t>Yamoussoukro Matériaux</t>
        </is>
      </c>
      <c r="C31" s="34" t="inlineStr">
        <is>
          <t>BTP</t>
        </is>
      </c>
      <c r="D31" s="34" t="inlineStr">
        <is>
          <t>CI</t>
        </is>
      </c>
      <c r="E31" s="34" t="inlineStr">
        <is>
          <t>Serge T.</t>
        </is>
      </c>
      <c r="F31" s="34" t="inlineStr">
        <is>
          <t>Export compta</t>
        </is>
      </c>
      <c r="G31" s="34" t="inlineStr">
        <is>
          <t>Sans engagement</t>
        </is>
      </c>
      <c r="H31" s="34" t="inlineStr">
        <is>
          <t>Non</t>
        </is>
      </c>
      <c r="I31" s="34" t="inlineStr">
        <is>
          <t>Délai de virement bancaire</t>
        </is>
      </c>
      <c r="J31" s="34" t="n">
        <v>6</v>
      </c>
      <c r="K31" s="35" t="n">
        <v>96100000</v>
      </c>
      <c r="L31" s="35" t="n">
        <v>95100000</v>
      </c>
      <c r="M31" s="35" t="n">
        <v>97600000</v>
      </c>
      <c r="N31" s="35" t="n">
        <v>90600000</v>
      </c>
      <c r="O31" s="35" t="n">
        <v>91100000</v>
      </c>
      <c r="P31" s="35" t="n">
        <v>74100000</v>
      </c>
      <c r="Q31" s="35" t="n">
        <v>31700000</v>
      </c>
      <c r="R31" s="35" t="n">
        <v>31400000</v>
      </c>
      <c r="S31" s="35" t="n">
        <v>32200000</v>
      </c>
      <c r="T31" s="35" t="n">
        <v>29900000</v>
      </c>
      <c r="U31" s="35" t="n">
        <v>29400000</v>
      </c>
      <c r="V31" s="35" t="n">
        <v>23300000</v>
      </c>
      <c r="W31" s="34" t="n">
        <v>262</v>
      </c>
      <c r="X31" s="34" t="n">
        <v>254</v>
      </c>
      <c r="Y31" s="34" t="n">
        <v>260</v>
      </c>
      <c r="Z31" s="34" t="n">
        <v>266</v>
      </c>
      <c r="AA31" s="34" t="n">
        <v>247</v>
      </c>
      <c r="AB31" s="34" t="n">
        <v>239</v>
      </c>
    </row>
    <row r="32">
      <c r="A32" s="32" t="inlineStr">
        <is>
          <t>JUL-127</t>
        </is>
      </c>
      <c r="B32" s="32" t="inlineStr">
        <is>
          <t>Microcrédit Solidaire</t>
        </is>
      </c>
      <c r="C32" s="32" t="inlineStr">
        <is>
          <t>Microfinance</t>
        </is>
      </c>
      <c r="D32" s="32" t="inlineStr">
        <is>
          <t>BJ</t>
        </is>
      </c>
      <c r="E32" s="32" t="inlineStr">
        <is>
          <t>Mariam D.</t>
        </is>
      </c>
      <c r="F32" s="32" t="inlineStr">
        <is>
          <t>API</t>
        </is>
      </c>
      <c r="G32" s="32" t="inlineStr">
        <is>
          <t>Annuel</t>
        </is>
      </c>
      <c r="H32" s="32" t="inlineStr">
        <is>
          <t>Non</t>
        </is>
      </c>
      <c r="I32" s="32" t="inlineStr"/>
      <c r="J32" s="32" t="n">
        <v>7</v>
      </c>
      <c r="K32" s="33" t="n">
        <v>119000000</v>
      </c>
      <c r="L32" s="33" t="n">
        <v>126200000</v>
      </c>
      <c r="M32" s="33" t="n">
        <v>125000000</v>
      </c>
      <c r="N32" s="33" t="n">
        <v>123400000</v>
      </c>
      <c r="O32" s="33" t="n">
        <v>126700000</v>
      </c>
      <c r="P32" s="33" t="n">
        <v>123100000</v>
      </c>
      <c r="Q32" s="33" t="n">
        <v>45200000</v>
      </c>
      <c r="R32" s="33" t="n">
        <v>47900000</v>
      </c>
      <c r="S32" s="33" t="n">
        <v>47500000</v>
      </c>
      <c r="T32" s="33" t="n">
        <v>46900000</v>
      </c>
      <c r="U32" s="33" t="n">
        <v>48100000</v>
      </c>
      <c r="V32" s="33" t="n">
        <v>46800000</v>
      </c>
      <c r="W32" s="32" t="n">
        <v>142</v>
      </c>
      <c r="X32" s="32" t="n">
        <v>140</v>
      </c>
      <c r="Y32" s="32" t="n">
        <v>144</v>
      </c>
      <c r="Z32" s="32" t="n">
        <v>141</v>
      </c>
      <c r="AA32" s="32" t="n">
        <v>139</v>
      </c>
      <c r="AB32" s="32" t="n">
        <v>142</v>
      </c>
    </row>
    <row r="33">
      <c r="A33" s="34" t="inlineStr">
        <is>
          <t>JUL-128</t>
        </is>
      </c>
      <c r="B33" s="34" t="inlineStr">
        <is>
          <t>Abidjan Events</t>
        </is>
      </c>
      <c r="C33" s="34" t="inlineStr">
        <is>
          <t>Événementiel</t>
        </is>
      </c>
      <c r="D33" s="34" t="inlineStr">
        <is>
          <t>CI</t>
        </is>
      </c>
      <c r="E33" s="34" t="inlineStr">
        <is>
          <t>Yannick B.</t>
        </is>
      </c>
      <c r="F33" s="34" t="inlineStr">
        <is>
          <t>Aucune</t>
        </is>
      </c>
      <c r="G33" s="34" t="inlineStr">
        <is>
          <t>Sans engagement</t>
        </is>
      </c>
      <c r="H33" s="34" t="inlineStr">
        <is>
          <t>Oui</t>
        </is>
      </c>
      <c r="I33" s="34" t="inlineStr"/>
      <c r="J33" s="34" t="n">
        <v>5</v>
      </c>
      <c r="K33" s="35" t="n">
        <v>30200000</v>
      </c>
      <c r="L33" s="35" t="n">
        <v>29800000</v>
      </c>
      <c r="M33" s="35" t="n">
        <v>28200000</v>
      </c>
      <c r="N33" s="35" t="n">
        <v>16800000</v>
      </c>
      <c r="O33" s="35" t="n">
        <v>15600000</v>
      </c>
      <c r="P33" s="35" t="n">
        <v>24200000</v>
      </c>
      <c r="Q33" s="35" t="n">
        <v>13900000</v>
      </c>
      <c r="R33" s="35" t="n">
        <v>13700000</v>
      </c>
      <c r="S33" s="35" t="n">
        <v>13000000</v>
      </c>
      <c r="T33" s="35" t="n">
        <v>7700000</v>
      </c>
      <c r="U33" s="35" t="n">
        <v>7200000</v>
      </c>
      <c r="V33" s="35" t="n">
        <v>11100000</v>
      </c>
      <c r="W33" s="34" t="n">
        <v>71</v>
      </c>
      <c r="X33" s="34" t="n">
        <v>72</v>
      </c>
      <c r="Y33" s="34" t="n">
        <v>69</v>
      </c>
      <c r="Z33" s="34" t="n">
        <v>48</v>
      </c>
      <c r="AA33" s="34" t="n">
        <v>46</v>
      </c>
      <c r="AB33" s="34" t="n">
        <v>65</v>
      </c>
    </row>
    <row r="34">
      <c r="A34" s="32" t="inlineStr">
        <is>
          <t>JUL-129</t>
        </is>
      </c>
      <c r="B34" s="32" t="inlineStr">
        <is>
          <t>Transports Express Ouest</t>
        </is>
      </c>
      <c r="C34" s="32" t="inlineStr">
        <is>
          <t>Transport / logistique</t>
        </is>
      </c>
      <c r="D34" s="32" t="inlineStr">
        <is>
          <t>CI</t>
        </is>
      </c>
      <c r="E34" s="32" t="inlineStr">
        <is>
          <t>Aïcha K.</t>
        </is>
      </c>
      <c r="F34" s="32" t="inlineStr">
        <is>
          <t>Aucune</t>
        </is>
      </c>
      <c r="G34" s="32" t="inlineStr">
        <is>
          <t>Sans engagement</t>
        </is>
      </c>
      <c r="H34" s="32" t="inlineStr">
        <is>
          <t>Non</t>
        </is>
      </c>
      <c r="I34" s="32" t="inlineStr">
        <is>
          <t>Lot de salaires en échec</t>
        </is>
      </c>
      <c r="J34" s="32" t="n">
        <v>23</v>
      </c>
      <c r="K34" s="33" t="n">
        <v>78400000</v>
      </c>
      <c r="L34" s="33" t="n">
        <v>79100000</v>
      </c>
      <c r="M34" s="33" t="n">
        <v>71300000</v>
      </c>
      <c r="N34" s="33" t="n">
        <v>55700000</v>
      </c>
      <c r="O34" s="33" t="n">
        <v>33400000</v>
      </c>
      <c r="P34" s="33" t="n">
        <v>22700000</v>
      </c>
      <c r="Q34" s="33" t="n">
        <v>38400000</v>
      </c>
      <c r="R34" s="33" t="n">
        <v>38800000</v>
      </c>
      <c r="S34" s="33" t="n">
        <v>33100000</v>
      </c>
      <c r="T34" s="33" t="n">
        <v>23400000</v>
      </c>
      <c r="U34" s="33" t="n">
        <v>12700000</v>
      </c>
      <c r="V34" s="33" t="n">
        <v>7400000</v>
      </c>
      <c r="W34" s="32" t="n">
        <v>323</v>
      </c>
      <c r="X34" s="32" t="n">
        <v>333</v>
      </c>
      <c r="Y34" s="32" t="n">
        <v>306</v>
      </c>
      <c r="Z34" s="32" t="n">
        <v>227</v>
      </c>
      <c r="AA34" s="32" t="n">
        <v>168</v>
      </c>
      <c r="AB34" s="32" t="n">
        <v>116</v>
      </c>
    </row>
    <row r="35">
      <c r="A35" s="34" t="inlineStr">
        <is>
          <t>JUL-130</t>
        </is>
      </c>
      <c r="B35" s="34" t="inlineStr">
        <is>
          <t>Cabinet Conseil Baobab</t>
        </is>
      </c>
      <c r="C35" s="34" t="inlineStr">
        <is>
          <t>Services aux entreprises</t>
        </is>
      </c>
      <c r="D35" s="34" t="inlineStr">
        <is>
          <t>SN</t>
        </is>
      </c>
      <c r="E35" s="34" t="inlineStr">
        <is>
          <t>Serge T.</t>
        </is>
      </c>
      <c r="F35" s="34" t="inlineStr">
        <is>
          <t>Export compta</t>
        </is>
      </c>
      <c r="G35" s="34" t="inlineStr">
        <is>
          <t>Annuel</t>
        </is>
      </c>
      <c r="H35" s="34" t="inlineStr">
        <is>
          <t>Non</t>
        </is>
      </c>
      <c r="I35" s="34" t="inlineStr"/>
      <c r="J35" s="34" t="n">
        <v>6</v>
      </c>
      <c r="K35" s="35" t="n">
        <v>22800000</v>
      </c>
      <c r="L35" s="35" t="n">
        <v>22200000</v>
      </c>
      <c r="M35" s="35" t="n">
        <v>21800000</v>
      </c>
      <c r="N35" s="35" t="n">
        <v>22000000</v>
      </c>
      <c r="O35" s="35" t="n">
        <v>22300000</v>
      </c>
      <c r="P35" s="35" t="n">
        <v>21500000</v>
      </c>
      <c r="Q35" s="35" t="n">
        <v>6900000</v>
      </c>
      <c r="R35" s="35" t="n">
        <v>6700000</v>
      </c>
      <c r="S35" s="35" t="n">
        <v>6500000</v>
      </c>
      <c r="T35" s="35" t="n">
        <v>6600000</v>
      </c>
      <c r="U35" s="35" t="n">
        <v>6700000</v>
      </c>
      <c r="V35" s="35" t="n">
        <v>6400000</v>
      </c>
      <c r="W35" s="34" t="n">
        <v>45</v>
      </c>
      <c r="X35" s="34" t="n">
        <v>44</v>
      </c>
      <c r="Y35" s="34" t="n">
        <v>46</v>
      </c>
      <c r="Z35" s="34" t="n">
        <v>44</v>
      </c>
      <c r="AA35" s="34" t="n">
        <v>46</v>
      </c>
      <c r="AB35" s="34" t="n">
        <v>45</v>
      </c>
    </row>
    <row r="36">
      <c r="A36" s="32" t="inlineStr">
        <is>
          <t>JUL-131</t>
        </is>
      </c>
      <c r="B36" s="32" t="inlineStr">
        <is>
          <t>San Pedro Cacao Export</t>
        </is>
      </c>
      <c r="C36" s="32" t="inlineStr">
        <is>
          <t>Agro-industrie</t>
        </is>
      </c>
      <c r="D36" s="32" t="inlineStr">
        <is>
          <t>CI</t>
        </is>
      </c>
      <c r="E36" s="32" t="inlineStr">
        <is>
          <t>Mariam D.</t>
        </is>
      </c>
      <c r="F36" s="32" t="inlineStr">
        <is>
          <t>API</t>
        </is>
      </c>
      <c r="G36" s="32" t="inlineStr">
        <is>
          <t>Annuel</t>
        </is>
      </c>
      <c r="H36" s="32" t="inlineStr">
        <is>
          <t>Non</t>
        </is>
      </c>
      <c r="I36" s="32" t="inlineStr"/>
      <c r="J36" s="32" t="n">
        <v>6</v>
      </c>
      <c r="K36" s="33" t="n">
        <v>283200000</v>
      </c>
      <c r="L36" s="33" t="n">
        <v>293900000</v>
      </c>
      <c r="M36" s="33" t="n">
        <v>312900000</v>
      </c>
      <c r="N36" s="33" t="n">
        <v>330700000</v>
      </c>
      <c r="O36" s="33" t="n">
        <v>337900000</v>
      </c>
      <c r="P36" s="33" t="n">
        <v>337000000</v>
      </c>
      <c r="Q36" s="33" t="n">
        <v>65100000</v>
      </c>
      <c r="R36" s="33" t="n">
        <v>65300000</v>
      </c>
      <c r="S36" s="33" t="n">
        <v>67300000</v>
      </c>
      <c r="T36" s="33" t="n">
        <v>68800000</v>
      </c>
      <c r="U36" s="33" t="n">
        <v>68200000</v>
      </c>
      <c r="V36" s="33" t="n">
        <v>66000000</v>
      </c>
      <c r="W36" s="32" t="n">
        <v>820</v>
      </c>
      <c r="X36" s="32" t="n">
        <v>797</v>
      </c>
      <c r="Y36" s="32" t="n">
        <v>831</v>
      </c>
      <c r="Z36" s="32" t="n">
        <v>830</v>
      </c>
      <c r="AA36" s="32" t="n">
        <v>854</v>
      </c>
      <c r="AB36" s="32" t="n">
        <v>868</v>
      </c>
    </row>
    <row r="37">
      <c r="A37" s="34" t="inlineStr">
        <is>
          <t>JUL-132</t>
        </is>
      </c>
      <c r="B37" s="34" t="inlineStr">
        <is>
          <t>Tech Hub Plateau</t>
        </is>
      </c>
      <c r="C37" s="34" t="inlineStr">
        <is>
          <t>Technologie</t>
        </is>
      </c>
      <c r="D37" s="34" t="inlineStr">
        <is>
          <t>CI</t>
        </is>
      </c>
      <c r="E37" s="34" t="inlineStr">
        <is>
          <t>Yannick B.</t>
        </is>
      </c>
      <c r="F37" s="34" t="inlineStr">
        <is>
          <t>API</t>
        </is>
      </c>
      <c r="G37" s="34" t="inlineStr">
        <is>
          <t>Sans engagement</t>
        </is>
      </c>
      <c r="H37" s="34" t="inlineStr">
        <is>
          <t>Non</t>
        </is>
      </c>
      <c r="I37" s="34" t="inlineStr"/>
      <c r="J37" s="34" t="n">
        <v>2</v>
      </c>
      <c r="K37" s="35" t="n">
        <v>29800000</v>
      </c>
      <c r="L37" s="35" t="n">
        <v>31200000</v>
      </c>
      <c r="M37" s="35" t="n">
        <v>33900000</v>
      </c>
      <c r="N37" s="35" t="n">
        <v>34700000</v>
      </c>
      <c r="O37" s="35" t="n">
        <v>35100000</v>
      </c>
      <c r="P37" s="35" t="n">
        <v>34700000</v>
      </c>
      <c r="Q37" s="35" t="n">
        <v>11000000</v>
      </c>
      <c r="R37" s="35" t="n">
        <v>11100000</v>
      </c>
      <c r="S37" s="35" t="n">
        <v>11700000</v>
      </c>
      <c r="T37" s="35" t="n">
        <v>11600000</v>
      </c>
      <c r="U37" s="35" t="n">
        <v>11400000</v>
      </c>
      <c r="V37" s="35" t="n">
        <v>10900000</v>
      </c>
      <c r="W37" s="34" t="n">
        <v>67</v>
      </c>
      <c r="X37" s="34" t="n">
        <v>68</v>
      </c>
      <c r="Y37" s="34" t="n">
        <v>66</v>
      </c>
      <c r="Z37" s="34" t="n">
        <v>69</v>
      </c>
      <c r="AA37" s="34" t="n">
        <v>71</v>
      </c>
      <c r="AB37" s="34" t="n">
        <v>72</v>
      </c>
    </row>
    <row r="38">
      <c r="A38" s="32" t="inlineStr">
        <is>
          <t>JUL-133</t>
        </is>
      </c>
      <c r="B38" s="32" t="inlineStr">
        <is>
          <t>Boulangeries Délices</t>
        </is>
      </c>
      <c r="C38" s="32" t="inlineStr">
        <is>
          <t>Restauration</t>
        </is>
      </c>
      <c r="D38" s="32" t="inlineStr">
        <is>
          <t>CI</t>
        </is>
      </c>
      <c r="E38" s="32" t="inlineStr">
        <is>
          <t>Aïcha K.</t>
        </is>
      </c>
      <c r="F38" s="32" t="inlineStr">
        <is>
          <t>Aucune</t>
        </is>
      </c>
      <c r="G38" s="32" t="inlineStr">
        <is>
          <t>Sans engagement</t>
        </is>
      </c>
      <c r="H38" s="32" t="inlineStr">
        <is>
          <t>Non</t>
        </is>
      </c>
      <c r="I38" s="32" t="inlineStr"/>
      <c r="J38" s="32" t="n">
        <v>11</v>
      </c>
      <c r="K38" s="33" t="n">
        <v>37000000</v>
      </c>
      <c r="L38" s="33" t="n">
        <v>37700000</v>
      </c>
      <c r="M38" s="33" t="n">
        <v>35500000</v>
      </c>
      <c r="N38" s="33" t="n">
        <v>31400000</v>
      </c>
      <c r="O38" s="33" t="n">
        <v>29900000</v>
      </c>
      <c r="P38" s="33" t="n">
        <v>25600000</v>
      </c>
      <c r="Q38" s="33" t="n">
        <v>19600000</v>
      </c>
      <c r="R38" s="33" t="n">
        <v>20000000</v>
      </c>
      <c r="S38" s="33" t="n">
        <v>18800000</v>
      </c>
      <c r="T38" s="33" t="n">
        <v>12900000</v>
      </c>
      <c r="U38" s="33" t="n">
        <v>8900000</v>
      </c>
      <c r="V38" s="33" t="n">
        <v>5600000</v>
      </c>
      <c r="W38" s="32" t="n">
        <v>194</v>
      </c>
      <c r="X38" s="32" t="n">
        <v>187</v>
      </c>
      <c r="Y38" s="32" t="n">
        <v>194</v>
      </c>
      <c r="Z38" s="32" t="n">
        <v>177</v>
      </c>
      <c r="AA38" s="32" t="n">
        <v>158</v>
      </c>
      <c r="AB38" s="32" t="n">
        <v>149</v>
      </c>
    </row>
    <row r="39">
      <c r="A39" s="34" t="inlineStr">
        <is>
          <t>JUL-134</t>
        </is>
      </c>
      <c r="B39" s="34" t="inlineStr">
        <is>
          <t>Projet Santé Rurale</t>
        </is>
      </c>
      <c r="C39" s="34" t="inlineStr">
        <is>
          <t>ONG / bailleurs</t>
        </is>
      </c>
      <c r="D39" s="34" t="inlineStr">
        <is>
          <t>TG</t>
        </is>
      </c>
      <c r="E39" s="34" t="inlineStr">
        <is>
          <t>Serge T.</t>
        </is>
      </c>
      <c r="F39" s="34" t="inlineStr">
        <is>
          <t>Export compta</t>
        </is>
      </c>
      <c r="G39" s="34" t="inlineStr">
        <is>
          <t>Annuel</t>
        </is>
      </c>
      <c r="H39" s="34" t="inlineStr">
        <is>
          <t>Non</t>
        </is>
      </c>
      <c r="I39" s="34" t="inlineStr"/>
      <c r="J39" s="34" t="n">
        <v>1</v>
      </c>
      <c r="K39" s="35" t="n">
        <v>66800000</v>
      </c>
      <c r="L39" s="35" t="n">
        <v>73700000</v>
      </c>
      <c r="M39" s="35" t="n">
        <v>72000000</v>
      </c>
      <c r="N39" s="35" t="n">
        <v>73400000</v>
      </c>
      <c r="O39" s="35" t="n">
        <v>79800000</v>
      </c>
      <c r="P39" s="35" t="n">
        <v>81800000</v>
      </c>
      <c r="Q39" s="35" t="n">
        <v>26100000</v>
      </c>
      <c r="R39" s="35" t="n">
        <v>27800000</v>
      </c>
      <c r="S39" s="35" t="n">
        <v>26200000</v>
      </c>
      <c r="T39" s="35" t="n">
        <v>25900000</v>
      </c>
      <c r="U39" s="35" t="n">
        <v>27300000</v>
      </c>
      <c r="V39" s="35" t="n">
        <v>27200000</v>
      </c>
      <c r="W39" s="34" t="n">
        <v>119</v>
      </c>
      <c r="X39" s="34" t="n">
        <v>120</v>
      </c>
      <c r="Y39" s="34" t="n">
        <v>126</v>
      </c>
      <c r="Z39" s="34" t="n">
        <v>125</v>
      </c>
      <c r="AA39" s="34" t="n">
        <v>130</v>
      </c>
      <c r="AB39" s="34" t="n">
        <v>134</v>
      </c>
    </row>
    <row r="40">
      <c r="A40" s="32" t="inlineStr">
        <is>
          <t>JUL-135</t>
        </is>
      </c>
      <c r="B40" s="32" t="inlineStr">
        <is>
          <t>Grands Moulins du Sud</t>
        </is>
      </c>
      <c r="C40" s="32" t="inlineStr">
        <is>
          <t>Industrie</t>
        </is>
      </c>
      <c r="D40" s="32" t="inlineStr">
        <is>
          <t>BJ</t>
        </is>
      </c>
      <c r="E40" s="32" t="inlineStr">
        <is>
          <t>Mariam D.</t>
        </is>
      </c>
      <c r="F40" s="32" t="inlineStr">
        <is>
          <t>Export compta</t>
        </is>
      </c>
      <c r="G40" s="32" t="inlineStr">
        <is>
          <t>Annuel</t>
        </is>
      </c>
      <c r="H40" s="32" t="inlineStr">
        <is>
          <t>Non</t>
        </is>
      </c>
      <c r="I40" s="32" t="inlineStr"/>
      <c r="J40" s="32" t="n">
        <v>2</v>
      </c>
      <c r="K40" s="33" t="n">
        <v>131100000</v>
      </c>
      <c r="L40" s="33" t="n">
        <v>140400000</v>
      </c>
      <c r="M40" s="33" t="n">
        <v>140800000</v>
      </c>
      <c r="N40" s="33" t="n">
        <v>135300000</v>
      </c>
      <c r="O40" s="33" t="n">
        <v>137900000</v>
      </c>
      <c r="P40" s="33" t="n">
        <v>130500000</v>
      </c>
      <c r="Q40" s="33" t="n">
        <v>34100000</v>
      </c>
      <c r="R40" s="33" t="n">
        <v>36500000</v>
      </c>
      <c r="S40" s="33" t="n">
        <v>36600000</v>
      </c>
      <c r="T40" s="33" t="n">
        <v>35200000</v>
      </c>
      <c r="U40" s="33" t="n">
        <v>35800000</v>
      </c>
      <c r="V40" s="33" t="n">
        <v>33900000</v>
      </c>
      <c r="W40" s="32" t="n">
        <v>284</v>
      </c>
      <c r="X40" s="32" t="n">
        <v>288</v>
      </c>
      <c r="Y40" s="32" t="n">
        <v>295</v>
      </c>
      <c r="Z40" s="32" t="n">
        <v>282</v>
      </c>
      <c r="AA40" s="32" t="n">
        <v>294</v>
      </c>
      <c r="AB40" s="32" t="n">
        <v>283</v>
      </c>
    </row>
    <row r="41">
      <c r="A41" s="34" t="inlineStr">
        <is>
          <t>JUL-136</t>
        </is>
      </c>
      <c r="B41" s="34" t="inlineStr">
        <is>
          <t>Auto Pièces Treichville</t>
        </is>
      </c>
      <c r="C41" s="34" t="inlineStr">
        <is>
          <t>Distribution</t>
        </is>
      </c>
      <c r="D41" s="34" t="inlineStr">
        <is>
          <t>CI</t>
        </is>
      </c>
      <c r="E41" s="34" t="inlineStr">
        <is>
          <t>Yannick B.</t>
        </is>
      </c>
      <c r="F41" s="34" t="inlineStr">
        <is>
          <t>Aucune</t>
        </is>
      </c>
      <c r="G41" s="34" t="inlineStr">
        <is>
          <t>Sans engagement</t>
        </is>
      </c>
      <c r="H41" s="34" t="inlineStr">
        <is>
          <t>Non</t>
        </is>
      </c>
      <c r="I41" s="34" t="inlineStr">
        <is>
          <t>Lot de salaires en échec</t>
        </is>
      </c>
      <c r="J41" s="34" t="n">
        <v>10</v>
      </c>
      <c r="K41" s="35" t="n">
        <v>27400000</v>
      </c>
      <c r="L41" s="35" t="n">
        <v>26400000</v>
      </c>
      <c r="M41" s="35" t="n">
        <v>28200000</v>
      </c>
      <c r="N41" s="35" t="n">
        <v>26400000</v>
      </c>
      <c r="O41" s="35" t="n">
        <v>24600000</v>
      </c>
      <c r="P41" s="35" t="n">
        <v>23000000</v>
      </c>
      <c r="Q41" s="35" t="n">
        <v>12900000</v>
      </c>
      <c r="R41" s="35" t="n">
        <v>12400000</v>
      </c>
      <c r="S41" s="35" t="n">
        <v>13300000</v>
      </c>
      <c r="T41" s="35" t="n">
        <v>12400000</v>
      </c>
      <c r="U41" s="35" t="n">
        <v>11300000</v>
      </c>
      <c r="V41" s="35" t="n">
        <v>10300000</v>
      </c>
      <c r="W41" s="34" t="n">
        <v>56</v>
      </c>
      <c r="X41" s="34" t="n">
        <v>56</v>
      </c>
      <c r="Y41" s="34" t="n">
        <v>55</v>
      </c>
      <c r="Z41" s="34" t="n">
        <v>53</v>
      </c>
      <c r="AA41" s="34" t="n">
        <v>53</v>
      </c>
      <c r="AB41" s="34" t="n">
        <v>49</v>
      </c>
    </row>
    <row r="42">
      <c r="A42" s="32" t="inlineStr">
        <is>
          <t>JUL-137</t>
        </is>
      </c>
      <c r="B42" s="32" t="inlineStr">
        <is>
          <t>Cimenterie du Littoral</t>
        </is>
      </c>
      <c r="C42" s="32" t="inlineStr">
        <is>
          <t>Industrie</t>
        </is>
      </c>
      <c r="D42" s="32" t="inlineStr">
        <is>
          <t>CI</t>
        </is>
      </c>
      <c r="E42" s="32" t="inlineStr">
        <is>
          <t>Aïcha K.</t>
        </is>
      </c>
      <c r="F42" s="32" t="inlineStr">
        <is>
          <t>API</t>
        </is>
      </c>
      <c r="G42" s="32" t="inlineStr">
        <is>
          <t>Annuel</t>
        </is>
      </c>
      <c r="H42" s="32" t="inlineStr">
        <is>
          <t>Non</t>
        </is>
      </c>
      <c r="I42" s="32" t="inlineStr"/>
      <c r="J42" s="32" t="n">
        <v>2</v>
      </c>
      <c r="K42" s="33" t="n">
        <v>256200000</v>
      </c>
      <c r="L42" s="33" t="n">
        <v>277700000</v>
      </c>
      <c r="M42" s="33" t="n">
        <v>286100000</v>
      </c>
      <c r="N42" s="33" t="n">
        <v>282700000</v>
      </c>
      <c r="O42" s="33" t="n">
        <v>291800000</v>
      </c>
      <c r="P42" s="33" t="n">
        <v>291000000</v>
      </c>
      <c r="Q42" s="33" t="n">
        <v>53800000</v>
      </c>
      <c r="R42" s="33" t="n">
        <v>56300000</v>
      </c>
      <c r="S42" s="33" t="n">
        <v>56100000</v>
      </c>
      <c r="T42" s="33" t="n">
        <v>53700000</v>
      </c>
      <c r="U42" s="33" t="n">
        <v>53800000</v>
      </c>
      <c r="V42" s="33" t="n">
        <v>52000000</v>
      </c>
      <c r="W42" s="32" t="n">
        <v>454</v>
      </c>
      <c r="X42" s="32" t="n">
        <v>453</v>
      </c>
      <c r="Y42" s="32" t="n">
        <v>454</v>
      </c>
      <c r="Z42" s="32" t="n">
        <v>467</v>
      </c>
      <c r="AA42" s="32" t="n">
        <v>478</v>
      </c>
      <c r="AB42" s="32" t="n">
        <v>504</v>
      </c>
    </row>
    <row r="43">
      <c r="A43" s="34" t="inlineStr">
        <is>
          <t>JUL-138</t>
        </is>
      </c>
      <c r="B43" s="34" t="inlineStr">
        <is>
          <t>Sécurité Gardiennage Plus</t>
        </is>
      </c>
      <c r="C43" s="34" t="inlineStr">
        <is>
          <t>Sécurité privée</t>
        </is>
      </c>
      <c r="D43" s="34" t="inlineStr">
        <is>
          <t>SN</t>
        </is>
      </c>
      <c r="E43" s="34" t="inlineStr">
        <is>
          <t>Serge T.</t>
        </is>
      </c>
      <c r="F43" s="34" t="inlineStr">
        <is>
          <t>Export compta</t>
        </is>
      </c>
      <c r="G43" s="34" t="inlineStr">
        <is>
          <t>Sans engagement</t>
        </is>
      </c>
      <c r="H43" s="34" t="inlineStr">
        <is>
          <t>Non</t>
        </is>
      </c>
      <c r="I43" s="34" t="inlineStr"/>
      <c r="J43" s="34" t="n">
        <v>3</v>
      </c>
      <c r="K43" s="35" t="n">
        <v>114900000</v>
      </c>
      <c r="L43" s="35" t="n">
        <v>116800000</v>
      </c>
      <c r="M43" s="35" t="n">
        <v>109200000</v>
      </c>
      <c r="N43" s="35" t="n">
        <v>110800000</v>
      </c>
      <c r="O43" s="35" t="n">
        <v>116000000</v>
      </c>
      <c r="P43" s="35" t="n">
        <v>114600000</v>
      </c>
      <c r="Q43" s="35" t="n">
        <v>58600000</v>
      </c>
      <c r="R43" s="35" t="n">
        <v>59600000</v>
      </c>
      <c r="S43" s="35" t="n">
        <v>55700000</v>
      </c>
      <c r="T43" s="35" t="n">
        <v>56500000</v>
      </c>
      <c r="U43" s="35" t="n">
        <v>59100000</v>
      </c>
      <c r="V43" s="35" t="n">
        <v>58400000</v>
      </c>
      <c r="W43" s="34" t="n">
        <v>546</v>
      </c>
      <c r="X43" s="34" t="n">
        <v>554</v>
      </c>
      <c r="Y43" s="34" t="n">
        <v>550</v>
      </c>
      <c r="Z43" s="34" t="n">
        <v>570</v>
      </c>
      <c r="AA43" s="34" t="n">
        <v>568</v>
      </c>
      <c r="AB43" s="34" t="n">
        <v>551</v>
      </c>
    </row>
    <row r="44">
      <c r="A44" s="32" t="inlineStr">
        <is>
          <t>JUL-139</t>
        </is>
      </c>
      <c r="B44" s="32" t="inlineStr">
        <is>
          <t>Clinique Mère-Enfant</t>
        </is>
      </c>
      <c r="C44" s="32" t="inlineStr">
        <is>
          <t>Santé</t>
        </is>
      </c>
      <c r="D44" s="32" t="inlineStr">
        <is>
          <t>BJ</t>
        </is>
      </c>
      <c r="E44" s="32" t="inlineStr">
        <is>
          <t>Mariam D.</t>
        </is>
      </c>
      <c r="F44" s="32" t="inlineStr">
        <is>
          <t>Export compta</t>
        </is>
      </c>
      <c r="G44" s="32" t="inlineStr">
        <is>
          <t>Annuel</t>
        </is>
      </c>
      <c r="H44" s="32" t="inlineStr">
        <is>
          <t>Non</t>
        </is>
      </c>
      <c r="I44" s="32" t="inlineStr"/>
      <c r="J44" s="32" t="n">
        <v>5</v>
      </c>
      <c r="K44" s="33" t="n">
        <v>44900000</v>
      </c>
      <c r="L44" s="33" t="n">
        <v>44100000</v>
      </c>
      <c r="M44" s="33" t="n">
        <v>46800000</v>
      </c>
      <c r="N44" s="33" t="n">
        <v>48000000</v>
      </c>
      <c r="O44" s="33" t="n">
        <v>52200000</v>
      </c>
      <c r="P44" s="33" t="n">
        <v>53800000</v>
      </c>
      <c r="Q44" s="33" t="n">
        <v>16200000</v>
      </c>
      <c r="R44" s="33" t="n">
        <v>15300000</v>
      </c>
      <c r="S44" s="33" t="n">
        <v>15700000</v>
      </c>
      <c r="T44" s="33" t="n">
        <v>15700000</v>
      </c>
      <c r="U44" s="33" t="n">
        <v>16500000</v>
      </c>
      <c r="V44" s="33" t="n">
        <v>16500000</v>
      </c>
      <c r="W44" s="32" t="n">
        <v>92</v>
      </c>
      <c r="X44" s="32" t="n">
        <v>93</v>
      </c>
      <c r="Y44" s="32" t="n">
        <v>91</v>
      </c>
      <c r="Z44" s="32" t="n">
        <v>95</v>
      </c>
      <c r="AA44" s="32" t="n">
        <v>98</v>
      </c>
      <c r="AB44" s="32" t="n">
        <v>102</v>
      </c>
    </row>
    <row r="45">
      <c r="A45" s="34" t="inlineStr">
        <is>
          <t>JUL-140</t>
        </is>
      </c>
      <c r="B45" s="34" t="inlineStr">
        <is>
          <t>Grand Bassam Hôtels</t>
        </is>
      </c>
      <c r="C45" s="34" t="inlineStr">
        <is>
          <t>Hôtellerie</t>
        </is>
      </c>
      <c r="D45" s="34" t="inlineStr">
        <is>
          <t>CI</t>
        </is>
      </c>
      <c r="E45" s="34" t="inlineStr">
        <is>
          <t>Yannick B.</t>
        </is>
      </c>
      <c r="F45" s="34" t="inlineStr">
        <is>
          <t>Export compta</t>
        </is>
      </c>
      <c r="G45" s="34" t="inlineStr">
        <is>
          <t>Sans engagement</t>
        </is>
      </c>
      <c r="H45" s="34" t="inlineStr">
        <is>
          <t>Oui</t>
        </is>
      </c>
      <c r="I45" s="34" t="inlineStr"/>
      <c r="J45" s="34" t="n">
        <v>6</v>
      </c>
      <c r="K45" s="35" t="n">
        <v>37100000</v>
      </c>
      <c r="L45" s="35" t="n">
        <v>40400000</v>
      </c>
      <c r="M45" s="35" t="n">
        <v>38800000</v>
      </c>
      <c r="N45" s="35" t="n">
        <v>23200000</v>
      </c>
      <c r="O45" s="35" t="n">
        <v>22200000</v>
      </c>
      <c r="P45" s="35" t="n">
        <v>33100000</v>
      </c>
      <c r="Q45" s="35" t="n">
        <v>15900000</v>
      </c>
      <c r="R45" s="35" t="n">
        <v>17400000</v>
      </c>
      <c r="S45" s="35" t="n">
        <v>16700000</v>
      </c>
      <c r="T45" s="35" t="n">
        <v>10000000</v>
      </c>
      <c r="U45" s="35" t="n">
        <v>9600000</v>
      </c>
      <c r="V45" s="35" t="n">
        <v>14200000</v>
      </c>
      <c r="W45" s="34" t="n">
        <v>133</v>
      </c>
      <c r="X45" s="34" t="n">
        <v>134</v>
      </c>
      <c r="Y45" s="34" t="n">
        <v>127</v>
      </c>
      <c r="Z45" s="34" t="n">
        <v>94</v>
      </c>
      <c r="AA45" s="34" t="n">
        <v>86</v>
      </c>
      <c r="AB45" s="34" t="n">
        <v>115</v>
      </c>
    </row>
  </sheetData>
  <autoFilter ref="A5:AB45"/>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B42318"/>
    <outlinePr summaryBelow="1" summaryRight="1"/>
    <pageSetUpPr/>
  </sheetPr>
  <dimension ref="A1:P4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13" customWidth="1" min="3" max="3"/>
    <col width="18" customWidth="1" min="4" max="4"/>
    <col width="15" customWidth="1" min="5" max="5"/>
    <col width="15" customWidth="1" min="6" max="6"/>
    <col width="11" customWidth="1" min="7" max="7"/>
    <col width="12" customWidth="1" min="8" max="8"/>
    <col width="12" customWidth="1" min="9" max="9"/>
    <col width="9" customWidth="1" min="10" max="10"/>
    <col width="20" customWidth="1" min="11" max="11"/>
    <col width="10" customWidth="1" min="12" max="12"/>
    <col width="13" customWidth="1" min="13" max="13"/>
    <col width="20" customWidth="1" min="14" max="14"/>
    <col width="15" customWidth="1" min="15" max="15"/>
    <col width="60" customWidth="1" min="16" max="16"/>
  </cols>
  <sheetData>
    <row r="1" ht="34" customHeight="1">
      <c r="A1" s="1" t="n"/>
      <c r="B1" s="1" t="n"/>
      <c r="C1" s="2" t="inlineStr">
        <is>
          <t>Détection des clients à risque</t>
        </is>
      </c>
      <c r="D1" s="1" t="n"/>
      <c r="E1" s="1" t="n"/>
      <c r="F1" s="1" t="n"/>
      <c r="G1" s="1" t="n"/>
      <c r="H1" s="1" t="n"/>
      <c r="I1" s="1" t="n"/>
      <c r="J1" s="1" t="n"/>
      <c r="K1" s="1" t="n"/>
      <c r="L1" s="1" t="n"/>
      <c r="M1" s="1" t="n"/>
      <c r="N1" s="1" t="n"/>
      <c r="O1" s="1" t="n"/>
      <c r="P1" s="1" t="n"/>
    </row>
    <row r="2">
      <c r="A2" s="3" t="inlineStr">
        <is>
          <t>FICTIF : clients, volumes et incidents inventés pour illustrer la méthode. Aucun nom, montant ni date ne vient de Julaya.</t>
        </is>
      </c>
      <c r="B2" s="4" t="n"/>
      <c r="C2" s="4" t="n"/>
      <c r="D2" s="4" t="n"/>
      <c r="E2" s="4" t="n"/>
      <c r="F2" s="4" t="n"/>
      <c r="G2" s="4" t="n"/>
      <c r="H2" s="4" t="n"/>
      <c r="I2" s="4" t="n"/>
      <c r="J2" s="4" t="n"/>
      <c r="K2" s="4" t="n"/>
      <c r="L2" s="4" t="n"/>
      <c r="M2" s="4" t="n"/>
      <c r="N2" s="4" t="n"/>
      <c r="O2" s="4" t="n"/>
      <c r="P2" s="4" t="n"/>
    </row>
    <row r="3">
      <c r="A3" s="8" t="inlineStr">
        <is>
          <t>Tout se calcule depuis l'onglet Volumes mensuels et les Paramètres. Triez sur la colonne Score.</t>
        </is>
      </c>
    </row>
    <row r="5" ht="44" customHeight="1">
      <c r="A5" s="31" t="inlineStr">
        <is>
          <t>ID</t>
        </is>
      </c>
      <c r="B5" s="31" t="inlineStr">
        <is>
          <t>Client</t>
        </is>
      </c>
      <c r="C5" s="31" t="inlineStr">
        <is>
          <t>Chargé de compte</t>
        </is>
      </c>
      <c r="D5" s="31" t="inlineStr">
        <is>
          <t>Secteur</t>
        </is>
      </c>
      <c r="E5" s="31" t="inlineStr">
        <is>
          <t>Moyenne mensuelle avr.-juin</t>
        </is>
      </c>
      <c r="F5" s="31" t="inlineStr">
        <is>
          <t>Moyenne mensuelle juil.-sept.</t>
        </is>
      </c>
      <c r="G5" s="31" t="inlineStr">
        <is>
          <t>Baisse du volume total</t>
        </is>
      </c>
      <c r="H5" s="31" t="inlineStr">
        <is>
          <t>Baisse des flux vers Wave (sept.)</t>
        </is>
      </c>
      <c r="I5" s="31" t="inlineStr">
        <is>
          <t>Baisse des bénéficiaires (sept.)</t>
        </is>
      </c>
      <c r="J5" s="31" t="inlineStr">
        <is>
          <t>Jours sans lot</t>
        </is>
      </c>
      <c r="K5" s="31" t="inlineStr">
        <is>
          <t>Réclamation (90 j)</t>
        </is>
      </c>
      <c r="L5" s="31" t="inlineStr">
        <is>
          <t>Score de risque (0-100)</t>
        </is>
      </c>
      <c r="M5" s="31" t="inlineStr">
        <is>
          <t>Niveau</t>
        </is>
      </c>
      <c r="N5" s="31" t="inlineStr">
        <is>
          <t>Signal principal</t>
        </is>
      </c>
      <c r="O5" s="31" t="inlineStr">
        <is>
          <t>Revenu annuel en jeu</t>
        </is>
      </c>
      <c r="P5" s="31" t="inlineStr">
        <is>
          <t>Action recommandée</t>
        </is>
      </c>
    </row>
    <row r="6" ht="44" customHeight="1">
      <c r="A6" s="32">
        <f>'Volumes mensuels'!A6</f>
        <v/>
      </c>
      <c r="B6" s="32">
        <f>'Volumes mensuels'!B6</f>
        <v/>
      </c>
      <c r="C6" s="32">
        <f>'Volumes mensuels'!E6</f>
        <v/>
      </c>
      <c r="D6" s="32">
        <f>'Volumes mensuels'!C6</f>
        <v/>
      </c>
      <c r="E6" s="36">
        <f>AVERAGE('Volumes mensuels'!K6:M6)</f>
        <v/>
      </c>
      <c r="F6" s="36">
        <f>AVERAGE('Volumes mensuels'!N6:P6)</f>
        <v/>
      </c>
      <c r="G6" s="37">
        <f>MAX(0,1-F6/E6)</f>
        <v/>
      </c>
      <c r="H6" s="37">
        <f>IF(AVERAGE('Volumes mensuels'!Q6:S6)=0,0,MAX(0,1-'Volumes mensuels'!V6/AVERAGE('Volumes mensuels'!Q6:S6)))</f>
        <v/>
      </c>
      <c r="I6" s="37">
        <f>MAX(0,1-'Volumes mensuels'!AB6/AVERAGE('Volumes mensuels'!W6:Y6))</f>
        <v/>
      </c>
      <c r="J6" s="32">
        <f>'Volumes mensuels'!J6</f>
        <v/>
      </c>
      <c r="K6" s="32">
        <f>'Volumes mensuels'!I6</f>
        <v/>
      </c>
      <c r="L6" s="38">
        <f>MIN(100,IF(G6&gt;=Paramètres!$B$7,Paramètres!$B$8,IF(G6&gt;=Paramètres!$B$9,Paramètres!$B$10,IF(G6&gt;=Paramètres!$B$11,Paramètres!$B$12,0)))+IF(H6&gt;=Paramètres!$B$13,Paramètres!$B$14,IF(H6&gt;=Paramètres!$B$15,Paramètres!$B$16,0))+IF(J6&gt;Paramètres!$B$17,Paramètres!$B$18,IF(J6&gt;Paramètres!$B$19,Paramètres!$B$20,0))+IF(I6&gt;=Paramètres!$B$21,Paramètres!$B$22,0)+IF(K6&lt;&gt;"",Paramètres!$B$23,0)+IF('Volumes mensuels'!F6="Aucune",Paramètres!$B$24,0)+IF('Volumes mensuels'!G6="Sans engagement",Paramètres!$B$25,0))</f>
        <v/>
      </c>
      <c r="M6" s="39">
        <f>IF(AND('Volumes mensuels'!H6="Oui",L6&gt;=Paramètres!$B$27),"À surveiller",IF(L6&gt;=Paramètres!$B$26,"Critique",IF(L6&gt;=Paramètres!$B$27,"Élevé",IF(L6&gt;=Paramètres!$B$28,"À surveiller","Sain"))))</f>
        <v/>
      </c>
      <c r="N6" s="32">
        <f>IF(M6="Sain","—",IF(AND(J6&gt;Paramètres!$B$17,G6&gt;=Paramètres!$B$7),"Départ en cours",IF(H6&gt;=Paramètres!$B$13,"Flux Wave qui partent",IF(K6&lt;&gt;"","Incident non soldé",IF('Volumes mensuels'!H6="Oui","Baisse saisonnière probable","Baisse de volume")))))</f>
        <v/>
      </c>
      <c r="O6" s="36">
        <f>ROUND(E6*Paramètres!$B$6*12,-3)</f>
        <v/>
      </c>
      <c r="P6" s="32">
        <f>VLOOKUP(N6,Paramètres!$A$33:$B$38,2,FALSE)</f>
        <v/>
      </c>
    </row>
    <row r="7" ht="44" customHeight="1">
      <c r="A7" s="34">
        <f>'Volumes mensuels'!A7</f>
        <v/>
      </c>
      <c r="B7" s="34">
        <f>'Volumes mensuels'!B7</f>
        <v/>
      </c>
      <c r="C7" s="34">
        <f>'Volumes mensuels'!E7</f>
        <v/>
      </c>
      <c r="D7" s="34">
        <f>'Volumes mensuels'!C7</f>
        <v/>
      </c>
      <c r="E7" s="40">
        <f>AVERAGE('Volumes mensuels'!K7:M7)</f>
        <v/>
      </c>
      <c r="F7" s="40">
        <f>AVERAGE('Volumes mensuels'!N7:P7)</f>
        <v/>
      </c>
      <c r="G7" s="41">
        <f>MAX(0,1-F7/E7)</f>
        <v/>
      </c>
      <c r="H7" s="41">
        <f>IF(AVERAGE('Volumes mensuels'!Q7:S7)=0,0,MAX(0,1-'Volumes mensuels'!V7/AVERAGE('Volumes mensuels'!Q7:S7)))</f>
        <v/>
      </c>
      <c r="I7" s="41">
        <f>MAX(0,1-'Volumes mensuels'!AB7/AVERAGE('Volumes mensuels'!W7:Y7))</f>
        <v/>
      </c>
      <c r="J7" s="34">
        <f>'Volumes mensuels'!J7</f>
        <v/>
      </c>
      <c r="K7" s="34">
        <f>'Volumes mensuels'!I7</f>
        <v/>
      </c>
      <c r="L7" s="42">
        <f>MIN(100,IF(G7&gt;=Paramètres!$B$7,Paramètres!$B$8,IF(G7&gt;=Paramètres!$B$9,Paramètres!$B$10,IF(G7&gt;=Paramètres!$B$11,Paramètres!$B$12,0)))+IF(H7&gt;=Paramètres!$B$13,Paramètres!$B$14,IF(H7&gt;=Paramètres!$B$15,Paramètres!$B$16,0))+IF(J7&gt;Paramètres!$B$17,Paramètres!$B$18,IF(J7&gt;Paramètres!$B$19,Paramètres!$B$20,0))+IF(I7&gt;=Paramètres!$B$21,Paramètres!$B$22,0)+IF(K7&lt;&gt;"",Paramètres!$B$23,0)+IF('Volumes mensuels'!F7="Aucune",Paramètres!$B$24,0)+IF('Volumes mensuels'!G7="Sans engagement",Paramètres!$B$25,0))</f>
        <v/>
      </c>
      <c r="M7" s="43">
        <f>IF(AND('Volumes mensuels'!H7="Oui",L7&gt;=Paramètres!$B$27),"À surveiller",IF(L7&gt;=Paramètres!$B$26,"Critique",IF(L7&gt;=Paramètres!$B$27,"Élevé",IF(L7&gt;=Paramètres!$B$28,"À surveiller","Sain"))))</f>
        <v/>
      </c>
      <c r="N7" s="34">
        <f>IF(M7="Sain","—",IF(AND(J7&gt;Paramètres!$B$17,G7&gt;=Paramètres!$B$7),"Départ en cours",IF(H7&gt;=Paramètres!$B$13,"Flux Wave qui partent",IF(K7&lt;&gt;"","Incident non soldé",IF('Volumes mensuels'!H7="Oui","Baisse saisonnière probable","Baisse de volume")))))</f>
        <v/>
      </c>
      <c r="O7" s="40">
        <f>ROUND(E7*Paramètres!$B$6*12,-3)</f>
        <v/>
      </c>
      <c r="P7" s="34">
        <f>VLOOKUP(N7,Paramètres!$A$33:$B$38,2,FALSE)</f>
        <v/>
      </c>
    </row>
    <row r="8" ht="44" customHeight="1">
      <c r="A8" s="32">
        <f>'Volumes mensuels'!A8</f>
        <v/>
      </c>
      <c r="B8" s="32">
        <f>'Volumes mensuels'!B8</f>
        <v/>
      </c>
      <c r="C8" s="32">
        <f>'Volumes mensuels'!E8</f>
        <v/>
      </c>
      <c r="D8" s="32">
        <f>'Volumes mensuels'!C8</f>
        <v/>
      </c>
      <c r="E8" s="36">
        <f>AVERAGE('Volumes mensuels'!K8:M8)</f>
        <v/>
      </c>
      <c r="F8" s="36">
        <f>AVERAGE('Volumes mensuels'!N8:P8)</f>
        <v/>
      </c>
      <c r="G8" s="37">
        <f>MAX(0,1-F8/E8)</f>
        <v/>
      </c>
      <c r="H8" s="37">
        <f>IF(AVERAGE('Volumes mensuels'!Q8:S8)=0,0,MAX(0,1-'Volumes mensuels'!V8/AVERAGE('Volumes mensuels'!Q8:S8)))</f>
        <v/>
      </c>
      <c r="I8" s="37">
        <f>MAX(0,1-'Volumes mensuels'!AB8/AVERAGE('Volumes mensuels'!W8:Y8))</f>
        <v/>
      </c>
      <c r="J8" s="32">
        <f>'Volumes mensuels'!J8</f>
        <v/>
      </c>
      <c r="K8" s="32">
        <f>'Volumes mensuels'!I8</f>
        <v/>
      </c>
      <c r="L8" s="38">
        <f>MIN(100,IF(G8&gt;=Paramètres!$B$7,Paramètres!$B$8,IF(G8&gt;=Paramètres!$B$9,Paramètres!$B$10,IF(G8&gt;=Paramètres!$B$11,Paramètres!$B$12,0)))+IF(H8&gt;=Paramètres!$B$13,Paramètres!$B$14,IF(H8&gt;=Paramètres!$B$15,Paramètres!$B$16,0))+IF(J8&gt;Paramètres!$B$17,Paramètres!$B$18,IF(J8&gt;Paramètres!$B$19,Paramètres!$B$20,0))+IF(I8&gt;=Paramètres!$B$21,Paramètres!$B$22,0)+IF(K8&lt;&gt;"",Paramètres!$B$23,0)+IF('Volumes mensuels'!F8="Aucune",Paramètres!$B$24,0)+IF('Volumes mensuels'!G8="Sans engagement",Paramètres!$B$25,0))</f>
        <v/>
      </c>
      <c r="M8" s="39">
        <f>IF(AND('Volumes mensuels'!H8="Oui",L8&gt;=Paramètres!$B$27),"À surveiller",IF(L8&gt;=Paramètres!$B$26,"Critique",IF(L8&gt;=Paramètres!$B$27,"Élevé",IF(L8&gt;=Paramètres!$B$28,"À surveiller","Sain"))))</f>
        <v/>
      </c>
      <c r="N8" s="32">
        <f>IF(M8="Sain","—",IF(AND(J8&gt;Paramètres!$B$17,G8&gt;=Paramètres!$B$7),"Départ en cours",IF(H8&gt;=Paramètres!$B$13,"Flux Wave qui partent",IF(K8&lt;&gt;"","Incident non soldé",IF('Volumes mensuels'!H8="Oui","Baisse saisonnière probable","Baisse de volume")))))</f>
        <v/>
      </c>
      <c r="O8" s="36">
        <f>ROUND(E8*Paramètres!$B$6*12,-3)</f>
        <v/>
      </c>
      <c r="P8" s="32">
        <f>VLOOKUP(N8,Paramètres!$A$33:$B$38,2,FALSE)</f>
        <v/>
      </c>
    </row>
    <row r="9" ht="44" customHeight="1">
      <c r="A9" s="34">
        <f>'Volumes mensuels'!A9</f>
        <v/>
      </c>
      <c r="B9" s="34">
        <f>'Volumes mensuels'!B9</f>
        <v/>
      </c>
      <c r="C9" s="34">
        <f>'Volumes mensuels'!E9</f>
        <v/>
      </c>
      <c r="D9" s="34">
        <f>'Volumes mensuels'!C9</f>
        <v/>
      </c>
      <c r="E9" s="40">
        <f>AVERAGE('Volumes mensuels'!K9:M9)</f>
        <v/>
      </c>
      <c r="F9" s="40">
        <f>AVERAGE('Volumes mensuels'!N9:P9)</f>
        <v/>
      </c>
      <c r="G9" s="41">
        <f>MAX(0,1-F9/E9)</f>
        <v/>
      </c>
      <c r="H9" s="41">
        <f>IF(AVERAGE('Volumes mensuels'!Q9:S9)=0,0,MAX(0,1-'Volumes mensuels'!V9/AVERAGE('Volumes mensuels'!Q9:S9)))</f>
        <v/>
      </c>
      <c r="I9" s="41">
        <f>MAX(0,1-'Volumes mensuels'!AB9/AVERAGE('Volumes mensuels'!W9:Y9))</f>
        <v/>
      </c>
      <c r="J9" s="34">
        <f>'Volumes mensuels'!J9</f>
        <v/>
      </c>
      <c r="K9" s="34">
        <f>'Volumes mensuels'!I9</f>
        <v/>
      </c>
      <c r="L9" s="42">
        <f>MIN(100,IF(G9&gt;=Paramètres!$B$7,Paramètres!$B$8,IF(G9&gt;=Paramètres!$B$9,Paramètres!$B$10,IF(G9&gt;=Paramètres!$B$11,Paramètres!$B$12,0)))+IF(H9&gt;=Paramètres!$B$13,Paramètres!$B$14,IF(H9&gt;=Paramètres!$B$15,Paramètres!$B$16,0))+IF(J9&gt;Paramètres!$B$17,Paramètres!$B$18,IF(J9&gt;Paramètres!$B$19,Paramètres!$B$20,0))+IF(I9&gt;=Paramètres!$B$21,Paramètres!$B$22,0)+IF(K9&lt;&gt;"",Paramètres!$B$23,0)+IF('Volumes mensuels'!F9="Aucune",Paramètres!$B$24,0)+IF('Volumes mensuels'!G9="Sans engagement",Paramètres!$B$25,0))</f>
        <v/>
      </c>
      <c r="M9" s="43">
        <f>IF(AND('Volumes mensuels'!H9="Oui",L9&gt;=Paramètres!$B$27),"À surveiller",IF(L9&gt;=Paramètres!$B$26,"Critique",IF(L9&gt;=Paramètres!$B$27,"Élevé",IF(L9&gt;=Paramètres!$B$28,"À surveiller","Sain"))))</f>
        <v/>
      </c>
      <c r="N9" s="34">
        <f>IF(M9="Sain","—",IF(AND(J9&gt;Paramètres!$B$17,G9&gt;=Paramètres!$B$7),"Départ en cours",IF(H9&gt;=Paramètres!$B$13,"Flux Wave qui partent",IF(K9&lt;&gt;"","Incident non soldé",IF('Volumes mensuels'!H9="Oui","Baisse saisonnière probable","Baisse de volume")))))</f>
        <v/>
      </c>
      <c r="O9" s="40">
        <f>ROUND(E9*Paramètres!$B$6*12,-3)</f>
        <v/>
      </c>
      <c r="P9" s="34">
        <f>VLOOKUP(N9,Paramètres!$A$33:$B$38,2,FALSE)</f>
        <v/>
      </c>
    </row>
    <row r="10" ht="44" customHeight="1">
      <c r="A10" s="32">
        <f>'Volumes mensuels'!A10</f>
        <v/>
      </c>
      <c r="B10" s="32">
        <f>'Volumes mensuels'!B10</f>
        <v/>
      </c>
      <c r="C10" s="32">
        <f>'Volumes mensuels'!E10</f>
        <v/>
      </c>
      <c r="D10" s="32">
        <f>'Volumes mensuels'!C10</f>
        <v/>
      </c>
      <c r="E10" s="36">
        <f>AVERAGE('Volumes mensuels'!K10:M10)</f>
        <v/>
      </c>
      <c r="F10" s="36">
        <f>AVERAGE('Volumes mensuels'!N10:P10)</f>
        <v/>
      </c>
      <c r="G10" s="37">
        <f>MAX(0,1-F10/E10)</f>
        <v/>
      </c>
      <c r="H10" s="37">
        <f>IF(AVERAGE('Volumes mensuels'!Q10:S10)=0,0,MAX(0,1-'Volumes mensuels'!V10/AVERAGE('Volumes mensuels'!Q10:S10)))</f>
        <v/>
      </c>
      <c r="I10" s="37">
        <f>MAX(0,1-'Volumes mensuels'!AB10/AVERAGE('Volumes mensuels'!W10:Y10))</f>
        <v/>
      </c>
      <c r="J10" s="32">
        <f>'Volumes mensuels'!J10</f>
        <v/>
      </c>
      <c r="K10" s="32">
        <f>'Volumes mensuels'!I10</f>
        <v/>
      </c>
      <c r="L10" s="38">
        <f>MIN(100,IF(G10&gt;=Paramètres!$B$7,Paramètres!$B$8,IF(G10&gt;=Paramètres!$B$9,Paramètres!$B$10,IF(G10&gt;=Paramètres!$B$11,Paramètres!$B$12,0)))+IF(H10&gt;=Paramètres!$B$13,Paramètres!$B$14,IF(H10&gt;=Paramètres!$B$15,Paramètres!$B$16,0))+IF(J10&gt;Paramètres!$B$17,Paramètres!$B$18,IF(J10&gt;Paramètres!$B$19,Paramètres!$B$20,0))+IF(I10&gt;=Paramètres!$B$21,Paramètres!$B$22,0)+IF(K10&lt;&gt;"",Paramètres!$B$23,0)+IF('Volumes mensuels'!F10="Aucune",Paramètres!$B$24,0)+IF('Volumes mensuels'!G10="Sans engagement",Paramètres!$B$25,0))</f>
        <v/>
      </c>
      <c r="M10" s="39">
        <f>IF(AND('Volumes mensuels'!H10="Oui",L10&gt;=Paramètres!$B$27),"À surveiller",IF(L10&gt;=Paramètres!$B$26,"Critique",IF(L10&gt;=Paramètres!$B$27,"Élevé",IF(L10&gt;=Paramètres!$B$28,"À surveiller","Sain"))))</f>
        <v/>
      </c>
      <c r="N10" s="32">
        <f>IF(M10="Sain","—",IF(AND(J10&gt;Paramètres!$B$17,G10&gt;=Paramètres!$B$7),"Départ en cours",IF(H10&gt;=Paramètres!$B$13,"Flux Wave qui partent",IF(K10&lt;&gt;"","Incident non soldé",IF('Volumes mensuels'!H10="Oui","Baisse saisonnière probable","Baisse de volume")))))</f>
        <v/>
      </c>
      <c r="O10" s="36">
        <f>ROUND(E10*Paramètres!$B$6*12,-3)</f>
        <v/>
      </c>
      <c r="P10" s="32">
        <f>VLOOKUP(N10,Paramètres!$A$33:$B$38,2,FALSE)</f>
        <v/>
      </c>
    </row>
    <row r="11" ht="44" customHeight="1">
      <c r="A11" s="34">
        <f>'Volumes mensuels'!A11</f>
        <v/>
      </c>
      <c r="B11" s="34">
        <f>'Volumes mensuels'!B11</f>
        <v/>
      </c>
      <c r="C11" s="34">
        <f>'Volumes mensuels'!E11</f>
        <v/>
      </c>
      <c r="D11" s="34">
        <f>'Volumes mensuels'!C11</f>
        <v/>
      </c>
      <c r="E11" s="40">
        <f>AVERAGE('Volumes mensuels'!K11:M11)</f>
        <v/>
      </c>
      <c r="F11" s="40">
        <f>AVERAGE('Volumes mensuels'!N11:P11)</f>
        <v/>
      </c>
      <c r="G11" s="41">
        <f>MAX(0,1-F11/E11)</f>
        <v/>
      </c>
      <c r="H11" s="41">
        <f>IF(AVERAGE('Volumes mensuels'!Q11:S11)=0,0,MAX(0,1-'Volumes mensuels'!V11/AVERAGE('Volumes mensuels'!Q11:S11)))</f>
        <v/>
      </c>
      <c r="I11" s="41">
        <f>MAX(0,1-'Volumes mensuels'!AB11/AVERAGE('Volumes mensuels'!W11:Y11))</f>
        <v/>
      </c>
      <c r="J11" s="34">
        <f>'Volumes mensuels'!J11</f>
        <v/>
      </c>
      <c r="K11" s="34">
        <f>'Volumes mensuels'!I11</f>
        <v/>
      </c>
      <c r="L11" s="42">
        <f>MIN(100,IF(G11&gt;=Paramètres!$B$7,Paramètres!$B$8,IF(G11&gt;=Paramètres!$B$9,Paramètres!$B$10,IF(G11&gt;=Paramètres!$B$11,Paramètres!$B$12,0)))+IF(H11&gt;=Paramètres!$B$13,Paramètres!$B$14,IF(H11&gt;=Paramètres!$B$15,Paramètres!$B$16,0))+IF(J11&gt;Paramètres!$B$17,Paramètres!$B$18,IF(J11&gt;Paramètres!$B$19,Paramètres!$B$20,0))+IF(I11&gt;=Paramètres!$B$21,Paramètres!$B$22,0)+IF(K11&lt;&gt;"",Paramètres!$B$23,0)+IF('Volumes mensuels'!F11="Aucune",Paramètres!$B$24,0)+IF('Volumes mensuels'!G11="Sans engagement",Paramètres!$B$25,0))</f>
        <v/>
      </c>
      <c r="M11" s="43">
        <f>IF(AND('Volumes mensuels'!H11="Oui",L11&gt;=Paramètres!$B$27),"À surveiller",IF(L11&gt;=Paramètres!$B$26,"Critique",IF(L11&gt;=Paramètres!$B$27,"Élevé",IF(L11&gt;=Paramètres!$B$28,"À surveiller","Sain"))))</f>
        <v/>
      </c>
      <c r="N11" s="34">
        <f>IF(M11="Sain","—",IF(AND(J11&gt;Paramètres!$B$17,G11&gt;=Paramètres!$B$7),"Départ en cours",IF(H11&gt;=Paramètres!$B$13,"Flux Wave qui partent",IF(K11&lt;&gt;"","Incident non soldé",IF('Volumes mensuels'!H11="Oui","Baisse saisonnière probable","Baisse de volume")))))</f>
        <v/>
      </c>
      <c r="O11" s="40">
        <f>ROUND(E11*Paramètres!$B$6*12,-3)</f>
        <v/>
      </c>
      <c r="P11" s="34">
        <f>VLOOKUP(N11,Paramètres!$A$33:$B$38,2,FALSE)</f>
        <v/>
      </c>
    </row>
    <row r="12" ht="44" customHeight="1">
      <c r="A12" s="32">
        <f>'Volumes mensuels'!A12</f>
        <v/>
      </c>
      <c r="B12" s="32">
        <f>'Volumes mensuels'!B12</f>
        <v/>
      </c>
      <c r="C12" s="32">
        <f>'Volumes mensuels'!E12</f>
        <v/>
      </c>
      <c r="D12" s="32">
        <f>'Volumes mensuels'!C12</f>
        <v/>
      </c>
      <c r="E12" s="36">
        <f>AVERAGE('Volumes mensuels'!K12:M12)</f>
        <v/>
      </c>
      <c r="F12" s="36">
        <f>AVERAGE('Volumes mensuels'!N12:P12)</f>
        <v/>
      </c>
      <c r="G12" s="37">
        <f>MAX(0,1-F12/E12)</f>
        <v/>
      </c>
      <c r="H12" s="37">
        <f>IF(AVERAGE('Volumes mensuels'!Q12:S12)=0,0,MAX(0,1-'Volumes mensuels'!V12/AVERAGE('Volumes mensuels'!Q12:S12)))</f>
        <v/>
      </c>
      <c r="I12" s="37">
        <f>MAX(0,1-'Volumes mensuels'!AB12/AVERAGE('Volumes mensuels'!W12:Y12))</f>
        <v/>
      </c>
      <c r="J12" s="32">
        <f>'Volumes mensuels'!J12</f>
        <v/>
      </c>
      <c r="K12" s="32">
        <f>'Volumes mensuels'!I12</f>
        <v/>
      </c>
      <c r="L12" s="38">
        <f>MIN(100,IF(G12&gt;=Paramètres!$B$7,Paramètres!$B$8,IF(G12&gt;=Paramètres!$B$9,Paramètres!$B$10,IF(G12&gt;=Paramètres!$B$11,Paramètres!$B$12,0)))+IF(H12&gt;=Paramètres!$B$13,Paramètres!$B$14,IF(H12&gt;=Paramètres!$B$15,Paramètres!$B$16,0))+IF(J12&gt;Paramètres!$B$17,Paramètres!$B$18,IF(J12&gt;Paramètres!$B$19,Paramètres!$B$20,0))+IF(I12&gt;=Paramètres!$B$21,Paramètres!$B$22,0)+IF(K12&lt;&gt;"",Paramètres!$B$23,0)+IF('Volumes mensuels'!F12="Aucune",Paramètres!$B$24,0)+IF('Volumes mensuels'!G12="Sans engagement",Paramètres!$B$25,0))</f>
        <v/>
      </c>
      <c r="M12" s="39">
        <f>IF(AND('Volumes mensuels'!H12="Oui",L12&gt;=Paramètres!$B$27),"À surveiller",IF(L12&gt;=Paramètres!$B$26,"Critique",IF(L12&gt;=Paramètres!$B$27,"Élevé",IF(L12&gt;=Paramètres!$B$28,"À surveiller","Sain"))))</f>
        <v/>
      </c>
      <c r="N12" s="32">
        <f>IF(M12="Sain","—",IF(AND(J12&gt;Paramètres!$B$17,G12&gt;=Paramètres!$B$7),"Départ en cours",IF(H12&gt;=Paramètres!$B$13,"Flux Wave qui partent",IF(K12&lt;&gt;"","Incident non soldé",IF('Volumes mensuels'!H12="Oui","Baisse saisonnière probable","Baisse de volume")))))</f>
        <v/>
      </c>
      <c r="O12" s="36">
        <f>ROUND(E12*Paramètres!$B$6*12,-3)</f>
        <v/>
      </c>
      <c r="P12" s="32">
        <f>VLOOKUP(N12,Paramètres!$A$33:$B$38,2,FALSE)</f>
        <v/>
      </c>
    </row>
    <row r="13" ht="44" customHeight="1">
      <c r="A13" s="34">
        <f>'Volumes mensuels'!A13</f>
        <v/>
      </c>
      <c r="B13" s="34">
        <f>'Volumes mensuels'!B13</f>
        <v/>
      </c>
      <c r="C13" s="34">
        <f>'Volumes mensuels'!E13</f>
        <v/>
      </c>
      <c r="D13" s="34">
        <f>'Volumes mensuels'!C13</f>
        <v/>
      </c>
      <c r="E13" s="40">
        <f>AVERAGE('Volumes mensuels'!K13:M13)</f>
        <v/>
      </c>
      <c r="F13" s="40">
        <f>AVERAGE('Volumes mensuels'!N13:P13)</f>
        <v/>
      </c>
      <c r="G13" s="41">
        <f>MAX(0,1-F13/E13)</f>
        <v/>
      </c>
      <c r="H13" s="41">
        <f>IF(AVERAGE('Volumes mensuels'!Q13:S13)=0,0,MAX(0,1-'Volumes mensuels'!V13/AVERAGE('Volumes mensuels'!Q13:S13)))</f>
        <v/>
      </c>
      <c r="I13" s="41">
        <f>MAX(0,1-'Volumes mensuels'!AB13/AVERAGE('Volumes mensuels'!W13:Y13))</f>
        <v/>
      </c>
      <c r="J13" s="34">
        <f>'Volumes mensuels'!J13</f>
        <v/>
      </c>
      <c r="K13" s="34">
        <f>'Volumes mensuels'!I13</f>
        <v/>
      </c>
      <c r="L13" s="42">
        <f>MIN(100,IF(G13&gt;=Paramètres!$B$7,Paramètres!$B$8,IF(G13&gt;=Paramètres!$B$9,Paramètres!$B$10,IF(G13&gt;=Paramètres!$B$11,Paramètres!$B$12,0)))+IF(H13&gt;=Paramètres!$B$13,Paramètres!$B$14,IF(H13&gt;=Paramètres!$B$15,Paramètres!$B$16,0))+IF(J13&gt;Paramètres!$B$17,Paramètres!$B$18,IF(J13&gt;Paramètres!$B$19,Paramètres!$B$20,0))+IF(I13&gt;=Paramètres!$B$21,Paramètres!$B$22,0)+IF(K13&lt;&gt;"",Paramètres!$B$23,0)+IF('Volumes mensuels'!F13="Aucune",Paramètres!$B$24,0)+IF('Volumes mensuels'!G13="Sans engagement",Paramètres!$B$25,0))</f>
        <v/>
      </c>
      <c r="M13" s="43">
        <f>IF(AND('Volumes mensuels'!H13="Oui",L13&gt;=Paramètres!$B$27),"À surveiller",IF(L13&gt;=Paramètres!$B$26,"Critique",IF(L13&gt;=Paramètres!$B$27,"Élevé",IF(L13&gt;=Paramètres!$B$28,"À surveiller","Sain"))))</f>
        <v/>
      </c>
      <c r="N13" s="34">
        <f>IF(M13="Sain","—",IF(AND(J13&gt;Paramètres!$B$17,G13&gt;=Paramètres!$B$7),"Départ en cours",IF(H13&gt;=Paramètres!$B$13,"Flux Wave qui partent",IF(K13&lt;&gt;"","Incident non soldé",IF('Volumes mensuels'!H13="Oui","Baisse saisonnière probable","Baisse de volume")))))</f>
        <v/>
      </c>
      <c r="O13" s="40">
        <f>ROUND(E13*Paramètres!$B$6*12,-3)</f>
        <v/>
      </c>
      <c r="P13" s="34">
        <f>VLOOKUP(N13,Paramètres!$A$33:$B$38,2,FALSE)</f>
        <v/>
      </c>
    </row>
    <row r="14" ht="44" customHeight="1">
      <c r="A14" s="32">
        <f>'Volumes mensuels'!A14</f>
        <v/>
      </c>
      <c r="B14" s="32">
        <f>'Volumes mensuels'!B14</f>
        <v/>
      </c>
      <c r="C14" s="32">
        <f>'Volumes mensuels'!E14</f>
        <v/>
      </c>
      <c r="D14" s="32">
        <f>'Volumes mensuels'!C14</f>
        <v/>
      </c>
      <c r="E14" s="36">
        <f>AVERAGE('Volumes mensuels'!K14:M14)</f>
        <v/>
      </c>
      <c r="F14" s="36">
        <f>AVERAGE('Volumes mensuels'!N14:P14)</f>
        <v/>
      </c>
      <c r="G14" s="37">
        <f>MAX(0,1-F14/E14)</f>
        <v/>
      </c>
      <c r="H14" s="37">
        <f>IF(AVERAGE('Volumes mensuels'!Q14:S14)=0,0,MAX(0,1-'Volumes mensuels'!V14/AVERAGE('Volumes mensuels'!Q14:S14)))</f>
        <v/>
      </c>
      <c r="I14" s="37">
        <f>MAX(0,1-'Volumes mensuels'!AB14/AVERAGE('Volumes mensuels'!W14:Y14))</f>
        <v/>
      </c>
      <c r="J14" s="32">
        <f>'Volumes mensuels'!J14</f>
        <v/>
      </c>
      <c r="K14" s="32">
        <f>'Volumes mensuels'!I14</f>
        <v/>
      </c>
      <c r="L14" s="38">
        <f>MIN(100,IF(G14&gt;=Paramètres!$B$7,Paramètres!$B$8,IF(G14&gt;=Paramètres!$B$9,Paramètres!$B$10,IF(G14&gt;=Paramètres!$B$11,Paramètres!$B$12,0)))+IF(H14&gt;=Paramètres!$B$13,Paramètres!$B$14,IF(H14&gt;=Paramètres!$B$15,Paramètres!$B$16,0))+IF(J14&gt;Paramètres!$B$17,Paramètres!$B$18,IF(J14&gt;Paramètres!$B$19,Paramètres!$B$20,0))+IF(I14&gt;=Paramètres!$B$21,Paramètres!$B$22,0)+IF(K14&lt;&gt;"",Paramètres!$B$23,0)+IF('Volumes mensuels'!F14="Aucune",Paramètres!$B$24,0)+IF('Volumes mensuels'!G14="Sans engagement",Paramètres!$B$25,0))</f>
        <v/>
      </c>
      <c r="M14" s="39">
        <f>IF(AND('Volumes mensuels'!H14="Oui",L14&gt;=Paramètres!$B$27),"À surveiller",IF(L14&gt;=Paramètres!$B$26,"Critique",IF(L14&gt;=Paramètres!$B$27,"Élevé",IF(L14&gt;=Paramètres!$B$28,"À surveiller","Sain"))))</f>
        <v/>
      </c>
      <c r="N14" s="32">
        <f>IF(M14="Sain","—",IF(AND(J14&gt;Paramètres!$B$17,G14&gt;=Paramètres!$B$7),"Départ en cours",IF(H14&gt;=Paramètres!$B$13,"Flux Wave qui partent",IF(K14&lt;&gt;"","Incident non soldé",IF('Volumes mensuels'!H14="Oui","Baisse saisonnière probable","Baisse de volume")))))</f>
        <v/>
      </c>
      <c r="O14" s="36">
        <f>ROUND(E14*Paramètres!$B$6*12,-3)</f>
        <v/>
      </c>
      <c r="P14" s="32">
        <f>VLOOKUP(N14,Paramètres!$A$33:$B$38,2,FALSE)</f>
        <v/>
      </c>
    </row>
    <row r="15" ht="44" customHeight="1">
      <c r="A15" s="34">
        <f>'Volumes mensuels'!A15</f>
        <v/>
      </c>
      <c r="B15" s="34">
        <f>'Volumes mensuels'!B15</f>
        <v/>
      </c>
      <c r="C15" s="34">
        <f>'Volumes mensuels'!E15</f>
        <v/>
      </c>
      <c r="D15" s="34">
        <f>'Volumes mensuels'!C15</f>
        <v/>
      </c>
      <c r="E15" s="40">
        <f>AVERAGE('Volumes mensuels'!K15:M15)</f>
        <v/>
      </c>
      <c r="F15" s="40">
        <f>AVERAGE('Volumes mensuels'!N15:P15)</f>
        <v/>
      </c>
      <c r="G15" s="41">
        <f>MAX(0,1-F15/E15)</f>
        <v/>
      </c>
      <c r="H15" s="41">
        <f>IF(AVERAGE('Volumes mensuels'!Q15:S15)=0,0,MAX(0,1-'Volumes mensuels'!V15/AVERAGE('Volumes mensuels'!Q15:S15)))</f>
        <v/>
      </c>
      <c r="I15" s="41">
        <f>MAX(0,1-'Volumes mensuels'!AB15/AVERAGE('Volumes mensuels'!W15:Y15))</f>
        <v/>
      </c>
      <c r="J15" s="34">
        <f>'Volumes mensuels'!J15</f>
        <v/>
      </c>
      <c r="K15" s="34">
        <f>'Volumes mensuels'!I15</f>
        <v/>
      </c>
      <c r="L15" s="42">
        <f>MIN(100,IF(G15&gt;=Paramètres!$B$7,Paramètres!$B$8,IF(G15&gt;=Paramètres!$B$9,Paramètres!$B$10,IF(G15&gt;=Paramètres!$B$11,Paramètres!$B$12,0)))+IF(H15&gt;=Paramètres!$B$13,Paramètres!$B$14,IF(H15&gt;=Paramètres!$B$15,Paramètres!$B$16,0))+IF(J15&gt;Paramètres!$B$17,Paramètres!$B$18,IF(J15&gt;Paramètres!$B$19,Paramètres!$B$20,0))+IF(I15&gt;=Paramètres!$B$21,Paramètres!$B$22,0)+IF(K15&lt;&gt;"",Paramètres!$B$23,0)+IF('Volumes mensuels'!F15="Aucune",Paramètres!$B$24,0)+IF('Volumes mensuels'!G15="Sans engagement",Paramètres!$B$25,0))</f>
        <v/>
      </c>
      <c r="M15" s="43">
        <f>IF(AND('Volumes mensuels'!H15="Oui",L15&gt;=Paramètres!$B$27),"À surveiller",IF(L15&gt;=Paramètres!$B$26,"Critique",IF(L15&gt;=Paramètres!$B$27,"Élevé",IF(L15&gt;=Paramètres!$B$28,"À surveiller","Sain"))))</f>
        <v/>
      </c>
      <c r="N15" s="34">
        <f>IF(M15="Sain","—",IF(AND(J15&gt;Paramètres!$B$17,G15&gt;=Paramètres!$B$7),"Départ en cours",IF(H15&gt;=Paramètres!$B$13,"Flux Wave qui partent",IF(K15&lt;&gt;"","Incident non soldé",IF('Volumes mensuels'!H15="Oui","Baisse saisonnière probable","Baisse de volume")))))</f>
        <v/>
      </c>
      <c r="O15" s="40">
        <f>ROUND(E15*Paramètres!$B$6*12,-3)</f>
        <v/>
      </c>
      <c r="P15" s="34">
        <f>VLOOKUP(N15,Paramètres!$A$33:$B$38,2,FALSE)</f>
        <v/>
      </c>
    </row>
    <row r="16" ht="44" customHeight="1">
      <c r="A16" s="32">
        <f>'Volumes mensuels'!A16</f>
        <v/>
      </c>
      <c r="B16" s="32">
        <f>'Volumes mensuels'!B16</f>
        <v/>
      </c>
      <c r="C16" s="32">
        <f>'Volumes mensuels'!E16</f>
        <v/>
      </c>
      <c r="D16" s="32">
        <f>'Volumes mensuels'!C16</f>
        <v/>
      </c>
      <c r="E16" s="36">
        <f>AVERAGE('Volumes mensuels'!K16:M16)</f>
        <v/>
      </c>
      <c r="F16" s="36">
        <f>AVERAGE('Volumes mensuels'!N16:P16)</f>
        <v/>
      </c>
      <c r="G16" s="37">
        <f>MAX(0,1-F16/E16)</f>
        <v/>
      </c>
      <c r="H16" s="37">
        <f>IF(AVERAGE('Volumes mensuels'!Q16:S16)=0,0,MAX(0,1-'Volumes mensuels'!V16/AVERAGE('Volumes mensuels'!Q16:S16)))</f>
        <v/>
      </c>
      <c r="I16" s="37">
        <f>MAX(0,1-'Volumes mensuels'!AB16/AVERAGE('Volumes mensuels'!W16:Y16))</f>
        <v/>
      </c>
      <c r="J16" s="32">
        <f>'Volumes mensuels'!J16</f>
        <v/>
      </c>
      <c r="K16" s="32">
        <f>'Volumes mensuels'!I16</f>
        <v/>
      </c>
      <c r="L16" s="38">
        <f>MIN(100,IF(G16&gt;=Paramètres!$B$7,Paramètres!$B$8,IF(G16&gt;=Paramètres!$B$9,Paramètres!$B$10,IF(G16&gt;=Paramètres!$B$11,Paramètres!$B$12,0)))+IF(H16&gt;=Paramètres!$B$13,Paramètres!$B$14,IF(H16&gt;=Paramètres!$B$15,Paramètres!$B$16,0))+IF(J16&gt;Paramètres!$B$17,Paramètres!$B$18,IF(J16&gt;Paramètres!$B$19,Paramètres!$B$20,0))+IF(I16&gt;=Paramètres!$B$21,Paramètres!$B$22,0)+IF(K16&lt;&gt;"",Paramètres!$B$23,0)+IF('Volumes mensuels'!F16="Aucune",Paramètres!$B$24,0)+IF('Volumes mensuels'!G16="Sans engagement",Paramètres!$B$25,0))</f>
        <v/>
      </c>
      <c r="M16" s="39">
        <f>IF(AND('Volumes mensuels'!H16="Oui",L16&gt;=Paramètres!$B$27),"À surveiller",IF(L16&gt;=Paramètres!$B$26,"Critique",IF(L16&gt;=Paramètres!$B$27,"Élevé",IF(L16&gt;=Paramètres!$B$28,"À surveiller","Sain"))))</f>
        <v/>
      </c>
      <c r="N16" s="32">
        <f>IF(M16="Sain","—",IF(AND(J16&gt;Paramètres!$B$17,G16&gt;=Paramètres!$B$7),"Départ en cours",IF(H16&gt;=Paramètres!$B$13,"Flux Wave qui partent",IF(K16&lt;&gt;"","Incident non soldé",IF('Volumes mensuels'!H16="Oui","Baisse saisonnière probable","Baisse de volume")))))</f>
        <v/>
      </c>
      <c r="O16" s="36">
        <f>ROUND(E16*Paramètres!$B$6*12,-3)</f>
        <v/>
      </c>
      <c r="P16" s="32">
        <f>VLOOKUP(N16,Paramètres!$A$33:$B$38,2,FALSE)</f>
        <v/>
      </c>
    </row>
    <row r="17" ht="44" customHeight="1">
      <c r="A17" s="34">
        <f>'Volumes mensuels'!A17</f>
        <v/>
      </c>
      <c r="B17" s="34">
        <f>'Volumes mensuels'!B17</f>
        <v/>
      </c>
      <c r="C17" s="34">
        <f>'Volumes mensuels'!E17</f>
        <v/>
      </c>
      <c r="D17" s="34">
        <f>'Volumes mensuels'!C17</f>
        <v/>
      </c>
      <c r="E17" s="40">
        <f>AVERAGE('Volumes mensuels'!K17:M17)</f>
        <v/>
      </c>
      <c r="F17" s="40">
        <f>AVERAGE('Volumes mensuels'!N17:P17)</f>
        <v/>
      </c>
      <c r="G17" s="41">
        <f>MAX(0,1-F17/E17)</f>
        <v/>
      </c>
      <c r="H17" s="41">
        <f>IF(AVERAGE('Volumes mensuels'!Q17:S17)=0,0,MAX(0,1-'Volumes mensuels'!V17/AVERAGE('Volumes mensuels'!Q17:S17)))</f>
        <v/>
      </c>
      <c r="I17" s="41">
        <f>MAX(0,1-'Volumes mensuels'!AB17/AVERAGE('Volumes mensuels'!W17:Y17))</f>
        <v/>
      </c>
      <c r="J17" s="34">
        <f>'Volumes mensuels'!J17</f>
        <v/>
      </c>
      <c r="K17" s="34">
        <f>'Volumes mensuels'!I17</f>
        <v/>
      </c>
      <c r="L17" s="42">
        <f>MIN(100,IF(G17&gt;=Paramètres!$B$7,Paramètres!$B$8,IF(G17&gt;=Paramètres!$B$9,Paramètres!$B$10,IF(G17&gt;=Paramètres!$B$11,Paramètres!$B$12,0)))+IF(H17&gt;=Paramètres!$B$13,Paramètres!$B$14,IF(H17&gt;=Paramètres!$B$15,Paramètres!$B$16,0))+IF(J17&gt;Paramètres!$B$17,Paramètres!$B$18,IF(J17&gt;Paramètres!$B$19,Paramètres!$B$20,0))+IF(I17&gt;=Paramètres!$B$21,Paramètres!$B$22,0)+IF(K17&lt;&gt;"",Paramètres!$B$23,0)+IF('Volumes mensuels'!F17="Aucune",Paramètres!$B$24,0)+IF('Volumes mensuels'!G17="Sans engagement",Paramètres!$B$25,0))</f>
        <v/>
      </c>
      <c r="M17" s="43">
        <f>IF(AND('Volumes mensuels'!H17="Oui",L17&gt;=Paramètres!$B$27),"À surveiller",IF(L17&gt;=Paramètres!$B$26,"Critique",IF(L17&gt;=Paramètres!$B$27,"Élevé",IF(L17&gt;=Paramètres!$B$28,"À surveiller","Sain"))))</f>
        <v/>
      </c>
      <c r="N17" s="34">
        <f>IF(M17="Sain","—",IF(AND(J17&gt;Paramètres!$B$17,G17&gt;=Paramètres!$B$7),"Départ en cours",IF(H17&gt;=Paramètres!$B$13,"Flux Wave qui partent",IF(K17&lt;&gt;"","Incident non soldé",IF('Volumes mensuels'!H17="Oui","Baisse saisonnière probable","Baisse de volume")))))</f>
        <v/>
      </c>
      <c r="O17" s="40">
        <f>ROUND(E17*Paramètres!$B$6*12,-3)</f>
        <v/>
      </c>
      <c r="P17" s="34">
        <f>VLOOKUP(N17,Paramètres!$A$33:$B$38,2,FALSE)</f>
        <v/>
      </c>
    </row>
    <row r="18" ht="44" customHeight="1">
      <c r="A18" s="32">
        <f>'Volumes mensuels'!A18</f>
        <v/>
      </c>
      <c r="B18" s="32">
        <f>'Volumes mensuels'!B18</f>
        <v/>
      </c>
      <c r="C18" s="32">
        <f>'Volumes mensuels'!E18</f>
        <v/>
      </c>
      <c r="D18" s="32">
        <f>'Volumes mensuels'!C18</f>
        <v/>
      </c>
      <c r="E18" s="36">
        <f>AVERAGE('Volumes mensuels'!K18:M18)</f>
        <v/>
      </c>
      <c r="F18" s="36">
        <f>AVERAGE('Volumes mensuels'!N18:P18)</f>
        <v/>
      </c>
      <c r="G18" s="37">
        <f>MAX(0,1-F18/E18)</f>
        <v/>
      </c>
      <c r="H18" s="37">
        <f>IF(AVERAGE('Volumes mensuels'!Q18:S18)=0,0,MAX(0,1-'Volumes mensuels'!V18/AVERAGE('Volumes mensuels'!Q18:S18)))</f>
        <v/>
      </c>
      <c r="I18" s="37">
        <f>MAX(0,1-'Volumes mensuels'!AB18/AVERAGE('Volumes mensuels'!W18:Y18))</f>
        <v/>
      </c>
      <c r="J18" s="32">
        <f>'Volumes mensuels'!J18</f>
        <v/>
      </c>
      <c r="K18" s="32">
        <f>'Volumes mensuels'!I18</f>
        <v/>
      </c>
      <c r="L18" s="38">
        <f>MIN(100,IF(G18&gt;=Paramètres!$B$7,Paramètres!$B$8,IF(G18&gt;=Paramètres!$B$9,Paramètres!$B$10,IF(G18&gt;=Paramètres!$B$11,Paramètres!$B$12,0)))+IF(H18&gt;=Paramètres!$B$13,Paramètres!$B$14,IF(H18&gt;=Paramètres!$B$15,Paramètres!$B$16,0))+IF(J18&gt;Paramètres!$B$17,Paramètres!$B$18,IF(J18&gt;Paramètres!$B$19,Paramètres!$B$20,0))+IF(I18&gt;=Paramètres!$B$21,Paramètres!$B$22,0)+IF(K18&lt;&gt;"",Paramètres!$B$23,0)+IF('Volumes mensuels'!F18="Aucune",Paramètres!$B$24,0)+IF('Volumes mensuels'!G18="Sans engagement",Paramètres!$B$25,0))</f>
        <v/>
      </c>
      <c r="M18" s="39">
        <f>IF(AND('Volumes mensuels'!H18="Oui",L18&gt;=Paramètres!$B$27),"À surveiller",IF(L18&gt;=Paramètres!$B$26,"Critique",IF(L18&gt;=Paramètres!$B$27,"Élevé",IF(L18&gt;=Paramètres!$B$28,"À surveiller","Sain"))))</f>
        <v/>
      </c>
      <c r="N18" s="32">
        <f>IF(M18="Sain","—",IF(AND(J18&gt;Paramètres!$B$17,G18&gt;=Paramètres!$B$7),"Départ en cours",IF(H18&gt;=Paramètres!$B$13,"Flux Wave qui partent",IF(K18&lt;&gt;"","Incident non soldé",IF('Volumes mensuels'!H18="Oui","Baisse saisonnière probable","Baisse de volume")))))</f>
        <v/>
      </c>
      <c r="O18" s="36">
        <f>ROUND(E18*Paramètres!$B$6*12,-3)</f>
        <v/>
      </c>
      <c r="P18" s="32">
        <f>VLOOKUP(N18,Paramètres!$A$33:$B$38,2,FALSE)</f>
        <v/>
      </c>
    </row>
    <row r="19" ht="44" customHeight="1">
      <c r="A19" s="34">
        <f>'Volumes mensuels'!A19</f>
        <v/>
      </c>
      <c r="B19" s="34">
        <f>'Volumes mensuels'!B19</f>
        <v/>
      </c>
      <c r="C19" s="34">
        <f>'Volumes mensuels'!E19</f>
        <v/>
      </c>
      <c r="D19" s="34">
        <f>'Volumes mensuels'!C19</f>
        <v/>
      </c>
      <c r="E19" s="40">
        <f>AVERAGE('Volumes mensuels'!K19:M19)</f>
        <v/>
      </c>
      <c r="F19" s="40">
        <f>AVERAGE('Volumes mensuels'!N19:P19)</f>
        <v/>
      </c>
      <c r="G19" s="41">
        <f>MAX(0,1-F19/E19)</f>
        <v/>
      </c>
      <c r="H19" s="41">
        <f>IF(AVERAGE('Volumes mensuels'!Q19:S19)=0,0,MAX(0,1-'Volumes mensuels'!V19/AVERAGE('Volumes mensuels'!Q19:S19)))</f>
        <v/>
      </c>
      <c r="I19" s="41">
        <f>MAX(0,1-'Volumes mensuels'!AB19/AVERAGE('Volumes mensuels'!W19:Y19))</f>
        <v/>
      </c>
      <c r="J19" s="34">
        <f>'Volumes mensuels'!J19</f>
        <v/>
      </c>
      <c r="K19" s="34">
        <f>'Volumes mensuels'!I19</f>
        <v/>
      </c>
      <c r="L19" s="42">
        <f>MIN(100,IF(G19&gt;=Paramètres!$B$7,Paramètres!$B$8,IF(G19&gt;=Paramètres!$B$9,Paramètres!$B$10,IF(G19&gt;=Paramètres!$B$11,Paramètres!$B$12,0)))+IF(H19&gt;=Paramètres!$B$13,Paramètres!$B$14,IF(H19&gt;=Paramètres!$B$15,Paramètres!$B$16,0))+IF(J19&gt;Paramètres!$B$17,Paramètres!$B$18,IF(J19&gt;Paramètres!$B$19,Paramètres!$B$20,0))+IF(I19&gt;=Paramètres!$B$21,Paramètres!$B$22,0)+IF(K19&lt;&gt;"",Paramètres!$B$23,0)+IF('Volumes mensuels'!F19="Aucune",Paramètres!$B$24,0)+IF('Volumes mensuels'!G19="Sans engagement",Paramètres!$B$25,0))</f>
        <v/>
      </c>
      <c r="M19" s="43">
        <f>IF(AND('Volumes mensuels'!H19="Oui",L19&gt;=Paramètres!$B$27),"À surveiller",IF(L19&gt;=Paramètres!$B$26,"Critique",IF(L19&gt;=Paramètres!$B$27,"Élevé",IF(L19&gt;=Paramètres!$B$28,"À surveiller","Sain"))))</f>
        <v/>
      </c>
      <c r="N19" s="34">
        <f>IF(M19="Sain","—",IF(AND(J19&gt;Paramètres!$B$17,G19&gt;=Paramètres!$B$7),"Départ en cours",IF(H19&gt;=Paramètres!$B$13,"Flux Wave qui partent",IF(K19&lt;&gt;"","Incident non soldé",IF('Volumes mensuels'!H19="Oui","Baisse saisonnière probable","Baisse de volume")))))</f>
        <v/>
      </c>
      <c r="O19" s="40">
        <f>ROUND(E19*Paramètres!$B$6*12,-3)</f>
        <v/>
      </c>
      <c r="P19" s="34">
        <f>VLOOKUP(N19,Paramètres!$A$33:$B$38,2,FALSE)</f>
        <v/>
      </c>
    </row>
    <row r="20" ht="44" customHeight="1">
      <c r="A20" s="32">
        <f>'Volumes mensuels'!A20</f>
        <v/>
      </c>
      <c r="B20" s="32">
        <f>'Volumes mensuels'!B20</f>
        <v/>
      </c>
      <c r="C20" s="32">
        <f>'Volumes mensuels'!E20</f>
        <v/>
      </c>
      <c r="D20" s="32">
        <f>'Volumes mensuels'!C20</f>
        <v/>
      </c>
      <c r="E20" s="36">
        <f>AVERAGE('Volumes mensuels'!K20:M20)</f>
        <v/>
      </c>
      <c r="F20" s="36">
        <f>AVERAGE('Volumes mensuels'!N20:P20)</f>
        <v/>
      </c>
      <c r="G20" s="37">
        <f>MAX(0,1-F20/E20)</f>
        <v/>
      </c>
      <c r="H20" s="37">
        <f>IF(AVERAGE('Volumes mensuels'!Q20:S20)=0,0,MAX(0,1-'Volumes mensuels'!V20/AVERAGE('Volumes mensuels'!Q20:S20)))</f>
        <v/>
      </c>
      <c r="I20" s="37">
        <f>MAX(0,1-'Volumes mensuels'!AB20/AVERAGE('Volumes mensuels'!W20:Y20))</f>
        <v/>
      </c>
      <c r="J20" s="32">
        <f>'Volumes mensuels'!J20</f>
        <v/>
      </c>
      <c r="K20" s="32">
        <f>'Volumes mensuels'!I20</f>
        <v/>
      </c>
      <c r="L20" s="38">
        <f>MIN(100,IF(G20&gt;=Paramètres!$B$7,Paramètres!$B$8,IF(G20&gt;=Paramètres!$B$9,Paramètres!$B$10,IF(G20&gt;=Paramètres!$B$11,Paramètres!$B$12,0)))+IF(H20&gt;=Paramètres!$B$13,Paramètres!$B$14,IF(H20&gt;=Paramètres!$B$15,Paramètres!$B$16,0))+IF(J20&gt;Paramètres!$B$17,Paramètres!$B$18,IF(J20&gt;Paramètres!$B$19,Paramètres!$B$20,0))+IF(I20&gt;=Paramètres!$B$21,Paramètres!$B$22,0)+IF(K20&lt;&gt;"",Paramètres!$B$23,0)+IF('Volumes mensuels'!F20="Aucune",Paramètres!$B$24,0)+IF('Volumes mensuels'!G20="Sans engagement",Paramètres!$B$25,0))</f>
        <v/>
      </c>
      <c r="M20" s="39">
        <f>IF(AND('Volumes mensuels'!H20="Oui",L20&gt;=Paramètres!$B$27),"À surveiller",IF(L20&gt;=Paramètres!$B$26,"Critique",IF(L20&gt;=Paramètres!$B$27,"Élevé",IF(L20&gt;=Paramètres!$B$28,"À surveiller","Sain"))))</f>
        <v/>
      </c>
      <c r="N20" s="32">
        <f>IF(M20="Sain","—",IF(AND(J20&gt;Paramètres!$B$17,G20&gt;=Paramètres!$B$7),"Départ en cours",IF(H20&gt;=Paramètres!$B$13,"Flux Wave qui partent",IF(K20&lt;&gt;"","Incident non soldé",IF('Volumes mensuels'!H20="Oui","Baisse saisonnière probable","Baisse de volume")))))</f>
        <v/>
      </c>
      <c r="O20" s="36">
        <f>ROUND(E20*Paramètres!$B$6*12,-3)</f>
        <v/>
      </c>
      <c r="P20" s="32">
        <f>VLOOKUP(N20,Paramètres!$A$33:$B$38,2,FALSE)</f>
        <v/>
      </c>
    </row>
    <row r="21" ht="44" customHeight="1">
      <c r="A21" s="34">
        <f>'Volumes mensuels'!A21</f>
        <v/>
      </c>
      <c r="B21" s="34">
        <f>'Volumes mensuels'!B21</f>
        <v/>
      </c>
      <c r="C21" s="34">
        <f>'Volumes mensuels'!E21</f>
        <v/>
      </c>
      <c r="D21" s="34">
        <f>'Volumes mensuels'!C21</f>
        <v/>
      </c>
      <c r="E21" s="40">
        <f>AVERAGE('Volumes mensuels'!K21:M21)</f>
        <v/>
      </c>
      <c r="F21" s="40">
        <f>AVERAGE('Volumes mensuels'!N21:P21)</f>
        <v/>
      </c>
      <c r="G21" s="41">
        <f>MAX(0,1-F21/E21)</f>
        <v/>
      </c>
      <c r="H21" s="41">
        <f>IF(AVERAGE('Volumes mensuels'!Q21:S21)=0,0,MAX(0,1-'Volumes mensuels'!V21/AVERAGE('Volumes mensuels'!Q21:S21)))</f>
        <v/>
      </c>
      <c r="I21" s="41">
        <f>MAX(0,1-'Volumes mensuels'!AB21/AVERAGE('Volumes mensuels'!W21:Y21))</f>
        <v/>
      </c>
      <c r="J21" s="34">
        <f>'Volumes mensuels'!J21</f>
        <v/>
      </c>
      <c r="K21" s="34">
        <f>'Volumes mensuels'!I21</f>
        <v/>
      </c>
      <c r="L21" s="42">
        <f>MIN(100,IF(G21&gt;=Paramètres!$B$7,Paramètres!$B$8,IF(G21&gt;=Paramètres!$B$9,Paramètres!$B$10,IF(G21&gt;=Paramètres!$B$11,Paramètres!$B$12,0)))+IF(H21&gt;=Paramètres!$B$13,Paramètres!$B$14,IF(H21&gt;=Paramètres!$B$15,Paramètres!$B$16,0))+IF(J21&gt;Paramètres!$B$17,Paramètres!$B$18,IF(J21&gt;Paramètres!$B$19,Paramètres!$B$20,0))+IF(I21&gt;=Paramètres!$B$21,Paramètres!$B$22,0)+IF(K21&lt;&gt;"",Paramètres!$B$23,0)+IF('Volumes mensuels'!F21="Aucune",Paramètres!$B$24,0)+IF('Volumes mensuels'!G21="Sans engagement",Paramètres!$B$25,0))</f>
        <v/>
      </c>
      <c r="M21" s="43">
        <f>IF(AND('Volumes mensuels'!H21="Oui",L21&gt;=Paramètres!$B$27),"À surveiller",IF(L21&gt;=Paramètres!$B$26,"Critique",IF(L21&gt;=Paramètres!$B$27,"Élevé",IF(L21&gt;=Paramètres!$B$28,"À surveiller","Sain"))))</f>
        <v/>
      </c>
      <c r="N21" s="34">
        <f>IF(M21="Sain","—",IF(AND(J21&gt;Paramètres!$B$17,G21&gt;=Paramètres!$B$7),"Départ en cours",IF(H21&gt;=Paramètres!$B$13,"Flux Wave qui partent",IF(K21&lt;&gt;"","Incident non soldé",IF('Volumes mensuels'!H21="Oui","Baisse saisonnière probable","Baisse de volume")))))</f>
        <v/>
      </c>
      <c r="O21" s="40">
        <f>ROUND(E21*Paramètres!$B$6*12,-3)</f>
        <v/>
      </c>
      <c r="P21" s="34">
        <f>VLOOKUP(N21,Paramètres!$A$33:$B$38,2,FALSE)</f>
        <v/>
      </c>
    </row>
    <row r="22" ht="44" customHeight="1">
      <c r="A22" s="32">
        <f>'Volumes mensuels'!A22</f>
        <v/>
      </c>
      <c r="B22" s="32">
        <f>'Volumes mensuels'!B22</f>
        <v/>
      </c>
      <c r="C22" s="32">
        <f>'Volumes mensuels'!E22</f>
        <v/>
      </c>
      <c r="D22" s="32">
        <f>'Volumes mensuels'!C22</f>
        <v/>
      </c>
      <c r="E22" s="36">
        <f>AVERAGE('Volumes mensuels'!K22:M22)</f>
        <v/>
      </c>
      <c r="F22" s="36">
        <f>AVERAGE('Volumes mensuels'!N22:P22)</f>
        <v/>
      </c>
      <c r="G22" s="37">
        <f>MAX(0,1-F22/E22)</f>
        <v/>
      </c>
      <c r="H22" s="37">
        <f>IF(AVERAGE('Volumes mensuels'!Q22:S22)=0,0,MAX(0,1-'Volumes mensuels'!V22/AVERAGE('Volumes mensuels'!Q22:S22)))</f>
        <v/>
      </c>
      <c r="I22" s="37">
        <f>MAX(0,1-'Volumes mensuels'!AB22/AVERAGE('Volumes mensuels'!W22:Y22))</f>
        <v/>
      </c>
      <c r="J22" s="32">
        <f>'Volumes mensuels'!J22</f>
        <v/>
      </c>
      <c r="K22" s="32">
        <f>'Volumes mensuels'!I22</f>
        <v/>
      </c>
      <c r="L22" s="38">
        <f>MIN(100,IF(G22&gt;=Paramètres!$B$7,Paramètres!$B$8,IF(G22&gt;=Paramètres!$B$9,Paramètres!$B$10,IF(G22&gt;=Paramètres!$B$11,Paramètres!$B$12,0)))+IF(H22&gt;=Paramètres!$B$13,Paramètres!$B$14,IF(H22&gt;=Paramètres!$B$15,Paramètres!$B$16,0))+IF(J22&gt;Paramètres!$B$17,Paramètres!$B$18,IF(J22&gt;Paramètres!$B$19,Paramètres!$B$20,0))+IF(I22&gt;=Paramètres!$B$21,Paramètres!$B$22,0)+IF(K22&lt;&gt;"",Paramètres!$B$23,0)+IF('Volumes mensuels'!F22="Aucune",Paramètres!$B$24,0)+IF('Volumes mensuels'!G22="Sans engagement",Paramètres!$B$25,0))</f>
        <v/>
      </c>
      <c r="M22" s="39">
        <f>IF(AND('Volumes mensuels'!H22="Oui",L22&gt;=Paramètres!$B$27),"À surveiller",IF(L22&gt;=Paramètres!$B$26,"Critique",IF(L22&gt;=Paramètres!$B$27,"Élevé",IF(L22&gt;=Paramètres!$B$28,"À surveiller","Sain"))))</f>
        <v/>
      </c>
      <c r="N22" s="32">
        <f>IF(M22="Sain","—",IF(AND(J22&gt;Paramètres!$B$17,G22&gt;=Paramètres!$B$7),"Départ en cours",IF(H22&gt;=Paramètres!$B$13,"Flux Wave qui partent",IF(K22&lt;&gt;"","Incident non soldé",IF('Volumes mensuels'!H22="Oui","Baisse saisonnière probable","Baisse de volume")))))</f>
        <v/>
      </c>
      <c r="O22" s="36">
        <f>ROUND(E22*Paramètres!$B$6*12,-3)</f>
        <v/>
      </c>
      <c r="P22" s="32">
        <f>VLOOKUP(N22,Paramètres!$A$33:$B$38,2,FALSE)</f>
        <v/>
      </c>
    </row>
    <row r="23" ht="44" customHeight="1">
      <c r="A23" s="34">
        <f>'Volumes mensuels'!A23</f>
        <v/>
      </c>
      <c r="B23" s="34">
        <f>'Volumes mensuels'!B23</f>
        <v/>
      </c>
      <c r="C23" s="34">
        <f>'Volumes mensuels'!E23</f>
        <v/>
      </c>
      <c r="D23" s="34">
        <f>'Volumes mensuels'!C23</f>
        <v/>
      </c>
      <c r="E23" s="40">
        <f>AVERAGE('Volumes mensuels'!K23:M23)</f>
        <v/>
      </c>
      <c r="F23" s="40">
        <f>AVERAGE('Volumes mensuels'!N23:P23)</f>
        <v/>
      </c>
      <c r="G23" s="41">
        <f>MAX(0,1-F23/E23)</f>
        <v/>
      </c>
      <c r="H23" s="41">
        <f>IF(AVERAGE('Volumes mensuels'!Q23:S23)=0,0,MAX(0,1-'Volumes mensuels'!V23/AVERAGE('Volumes mensuels'!Q23:S23)))</f>
        <v/>
      </c>
      <c r="I23" s="41">
        <f>MAX(0,1-'Volumes mensuels'!AB23/AVERAGE('Volumes mensuels'!W23:Y23))</f>
        <v/>
      </c>
      <c r="J23" s="34">
        <f>'Volumes mensuels'!J23</f>
        <v/>
      </c>
      <c r="K23" s="34">
        <f>'Volumes mensuels'!I23</f>
        <v/>
      </c>
      <c r="L23" s="42">
        <f>MIN(100,IF(G23&gt;=Paramètres!$B$7,Paramètres!$B$8,IF(G23&gt;=Paramètres!$B$9,Paramètres!$B$10,IF(G23&gt;=Paramètres!$B$11,Paramètres!$B$12,0)))+IF(H23&gt;=Paramètres!$B$13,Paramètres!$B$14,IF(H23&gt;=Paramètres!$B$15,Paramètres!$B$16,0))+IF(J23&gt;Paramètres!$B$17,Paramètres!$B$18,IF(J23&gt;Paramètres!$B$19,Paramètres!$B$20,0))+IF(I23&gt;=Paramètres!$B$21,Paramètres!$B$22,0)+IF(K23&lt;&gt;"",Paramètres!$B$23,0)+IF('Volumes mensuels'!F23="Aucune",Paramètres!$B$24,0)+IF('Volumes mensuels'!G23="Sans engagement",Paramètres!$B$25,0))</f>
        <v/>
      </c>
      <c r="M23" s="43">
        <f>IF(AND('Volumes mensuels'!H23="Oui",L23&gt;=Paramètres!$B$27),"À surveiller",IF(L23&gt;=Paramètres!$B$26,"Critique",IF(L23&gt;=Paramètres!$B$27,"Élevé",IF(L23&gt;=Paramètres!$B$28,"À surveiller","Sain"))))</f>
        <v/>
      </c>
      <c r="N23" s="34">
        <f>IF(M23="Sain","—",IF(AND(J23&gt;Paramètres!$B$17,G23&gt;=Paramètres!$B$7),"Départ en cours",IF(H23&gt;=Paramètres!$B$13,"Flux Wave qui partent",IF(K23&lt;&gt;"","Incident non soldé",IF('Volumes mensuels'!H23="Oui","Baisse saisonnière probable","Baisse de volume")))))</f>
        <v/>
      </c>
      <c r="O23" s="40">
        <f>ROUND(E23*Paramètres!$B$6*12,-3)</f>
        <v/>
      </c>
      <c r="P23" s="34">
        <f>VLOOKUP(N23,Paramètres!$A$33:$B$38,2,FALSE)</f>
        <v/>
      </c>
    </row>
    <row r="24" ht="44" customHeight="1">
      <c r="A24" s="32">
        <f>'Volumes mensuels'!A24</f>
        <v/>
      </c>
      <c r="B24" s="32">
        <f>'Volumes mensuels'!B24</f>
        <v/>
      </c>
      <c r="C24" s="32">
        <f>'Volumes mensuels'!E24</f>
        <v/>
      </c>
      <c r="D24" s="32">
        <f>'Volumes mensuels'!C24</f>
        <v/>
      </c>
      <c r="E24" s="36">
        <f>AVERAGE('Volumes mensuels'!K24:M24)</f>
        <v/>
      </c>
      <c r="F24" s="36">
        <f>AVERAGE('Volumes mensuels'!N24:P24)</f>
        <v/>
      </c>
      <c r="G24" s="37">
        <f>MAX(0,1-F24/E24)</f>
        <v/>
      </c>
      <c r="H24" s="37">
        <f>IF(AVERAGE('Volumes mensuels'!Q24:S24)=0,0,MAX(0,1-'Volumes mensuels'!V24/AVERAGE('Volumes mensuels'!Q24:S24)))</f>
        <v/>
      </c>
      <c r="I24" s="37">
        <f>MAX(0,1-'Volumes mensuels'!AB24/AVERAGE('Volumes mensuels'!W24:Y24))</f>
        <v/>
      </c>
      <c r="J24" s="32">
        <f>'Volumes mensuels'!J24</f>
        <v/>
      </c>
      <c r="K24" s="32">
        <f>'Volumes mensuels'!I24</f>
        <v/>
      </c>
      <c r="L24" s="38">
        <f>MIN(100,IF(G24&gt;=Paramètres!$B$7,Paramètres!$B$8,IF(G24&gt;=Paramètres!$B$9,Paramètres!$B$10,IF(G24&gt;=Paramètres!$B$11,Paramètres!$B$12,0)))+IF(H24&gt;=Paramètres!$B$13,Paramètres!$B$14,IF(H24&gt;=Paramètres!$B$15,Paramètres!$B$16,0))+IF(J24&gt;Paramètres!$B$17,Paramètres!$B$18,IF(J24&gt;Paramètres!$B$19,Paramètres!$B$20,0))+IF(I24&gt;=Paramètres!$B$21,Paramètres!$B$22,0)+IF(K24&lt;&gt;"",Paramètres!$B$23,0)+IF('Volumes mensuels'!F24="Aucune",Paramètres!$B$24,0)+IF('Volumes mensuels'!G24="Sans engagement",Paramètres!$B$25,0))</f>
        <v/>
      </c>
      <c r="M24" s="39">
        <f>IF(AND('Volumes mensuels'!H24="Oui",L24&gt;=Paramètres!$B$27),"À surveiller",IF(L24&gt;=Paramètres!$B$26,"Critique",IF(L24&gt;=Paramètres!$B$27,"Élevé",IF(L24&gt;=Paramètres!$B$28,"À surveiller","Sain"))))</f>
        <v/>
      </c>
      <c r="N24" s="32">
        <f>IF(M24="Sain","—",IF(AND(J24&gt;Paramètres!$B$17,G24&gt;=Paramètres!$B$7),"Départ en cours",IF(H24&gt;=Paramètres!$B$13,"Flux Wave qui partent",IF(K24&lt;&gt;"","Incident non soldé",IF('Volumes mensuels'!H24="Oui","Baisse saisonnière probable","Baisse de volume")))))</f>
        <v/>
      </c>
      <c r="O24" s="36">
        <f>ROUND(E24*Paramètres!$B$6*12,-3)</f>
        <v/>
      </c>
      <c r="P24" s="32">
        <f>VLOOKUP(N24,Paramètres!$A$33:$B$38,2,FALSE)</f>
        <v/>
      </c>
    </row>
    <row r="25" ht="44" customHeight="1">
      <c r="A25" s="34">
        <f>'Volumes mensuels'!A25</f>
        <v/>
      </c>
      <c r="B25" s="34">
        <f>'Volumes mensuels'!B25</f>
        <v/>
      </c>
      <c r="C25" s="34">
        <f>'Volumes mensuels'!E25</f>
        <v/>
      </c>
      <c r="D25" s="34">
        <f>'Volumes mensuels'!C25</f>
        <v/>
      </c>
      <c r="E25" s="40">
        <f>AVERAGE('Volumes mensuels'!K25:M25)</f>
        <v/>
      </c>
      <c r="F25" s="40">
        <f>AVERAGE('Volumes mensuels'!N25:P25)</f>
        <v/>
      </c>
      <c r="G25" s="41">
        <f>MAX(0,1-F25/E25)</f>
        <v/>
      </c>
      <c r="H25" s="41">
        <f>IF(AVERAGE('Volumes mensuels'!Q25:S25)=0,0,MAX(0,1-'Volumes mensuels'!V25/AVERAGE('Volumes mensuels'!Q25:S25)))</f>
        <v/>
      </c>
      <c r="I25" s="41">
        <f>MAX(0,1-'Volumes mensuels'!AB25/AVERAGE('Volumes mensuels'!W25:Y25))</f>
        <v/>
      </c>
      <c r="J25" s="34">
        <f>'Volumes mensuels'!J25</f>
        <v/>
      </c>
      <c r="K25" s="34">
        <f>'Volumes mensuels'!I25</f>
        <v/>
      </c>
      <c r="L25" s="42">
        <f>MIN(100,IF(G25&gt;=Paramètres!$B$7,Paramètres!$B$8,IF(G25&gt;=Paramètres!$B$9,Paramètres!$B$10,IF(G25&gt;=Paramètres!$B$11,Paramètres!$B$12,0)))+IF(H25&gt;=Paramètres!$B$13,Paramètres!$B$14,IF(H25&gt;=Paramètres!$B$15,Paramètres!$B$16,0))+IF(J25&gt;Paramètres!$B$17,Paramètres!$B$18,IF(J25&gt;Paramètres!$B$19,Paramètres!$B$20,0))+IF(I25&gt;=Paramètres!$B$21,Paramètres!$B$22,0)+IF(K25&lt;&gt;"",Paramètres!$B$23,0)+IF('Volumes mensuels'!F25="Aucune",Paramètres!$B$24,0)+IF('Volumes mensuels'!G25="Sans engagement",Paramètres!$B$25,0))</f>
        <v/>
      </c>
      <c r="M25" s="43">
        <f>IF(AND('Volumes mensuels'!H25="Oui",L25&gt;=Paramètres!$B$27),"À surveiller",IF(L25&gt;=Paramètres!$B$26,"Critique",IF(L25&gt;=Paramètres!$B$27,"Élevé",IF(L25&gt;=Paramètres!$B$28,"À surveiller","Sain"))))</f>
        <v/>
      </c>
      <c r="N25" s="34">
        <f>IF(M25="Sain","—",IF(AND(J25&gt;Paramètres!$B$17,G25&gt;=Paramètres!$B$7),"Départ en cours",IF(H25&gt;=Paramètres!$B$13,"Flux Wave qui partent",IF(K25&lt;&gt;"","Incident non soldé",IF('Volumes mensuels'!H25="Oui","Baisse saisonnière probable","Baisse de volume")))))</f>
        <v/>
      </c>
      <c r="O25" s="40">
        <f>ROUND(E25*Paramètres!$B$6*12,-3)</f>
        <v/>
      </c>
      <c r="P25" s="34">
        <f>VLOOKUP(N25,Paramètres!$A$33:$B$38,2,FALSE)</f>
        <v/>
      </c>
    </row>
    <row r="26" ht="44" customHeight="1">
      <c r="A26" s="32">
        <f>'Volumes mensuels'!A26</f>
        <v/>
      </c>
      <c r="B26" s="32">
        <f>'Volumes mensuels'!B26</f>
        <v/>
      </c>
      <c r="C26" s="32">
        <f>'Volumes mensuels'!E26</f>
        <v/>
      </c>
      <c r="D26" s="32">
        <f>'Volumes mensuels'!C26</f>
        <v/>
      </c>
      <c r="E26" s="36">
        <f>AVERAGE('Volumes mensuels'!K26:M26)</f>
        <v/>
      </c>
      <c r="F26" s="36">
        <f>AVERAGE('Volumes mensuels'!N26:P26)</f>
        <v/>
      </c>
      <c r="G26" s="37">
        <f>MAX(0,1-F26/E26)</f>
        <v/>
      </c>
      <c r="H26" s="37">
        <f>IF(AVERAGE('Volumes mensuels'!Q26:S26)=0,0,MAX(0,1-'Volumes mensuels'!V26/AVERAGE('Volumes mensuels'!Q26:S26)))</f>
        <v/>
      </c>
      <c r="I26" s="37">
        <f>MAX(0,1-'Volumes mensuels'!AB26/AVERAGE('Volumes mensuels'!W26:Y26))</f>
        <v/>
      </c>
      <c r="J26" s="32">
        <f>'Volumes mensuels'!J26</f>
        <v/>
      </c>
      <c r="K26" s="32">
        <f>'Volumes mensuels'!I26</f>
        <v/>
      </c>
      <c r="L26" s="38">
        <f>MIN(100,IF(G26&gt;=Paramètres!$B$7,Paramètres!$B$8,IF(G26&gt;=Paramètres!$B$9,Paramètres!$B$10,IF(G26&gt;=Paramètres!$B$11,Paramètres!$B$12,0)))+IF(H26&gt;=Paramètres!$B$13,Paramètres!$B$14,IF(H26&gt;=Paramètres!$B$15,Paramètres!$B$16,0))+IF(J26&gt;Paramètres!$B$17,Paramètres!$B$18,IF(J26&gt;Paramètres!$B$19,Paramètres!$B$20,0))+IF(I26&gt;=Paramètres!$B$21,Paramètres!$B$22,0)+IF(K26&lt;&gt;"",Paramètres!$B$23,0)+IF('Volumes mensuels'!F26="Aucune",Paramètres!$B$24,0)+IF('Volumes mensuels'!G26="Sans engagement",Paramètres!$B$25,0))</f>
        <v/>
      </c>
      <c r="M26" s="39">
        <f>IF(AND('Volumes mensuels'!H26="Oui",L26&gt;=Paramètres!$B$27),"À surveiller",IF(L26&gt;=Paramètres!$B$26,"Critique",IF(L26&gt;=Paramètres!$B$27,"Élevé",IF(L26&gt;=Paramètres!$B$28,"À surveiller","Sain"))))</f>
        <v/>
      </c>
      <c r="N26" s="32">
        <f>IF(M26="Sain","—",IF(AND(J26&gt;Paramètres!$B$17,G26&gt;=Paramètres!$B$7),"Départ en cours",IF(H26&gt;=Paramètres!$B$13,"Flux Wave qui partent",IF(K26&lt;&gt;"","Incident non soldé",IF('Volumes mensuels'!H26="Oui","Baisse saisonnière probable","Baisse de volume")))))</f>
        <v/>
      </c>
      <c r="O26" s="36">
        <f>ROUND(E26*Paramètres!$B$6*12,-3)</f>
        <v/>
      </c>
      <c r="P26" s="32">
        <f>VLOOKUP(N26,Paramètres!$A$33:$B$38,2,FALSE)</f>
        <v/>
      </c>
    </row>
    <row r="27" ht="44" customHeight="1">
      <c r="A27" s="34">
        <f>'Volumes mensuels'!A27</f>
        <v/>
      </c>
      <c r="B27" s="34">
        <f>'Volumes mensuels'!B27</f>
        <v/>
      </c>
      <c r="C27" s="34">
        <f>'Volumes mensuels'!E27</f>
        <v/>
      </c>
      <c r="D27" s="34">
        <f>'Volumes mensuels'!C27</f>
        <v/>
      </c>
      <c r="E27" s="40">
        <f>AVERAGE('Volumes mensuels'!K27:M27)</f>
        <v/>
      </c>
      <c r="F27" s="40">
        <f>AVERAGE('Volumes mensuels'!N27:P27)</f>
        <v/>
      </c>
      <c r="G27" s="41">
        <f>MAX(0,1-F27/E27)</f>
        <v/>
      </c>
      <c r="H27" s="41">
        <f>IF(AVERAGE('Volumes mensuels'!Q27:S27)=0,0,MAX(0,1-'Volumes mensuels'!V27/AVERAGE('Volumes mensuels'!Q27:S27)))</f>
        <v/>
      </c>
      <c r="I27" s="41">
        <f>MAX(0,1-'Volumes mensuels'!AB27/AVERAGE('Volumes mensuels'!W27:Y27))</f>
        <v/>
      </c>
      <c r="J27" s="34">
        <f>'Volumes mensuels'!J27</f>
        <v/>
      </c>
      <c r="K27" s="34">
        <f>'Volumes mensuels'!I27</f>
        <v/>
      </c>
      <c r="L27" s="42">
        <f>MIN(100,IF(G27&gt;=Paramètres!$B$7,Paramètres!$B$8,IF(G27&gt;=Paramètres!$B$9,Paramètres!$B$10,IF(G27&gt;=Paramètres!$B$11,Paramètres!$B$12,0)))+IF(H27&gt;=Paramètres!$B$13,Paramètres!$B$14,IF(H27&gt;=Paramètres!$B$15,Paramètres!$B$16,0))+IF(J27&gt;Paramètres!$B$17,Paramètres!$B$18,IF(J27&gt;Paramètres!$B$19,Paramètres!$B$20,0))+IF(I27&gt;=Paramètres!$B$21,Paramètres!$B$22,0)+IF(K27&lt;&gt;"",Paramètres!$B$23,0)+IF('Volumes mensuels'!F27="Aucune",Paramètres!$B$24,0)+IF('Volumes mensuels'!G27="Sans engagement",Paramètres!$B$25,0))</f>
        <v/>
      </c>
      <c r="M27" s="43">
        <f>IF(AND('Volumes mensuels'!H27="Oui",L27&gt;=Paramètres!$B$27),"À surveiller",IF(L27&gt;=Paramètres!$B$26,"Critique",IF(L27&gt;=Paramètres!$B$27,"Élevé",IF(L27&gt;=Paramètres!$B$28,"À surveiller","Sain"))))</f>
        <v/>
      </c>
      <c r="N27" s="34">
        <f>IF(M27="Sain","—",IF(AND(J27&gt;Paramètres!$B$17,G27&gt;=Paramètres!$B$7),"Départ en cours",IF(H27&gt;=Paramètres!$B$13,"Flux Wave qui partent",IF(K27&lt;&gt;"","Incident non soldé",IF('Volumes mensuels'!H27="Oui","Baisse saisonnière probable","Baisse de volume")))))</f>
        <v/>
      </c>
      <c r="O27" s="40">
        <f>ROUND(E27*Paramètres!$B$6*12,-3)</f>
        <v/>
      </c>
      <c r="P27" s="34">
        <f>VLOOKUP(N27,Paramètres!$A$33:$B$38,2,FALSE)</f>
        <v/>
      </c>
    </row>
    <row r="28" ht="44" customHeight="1">
      <c r="A28" s="32">
        <f>'Volumes mensuels'!A28</f>
        <v/>
      </c>
      <c r="B28" s="32">
        <f>'Volumes mensuels'!B28</f>
        <v/>
      </c>
      <c r="C28" s="32">
        <f>'Volumes mensuels'!E28</f>
        <v/>
      </c>
      <c r="D28" s="32">
        <f>'Volumes mensuels'!C28</f>
        <v/>
      </c>
      <c r="E28" s="36">
        <f>AVERAGE('Volumes mensuels'!K28:M28)</f>
        <v/>
      </c>
      <c r="F28" s="36">
        <f>AVERAGE('Volumes mensuels'!N28:P28)</f>
        <v/>
      </c>
      <c r="G28" s="37">
        <f>MAX(0,1-F28/E28)</f>
        <v/>
      </c>
      <c r="H28" s="37">
        <f>IF(AVERAGE('Volumes mensuels'!Q28:S28)=0,0,MAX(0,1-'Volumes mensuels'!V28/AVERAGE('Volumes mensuels'!Q28:S28)))</f>
        <v/>
      </c>
      <c r="I28" s="37">
        <f>MAX(0,1-'Volumes mensuels'!AB28/AVERAGE('Volumes mensuels'!W28:Y28))</f>
        <v/>
      </c>
      <c r="J28" s="32">
        <f>'Volumes mensuels'!J28</f>
        <v/>
      </c>
      <c r="K28" s="32">
        <f>'Volumes mensuels'!I28</f>
        <v/>
      </c>
      <c r="L28" s="38">
        <f>MIN(100,IF(G28&gt;=Paramètres!$B$7,Paramètres!$B$8,IF(G28&gt;=Paramètres!$B$9,Paramètres!$B$10,IF(G28&gt;=Paramètres!$B$11,Paramètres!$B$12,0)))+IF(H28&gt;=Paramètres!$B$13,Paramètres!$B$14,IF(H28&gt;=Paramètres!$B$15,Paramètres!$B$16,0))+IF(J28&gt;Paramètres!$B$17,Paramètres!$B$18,IF(J28&gt;Paramètres!$B$19,Paramètres!$B$20,0))+IF(I28&gt;=Paramètres!$B$21,Paramètres!$B$22,0)+IF(K28&lt;&gt;"",Paramètres!$B$23,0)+IF('Volumes mensuels'!F28="Aucune",Paramètres!$B$24,0)+IF('Volumes mensuels'!G28="Sans engagement",Paramètres!$B$25,0))</f>
        <v/>
      </c>
      <c r="M28" s="39">
        <f>IF(AND('Volumes mensuels'!H28="Oui",L28&gt;=Paramètres!$B$27),"À surveiller",IF(L28&gt;=Paramètres!$B$26,"Critique",IF(L28&gt;=Paramètres!$B$27,"Élevé",IF(L28&gt;=Paramètres!$B$28,"À surveiller","Sain"))))</f>
        <v/>
      </c>
      <c r="N28" s="32">
        <f>IF(M28="Sain","—",IF(AND(J28&gt;Paramètres!$B$17,G28&gt;=Paramètres!$B$7),"Départ en cours",IF(H28&gt;=Paramètres!$B$13,"Flux Wave qui partent",IF(K28&lt;&gt;"","Incident non soldé",IF('Volumes mensuels'!H28="Oui","Baisse saisonnière probable","Baisse de volume")))))</f>
        <v/>
      </c>
      <c r="O28" s="36">
        <f>ROUND(E28*Paramètres!$B$6*12,-3)</f>
        <v/>
      </c>
      <c r="P28" s="32">
        <f>VLOOKUP(N28,Paramètres!$A$33:$B$38,2,FALSE)</f>
        <v/>
      </c>
    </row>
    <row r="29" ht="44" customHeight="1">
      <c r="A29" s="34">
        <f>'Volumes mensuels'!A29</f>
        <v/>
      </c>
      <c r="B29" s="34">
        <f>'Volumes mensuels'!B29</f>
        <v/>
      </c>
      <c r="C29" s="34">
        <f>'Volumes mensuels'!E29</f>
        <v/>
      </c>
      <c r="D29" s="34">
        <f>'Volumes mensuels'!C29</f>
        <v/>
      </c>
      <c r="E29" s="40">
        <f>AVERAGE('Volumes mensuels'!K29:M29)</f>
        <v/>
      </c>
      <c r="F29" s="40">
        <f>AVERAGE('Volumes mensuels'!N29:P29)</f>
        <v/>
      </c>
      <c r="G29" s="41">
        <f>MAX(0,1-F29/E29)</f>
        <v/>
      </c>
      <c r="H29" s="41">
        <f>IF(AVERAGE('Volumes mensuels'!Q29:S29)=0,0,MAX(0,1-'Volumes mensuels'!V29/AVERAGE('Volumes mensuels'!Q29:S29)))</f>
        <v/>
      </c>
      <c r="I29" s="41">
        <f>MAX(0,1-'Volumes mensuels'!AB29/AVERAGE('Volumes mensuels'!W29:Y29))</f>
        <v/>
      </c>
      <c r="J29" s="34">
        <f>'Volumes mensuels'!J29</f>
        <v/>
      </c>
      <c r="K29" s="34">
        <f>'Volumes mensuels'!I29</f>
        <v/>
      </c>
      <c r="L29" s="42">
        <f>MIN(100,IF(G29&gt;=Paramètres!$B$7,Paramètres!$B$8,IF(G29&gt;=Paramètres!$B$9,Paramètres!$B$10,IF(G29&gt;=Paramètres!$B$11,Paramètres!$B$12,0)))+IF(H29&gt;=Paramètres!$B$13,Paramètres!$B$14,IF(H29&gt;=Paramètres!$B$15,Paramètres!$B$16,0))+IF(J29&gt;Paramètres!$B$17,Paramètres!$B$18,IF(J29&gt;Paramètres!$B$19,Paramètres!$B$20,0))+IF(I29&gt;=Paramètres!$B$21,Paramètres!$B$22,0)+IF(K29&lt;&gt;"",Paramètres!$B$23,0)+IF('Volumes mensuels'!F29="Aucune",Paramètres!$B$24,0)+IF('Volumes mensuels'!G29="Sans engagement",Paramètres!$B$25,0))</f>
        <v/>
      </c>
      <c r="M29" s="43">
        <f>IF(AND('Volumes mensuels'!H29="Oui",L29&gt;=Paramètres!$B$27),"À surveiller",IF(L29&gt;=Paramètres!$B$26,"Critique",IF(L29&gt;=Paramètres!$B$27,"Élevé",IF(L29&gt;=Paramètres!$B$28,"À surveiller","Sain"))))</f>
        <v/>
      </c>
      <c r="N29" s="34">
        <f>IF(M29="Sain","—",IF(AND(J29&gt;Paramètres!$B$17,G29&gt;=Paramètres!$B$7),"Départ en cours",IF(H29&gt;=Paramètres!$B$13,"Flux Wave qui partent",IF(K29&lt;&gt;"","Incident non soldé",IF('Volumes mensuels'!H29="Oui","Baisse saisonnière probable","Baisse de volume")))))</f>
        <v/>
      </c>
      <c r="O29" s="40">
        <f>ROUND(E29*Paramètres!$B$6*12,-3)</f>
        <v/>
      </c>
      <c r="P29" s="34">
        <f>VLOOKUP(N29,Paramètres!$A$33:$B$38,2,FALSE)</f>
        <v/>
      </c>
    </row>
    <row r="30" ht="44" customHeight="1">
      <c r="A30" s="32">
        <f>'Volumes mensuels'!A30</f>
        <v/>
      </c>
      <c r="B30" s="32">
        <f>'Volumes mensuels'!B30</f>
        <v/>
      </c>
      <c r="C30" s="32">
        <f>'Volumes mensuels'!E30</f>
        <v/>
      </c>
      <c r="D30" s="32">
        <f>'Volumes mensuels'!C30</f>
        <v/>
      </c>
      <c r="E30" s="36">
        <f>AVERAGE('Volumes mensuels'!K30:M30)</f>
        <v/>
      </c>
      <c r="F30" s="36">
        <f>AVERAGE('Volumes mensuels'!N30:P30)</f>
        <v/>
      </c>
      <c r="G30" s="37">
        <f>MAX(0,1-F30/E30)</f>
        <v/>
      </c>
      <c r="H30" s="37">
        <f>IF(AVERAGE('Volumes mensuels'!Q30:S30)=0,0,MAX(0,1-'Volumes mensuels'!V30/AVERAGE('Volumes mensuels'!Q30:S30)))</f>
        <v/>
      </c>
      <c r="I30" s="37">
        <f>MAX(0,1-'Volumes mensuels'!AB30/AVERAGE('Volumes mensuels'!W30:Y30))</f>
        <v/>
      </c>
      <c r="J30" s="32">
        <f>'Volumes mensuels'!J30</f>
        <v/>
      </c>
      <c r="K30" s="32">
        <f>'Volumes mensuels'!I30</f>
        <v/>
      </c>
      <c r="L30" s="38">
        <f>MIN(100,IF(G30&gt;=Paramètres!$B$7,Paramètres!$B$8,IF(G30&gt;=Paramètres!$B$9,Paramètres!$B$10,IF(G30&gt;=Paramètres!$B$11,Paramètres!$B$12,0)))+IF(H30&gt;=Paramètres!$B$13,Paramètres!$B$14,IF(H30&gt;=Paramètres!$B$15,Paramètres!$B$16,0))+IF(J30&gt;Paramètres!$B$17,Paramètres!$B$18,IF(J30&gt;Paramètres!$B$19,Paramètres!$B$20,0))+IF(I30&gt;=Paramètres!$B$21,Paramètres!$B$22,0)+IF(K30&lt;&gt;"",Paramètres!$B$23,0)+IF('Volumes mensuels'!F30="Aucune",Paramètres!$B$24,0)+IF('Volumes mensuels'!G30="Sans engagement",Paramètres!$B$25,0))</f>
        <v/>
      </c>
      <c r="M30" s="39">
        <f>IF(AND('Volumes mensuels'!H30="Oui",L30&gt;=Paramètres!$B$27),"À surveiller",IF(L30&gt;=Paramètres!$B$26,"Critique",IF(L30&gt;=Paramètres!$B$27,"Élevé",IF(L30&gt;=Paramètres!$B$28,"À surveiller","Sain"))))</f>
        <v/>
      </c>
      <c r="N30" s="32">
        <f>IF(M30="Sain","—",IF(AND(J30&gt;Paramètres!$B$17,G30&gt;=Paramètres!$B$7),"Départ en cours",IF(H30&gt;=Paramètres!$B$13,"Flux Wave qui partent",IF(K30&lt;&gt;"","Incident non soldé",IF('Volumes mensuels'!H30="Oui","Baisse saisonnière probable","Baisse de volume")))))</f>
        <v/>
      </c>
      <c r="O30" s="36">
        <f>ROUND(E30*Paramètres!$B$6*12,-3)</f>
        <v/>
      </c>
      <c r="P30" s="32">
        <f>VLOOKUP(N30,Paramètres!$A$33:$B$38,2,FALSE)</f>
        <v/>
      </c>
    </row>
    <row r="31" ht="44" customHeight="1">
      <c r="A31" s="34">
        <f>'Volumes mensuels'!A31</f>
        <v/>
      </c>
      <c r="B31" s="34">
        <f>'Volumes mensuels'!B31</f>
        <v/>
      </c>
      <c r="C31" s="34">
        <f>'Volumes mensuels'!E31</f>
        <v/>
      </c>
      <c r="D31" s="34">
        <f>'Volumes mensuels'!C31</f>
        <v/>
      </c>
      <c r="E31" s="40">
        <f>AVERAGE('Volumes mensuels'!K31:M31)</f>
        <v/>
      </c>
      <c r="F31" s="40">
        <f>AVERAGE('Volumes mensuels'!N31:P31)</f>
        <v/>
      </c>
      <c r="G31" s="41">
        <f>MAX(0,1-F31/E31)</f>
        <v/>
      </c>
      <c r="H31" s="41">
        <f>IF(AVERAGE('Volumes mensuels'!Q31:S31)=0,0,MAX(0,1-'Volumes mensuels'!V31/AVERAGE('Volumes mensuels'!Q31:S31)))</f>
        <v/>
      </c>
      <c r="I31" s="41">
        <f>MAX(0,1-'Volumes mensuels'!AB31/AVERAGE('Volumes mensuels'!W31:Y31))</f>
        <v/>
      </c>
      <c r="J31" s="34">
        <f>'Volumes mensuels'!J31</f>
        <v/>
      </c>
      <c r="K31" s="34">
        <f>'Volumes mensuels'!I31</f>
        <v/>
      </c>
      <c r="L31" s="42">
        <f>MIN(100,IF(G31&gt;=Paramètres!$B$7,Paramètres!$B$8,IF(G31&gt;=Paramètres!$B$9,Paramètres!$B$10,IF(G31&gt;=Paramètres!$B$11,Paramètres!$B$12,0)))+IF(H31&gt;=Paramètres!$B$13,Paramètres!$B$14,IF(H31&gt;=Paramètres!$B$15,Paramètres!$B$16,0))+IF(J31&gt;Paramètres!$B$17,Paramètres!$B$18,IF(J31&gt;Paramètres!$B$19,Paramètres!$B$20,0))+IF(I31&gt;=Paramètres!$B$21,Paramètres!$B$22,0)+IF(K31&lt;&gt;"",Paramètres!$B$23,0)+IF('Volumes mensuels'!F31="Aucune",Paramètres!$B$24,0)+IF('Volumes mensuels'!G31="Sans engagement",Paramètres!$B$25,0))</f>
        <v/>
      </c>
      <c r="M31" s="43">
        <f>IF(AND('Volumes mensuels'!H31="Oui",L31&gt;=Paramètres!$B$27),"À surveiller",IF(L31&gt;=Paramètres!$B$26,"Critique",IF(L31&gt;=Paramètres!$B$27,"Élevé",IF(L31&gt;=Paramètres!$B$28,"À surveiller","Sain"))))</f>
        <v/>
      </c>
      <c r="N31" s="34">
        <f>IF(M31="Sain","—",IF(AND(J31&gt;Paramètres!$B$17,G31&gt;=Paramètres!$B$7),"Départ en cours",IF(H31&gt;=Paramètres!$B$13,"Flux Wave qui partent",IF(K31&lt;&gt;"","Incident non soldé",IF('Volumes mensuels'!H31="Oui","Baisse saisonnière probable","Baisse de volume")))))</f>
        <v/>
      </c>
      <c r="O31" s="40">
        <f>ROUND(E31*Paramètres!$B$6*12,-3)</f>
        <v/>
      </c>
      <c r="P31" s="34">
        <f>VLOOKUP(N31,Paramètres!$A$33:$B$38,2,FALSE)</f>
        <v/>
      </c>
    </row>
    <row r="32" ht="44" customHeight="1">
      <c r="A32" s="32">
        <f>'Volumes mensuels'!A32</f>
        <v/>
      </c>
      <c r="B32" s="32">
        <f>'Volumes mensuels'!B32</f>
        <v/>
      </c>
      <c r="C32" s="32">
        <f>'Volumes mensuels'!E32</f>
        <v/>
      </c>
      <c r="D32" s="32">
        <f>'Volumes mensuels'!C32</f>
        <v/>
      </c>
      <c r="E32" s="36">
        <f>AVERAGE('Volumes mensuels'!K32:M32)</f>
        <v/>
      </c>
      <c r="F32" s="36">
        <f>AVERAGE('Volumes mensuels'!N32:P32)</f>
        <v/>
      </c>
      <c r="G32" s="37">
        <f>MAX(0,1-F32/E32)</f>
        <v/>
      </c>
      <c r="H32" s="37">
        <f>IF(AVERAGE('Volumes mensuels'!Q32:S32)=0,0,MAX(0,1-'Volumes mensuels'!V32/AVERAGE('Volumes mensuels'!Q32:S32)))</f>
        <v/>
      </c>
      <c r="I32" s="37">
        <f>MAX(0,1-'Volumes mensuels'!AB32/AVERAGE('Volumes mensuels'!W32:Y32))</f>
        <v/>
      </c>
      <c r="J32" s="32">
        <f>'Volumes mensuels'!J32</f>
        <v/>
      </c>
      <c r="K32" s="32">
        <f>'Volumes mensuels'!I32</f>
        <v/>
      </c>
      <c r="L32" s="38">
        <f>MIN(100,IF(G32&gt;=Paramètres!$B$7,Paramètres!$B$8,IF(G32&gt;=Paramètres!$B$9,Paramètres!$B$10,IF(G32&gt;=Paramètres!$B$11,Paramètres!$B$12,0)))+IF(H32&gt;=Paramètres!$B$13,Paramètres!$B$14,IF(H32&gt;=Paramètres!$B$15,Paramètres!$B$16,0))+IF(J32&gt;Paramètres!$B$17,Paramètres!$B$18,IF(J32&gt;Paramètres!$B$19,Paramètres!$B$20,0))+IF(I32&gt;=Paramètres!$B$21,Paramètres!$B$22,0)+IF(K32&lt;&gt;"",Paramètres!$B$23,0)+IF('Volumes mensuels'!F32="Aucune",Paramètres!$B$24,0)+IF('Volumes mensuels'!G32="Sans engagement",Paramètres!$B$25,0))</f>
        <v/>
      </c>
      <c r="M32" s="39">
        <f>IF(AND('Volumes mensuels'!H32="Oui",L32&gt;=Paramètres!$B$27),"À surveiller",IF(L32&gt;=Paramètres!$B$26,"Critique",IF(L32&gt;=Paramètres!$B$27,"Élevé",IF(L32&gt;=Paramètres!$B$28,"À surveiller","Sain"))))</f>
        <v/>
      </c>
      <c r="N32" s="32">
        <f>IF(M32="Sain","—",IF(AND(J32&gt;Paramètres!$B$17,G32&gt;=Paramètres!$B$7),"Départ en cours",IF(H32&gt;=Paramètres!$B$13,"Flux Wave qui partent",IF(K32&lt;&gt;"","Incident non soldé",IF('Volumes mensuels'!H32="Oui","Baisse saisonnière probable","Baisse de volume")))))</f>
        <v/>
      </c>
      <c r="O32" s="36">
        <f>ROUND(E32*Paramètres!$B$6*12,-3)</f>
        <v/>
      </c>
      <c r="P32" s="32">
        <f>VLOOKUP(N32,Paramètres!$A$33:$B$38,2,FALSE)</f>
        <v/>
      </c>
    </row>
    <row r="33" ht="44" customHeight="1">
      <c r="A33" s="34">
        <f>'Volumes mensuels'!A33</f>
        <v/>
      </c>
      <c r="B33" s="34">
        <f>'Volumes mensuels'!B33</f>
        <v/>
      </c>
      <c r="C33" s="34">
        <f>'Volumes mensuels'!E33</f>
        <v/>
      </c>
      <c r="D33" s="34">
        <f>'Volumes mensuels'!C33</f>
        <v/>
      </c>
      <c r="E33" s="40">
        <f>AVERAGE('Volumes mensuels'!K33:M33)</f>
        <v/>
      </c>
      <c r="F33" s="40">
        <f>AVERAGE('Volumes mensuels'!N33:P33)</f>
        <v/>
      </c>
      <c r="G33" s="41">
        <f>MAX(0,1-F33/E33)</f>
        <v/>
      </c>
      <c r="H33" s="41">
        <f>IF(AVERAGE('Volumes mensuels'!Q33:S33)=0,0,MAX(0,1-'Volumes mensuels'!V33/AVERAGE('Volumes mensuels'!Q33:S33)))</f>
        <v/>
      </c>
      <c r="I33" s="41">
        <f>MAX(0,1-'Volumes mensuels'!AB33/AVERAGE('Volumes mensuels'!W33:Y33))</f>
        <v/>
      </c>
      <c r="J33" s="34">
        <f>'Volumes mensuels'!J33</f>
        <v/>
      </c>
      <c r="K33" s="34">
        <f>'Volumes mensuels'!I33</f>
        <v/>
      </c>
      <c r="L33" s="42">
        <f>MIN(100,IF(G33&gt;=Paramètres!$B$7,Paramètres!$B$8,IF(G33&gt;=Paramètres!$B$9,Paramètres!$B$10,IF(G33&gt;=Paramètres!$B$11,Paramètres!$B$12,0)))+IF(H33&gt;=Paramètres!$B$13,Paramètres!$B$14,IF(H33&gt;=Paramètres!$B$15,Paramètres!$B$16,0))+IF(J33&gt;Paramètres!$B$17,Paramètres!$B$18,IF(J33&gt;Paramètres!$B$19,Paramètres!$B$20,0))+IF(I33&gt;=Paramètres!$B$21,Paramètres!$B$22,0)+IF(K33&lt;&gt;"",Paramètres!$B$23,0)+IF('Volumes mensuels'!F33="Aucune",Paramètres!$B$24,0)+IF('Volumes mensuels'!G33="Sans engagement",Paramètres!$B$25,0))</f>
        <v/>
      </c>
      <c r="M33" s="43">
        <f>IF(AND('Volumes mensuels'!H33="Oui",L33&gt;=Paramètres!$B$27),"À surveiller",IF(L33&gt;=Paramètres!$B$26,"Critique",IF(L33&gt;=Paramètres!$B$27,"Élevé",IF(L33&gt;=Paramètres!$B$28,"À surveiller","Sain"))))</f>
        <v/>
      </c>
      <c r="N33" s="34">
        <f>IF(M33="Sain","—",IF(AND(J33&gt;Paramètres!$B$17,G33&gt;=Paramètres!$B$7),"Départ en cours",IF(H33&gt;=Paramètres!$B$13,"Flux Wave qui partent",IF(K33&lt;&gt;"","Incident non soldé",IF('Volumes mensuels'!H33="Oui","Baisse saisonnière probable","Baisse de volume")))))</f>
        <v/>
      </c>
      <c r="O33" s="40">
        <f>ROUND(E33*Paramètres!$B$6*12,-3)</f>
        <v/>
      </c>
      <c r="P33" s="34">
        <f>VLOOKUP(N33,Paramètres!$A$33:$B$38,2,FALSE)</f>
        <v/>
      </c>
    </row>
    <row r="34" ht="44" customHeight="1">
      <c r="A34" s="32">
        <f>'Volumes mensuels'!A34</f>
        <v/>
      </c>
      <c r="B34" s="32">
        <f>'Volumes mensuels'!B34</f>
        <v/>
      </c>
      <c r="C34" s="32">
        <f>'Volumes mensuels'!E34</f>
        <v/>
      </c>
      <c r="D34" s="32">
        <f>'Volumes mensuels'!C34</f>
        <v/>
      </c>
      <c r="E34" s="36">
        <f>AVERAGE('Volumes mensuels'!K34:M34)</f>
        <v/>
      </c>
      <c r="F34" s="36">
        <f>AVERAGE('Volumes mensuels'!N34:P34)</f>
        <v/>
      </c>
      <c r="G34" s="37">
        <f>MAX(0,1-F34/E34)</f>
        <v/>
      </c>
      <c r="H34" s="37">
        <f>IF(AVERAGE('Volumes mensuels'!Q34:S34)=0,0,MAX(0,1-'Volumes mensuels'!V34/AVERAGE('Volumes mensuels'!Q34:S34)))</f>
        <v/>
      </c>
      <c r="I34" s="37">
        <f>MAX(0,1-'Volumes mensuels'!AB34/AVERAGE('Volumes mensuels'!W34:Y34))</f>
        <v/>
      </c>
      <c r="J34" s="32">
        <f>'Volumes mensuels'!J34</f>
        <v/>
      </c>
      <c r="K34" s="32">
        <f>'Volumes mensuels'!I34</f>
        <v/>
      </c>
      <c r="L34" s="38">
        <f>MIN(100,IF(G34&gt;=Paramètres!$B$7,Paramètres!$B$8,IF(G34&gt;=Paramètres!$B$9,Paramètres!$B$10,IF(G34&gt;=Paramètres!$B$11,Paramètres!$B$12,0)))+IF(H34&gt;=Paramètres!$B$13,Paramètres!$B$14,IF(H34&gt;=Paramètres!$B$15,Paramètres!$B$16,0))+IF(J34&gt;Paramètres!$B$17,Paramètres!$B$18,IF(J34&gt;Paramètres!$B$19,Paramètres!$B$20,0))+IF(I34&gt;=Paramètres!$B$21,Paramètres!$B$22,0)+IF(K34&lt;&gt;"",Paramètres!$B$23,0)+IF('Volumes mensuels'!F34="Aucune",Paramètres!$B$24,0)+IF('Volumes mensuels'!G34="Sans engagement",Paramètres!$B$25,0))</f>
        <v/>
      </c>
      <c r="M34" s="39">
        <f>IF(AND('Volumes mensuels'!H34="Oui",L34&gt;=Paramètres!$B$27),"À surveiller",IF(L34&gt;=Paramètres!$B$26,"Critique",IF(L34&gt;=Paramètres!$B$27,"Élevé",IF(L34&gt;=Paramètres!$B$28,"À surveiller","Sain"))))</f>
        <v/>
      </c>
      <c r="N34" s="32">
        <f>IF(M34="Sain","—",IF(AND(J34&gt;Paramètres!$B$17,G34&gt;=Paramètres!$B$7),"Départ en cours",IF(H34&gt;=Paramètres!$B$13,"Flux Wave qui partent",IF(K34&lt;&gt;"","Incident non soldé",IF('Volumes mensuels'!H34="Oui","Baisse saisonnière probable","Baisse de volume")))))</f>
        <v/>
      </c>
      <c r="O34" s="36">
        <f>ROUND(E34*Paramètres!$B$6*12,-3)</f>
        <v/>
      </c>
      <c r="P34" s="32">
        <f>VLOOKUP(N34,Paramètres!$A$33:$B$38,2,FALSE)</f>
        <v/>
      </c>
    </row>
    <row r="35" ht="44" customHeight="1">
      <c r="A35" s="34">
        <f>'Volumes mensuels'!A35</f>
        <v/>
      </c>
      <c r="B35" s="34">
        <f>'Volumes mensuels'!B35</f>
        <v/>
      </c>
      <c r="C35" s="34">
        <f>'Volumes mensuels'!E35</f>
        <v/>
      </c>
      <c r="D35" s="34">
        <f>'Volumes mensuels'!C35</f>
        <v/>
      </c>
      <c r="E35" s="40">
        <f>AVERAGE('Volumes mensuels'!K35:M35)</f>
        <v/>
      </c>
      <c r="F35" s="40">
        <f>AVERAGE('Volumes mensuels'!N35:P35)</f>
        <v/>
      </c>
      <c r="G35" s="41">
        <f>MAX(0,1-F35/E35)</f>
        <v/>
      </c>
      <c r="H35" s="41">
        <f>IF(AVERAGE('Volumes mensuels'!Q35:S35)=0,0,MAX(0,1-'Volumes mensuels'!V35/AVERAGE('Volumes mensuels'!Q35:S35)))</f>
        <v/>
      </c>
      <c r="I35" s="41">
        <f>MAX(0,1-'Volumes mensuels'!AB35/AVERAGE('Volumes mensuels'!W35:Y35))</f>
        <v/>
      </c>
      <c r="J35" s="34">
        <f>'Volumes mensuels'!J35</f>
        <v/>
      </c>
      <c r="K35" s="34">
        <f>'Volumes mensuels'!I35</f>
        <v/>
      </c>
      <c r="L35" s="42">
        <f>MIN(100,IF(G35&gt;=Paramètres!$B$7,Paramètres!$B$8,IF(G35&gt;=Paramètres!$B$9,Paramètres!$B$10,IF(G35&gt;=Paramètres!$B$11,Paramètres!$B$12,0)))+IF(H35&gt;=Paramètres!$B$13,Paramètres!$B$14,IF(H35&gt;=Paramètres!$B$15,Paramètres!$B$16,0))+IF(J35&gt;Paramètres!$B$17,Paramètres!$B$18,IF(J35&gt;Paramètres!$B$19,Paramètres!$B$20,0))+IF(I35&gt;=Paramètres!$B$21,Paramètres!$B$22,0)+IF(K35&lt;&gt;"",Paramètres!$B$23,0)+IF('Volumes mensuels'!F35="Aucune",Paramètres!$B$24,0)+IF('Volumes mensuels'!G35="Sans engagement",Paramètres!$B$25,0))</f>
        <v/>
      </c>
      <c r="M35" s="43">
        <f>IF(AND('Volumes mensuels'!H35="Oui",L35&gt;=Paramètres!$B$27),"À surveiller",IF(L35&gt;=Paramètres!$B$26,"Critique",IF(L35&gt;=Paramètres!$B$27,"Élevé",IF(L35&gt;=Paramètres!$B$28,"À surveiller","Sain"))))</f>
        <v/>
      </c>
      <c r="N35" s="34">
        <f>IF(M35="Sain","—",IF(AND(J35&gt;Paramètres!$B$17,G35&gt;=Paramètres!$B$7),"Départ en cours",IF(H35&gt;=Paramètres!$B$13,"Flux Wave qui partent",IF(K35&lt;&gt;"","Incident non soldé",IF('Volumes mensuels'!H35="Oui","Baisse saisonnière probable","Baisse de volume")))))</f>
        <v/>
      </c>
      <c r="O35" s="40">
        <f>ROUND(E35*Paramètres!$B$6*12,-3)</f>
        <v/>
      </c>
      <c r="P35" s="34">
        <f>VLOOKUP(N35,Paramètres!$A$33:$B$38,2,FALSE)</f>
        <v/>
      </c>
    </row>
    <row r="36" ht="44" customHeight="1">
      <c r="A36" s="32">
        <f>'Volumes mensuels'!A36</f>
        <v/>
      </c>
      <c r="B36" s="32">
        <f>'Volumes mensuels'!B36</f>
        <v/>
      </c>
      <c r="C36" s="32">
        <f>'Volumes mensuels'!E36</f>
        <v/>
      </c>
      <c r="D36" s="32">
        <f>'Volumes mensuels'!C36</f>
        <v/>
      </c>
      <c r="E36" s="36">
        <f>AVERAGE('Volumes mensuels'!K36:M36)</f>
        <v/>
      </c>
      <c r="F36" s="36">
        <f>AVERAGE('Volumes mensuels'!N36:P36)</f>
        <v/>
      </c>
      <c r="G36" s="37">
        <f>MAX(0,1-F36/E36)</f>
        <v/>
      </c>
      <c r="H36" s="37">
        <f>IF(AVERAGE('Volumes mensuels'!Q36:S36)=0,0,MAX(0,1-'Volumes mensuels'!V36/AVERAGE('Volumes mensuels'!Q36:S36)))</f>
        <v/>
      </c>
      <c r="I36" s="37">
        <f>MAX(0,1-'Volumes mensuels'!AB36/AVERAGE('Volumes mensuels'!W36:Y36))</f>
        <v/>
      </c>
      <c r="J36" s="32">
        <f>'Volumes mensuels'!J36</f>
        <v/>
      </c>
      <c r="K36" s="32">
        <f>'Volumes mensuels'!I36</f>
        <v/>
      </c>
      <c r="L36" s="38">
        <f>MIN(100,IF(G36&gt;=Paramètres!$B$7,Paramètres!$B$8,IF(G36&gt;=Paramètres!$B$9,Paramètres!$B$10,IF(G36&gt;=Paramètres!$B$11,Paramètres!$B$12,0)))+IF(H36&gt;=Paramètres!$B$13,Paramètres!$B$14,IF(H36&gt;=Paramètres!$B$15,Paramètres!$B$16,0))+IF(J36&gt;Paramètres!$B$17,Paramètres!$B$18,IF(J36&gt;Paramètres!$B$19,Paramètres!$B$20,0))+IF(I36&gt;=Paramètres!$B$21,Paramètres!$B$22,0)+IF(K36&lt;&gt;"",Paramètres!$B$23,0)+IF('Volumes mensuels'!F36="Aucune",Paramètres!$B$24,0)+IF('Volumes mensuels'!G36="Sans engagement",Paramètres!$B$25,0))</f>
        <v/>
      </c>
      <c r="M36" s="39">
        <f>IF(AND('Volumes mensuels'!H36="Oui",L36&gt;=Paramètres!$B$27),"À surveiller",IF(L36&gt;=Paramètres!$B$26,"Critique",IF(L36&gt;=Paramètres!$B$27,"Élevé",IF(L36&gt;=Paramètres!$B$28,"À surveiller","Sain"))))</f>
        <v/>
      </c>
      <c r="N36" s="32">
        <f>IF(M36="Sain","—",IF(AND(J36&gt;Paramètres!$B$17,G36&gt;=Paramètres!$B$7),"Départ en cours",IF(H36&gt;=Paramètres!$B$13,"Flux Wave qui partent",IF(K36&lt;&gt;"","Incident non soldé",IF('Volumes mensuels'!H36="Oui","Baisse saisonnière probable","Baisse de volume")))))</f>
        <v/>
      </c>
      <c r="O36" s="36">
        <f>ROUND(E36*Paramètres!$B$6*12,-3)</f>
        <v/>
      </c>
      <c r="P36" s="32">
        <f>VLOOKUP(N36,Paramètres!$A$33:$B$38,2,FALSE)</f>
        <v/>
      </c>
    </row>
    <row r="37" ht="44" customHeight="1">
      <c r="A37" s="34">
        <f>'Volumes mensuels'!A37</f>
        <v/>
      </c>
      <c r="B37" s="34">
        <f>'Volumes mensuels'!B37</f>
        <v/>
      </c>
      <c r="C37" s="34">
        <f>'Volumes mensuels'!E37</f>
        <v/>
      </c>
      <c r="D37" s="34">
        <f>'Volumes mensuels'!C37</f>
        <v/>
      </c>
      <c r="E37" s="40">
        <f>AVERAGE('Volumes mensuels'!K37:M37)</f>
        <v/>
      </c>
      <c r="F37" s="40">
        <f>AVERAGE('Volumes mensuels'!N37:P37)</f>
        <v/>
      </c>
      <c r="G37" s="41">
        <f>MAX(0,1-F37/E37)</f>
        <v/>
      </c>
      <c r="H37" s="41">
        <f>IF(AVERAGE('Volumes mensuels'!Q37:S37)=0,0,MAX(0,1-'Volumes mensuels'!V37/AVERAGE('Volumes mensuels'!Q37:S37)))</f>
        <v/>
      </c>
      <c r="I37" s="41">
        <f>MAX(0,1-'Volumes mensuels'!AB37/AVERAGE('Volumes mensuels'!W37:Y37))</f>
        <v/>
      </c>
      <c r="J37" s="34">
        <f>'Volumes mensuels'!J37</f>
        <v/>
      </c>
      <c r="K37" s="34">
        <f>'Volumes mensuels'!I37</f>
        <v/>
      </c>
      <c r="L37" s="42">
        <f>MIN(100,IF(G37&gt;=Paramètres!$B$7,Paramètres!$B$8,IF(G37&gt;=Paramètres!$B$9,Paramètres!$B$10,IF(G37&gt;=Paramètres!$B$11,Paramètres!$B$12,0)))+IF(H37&gt;=Paramètres!$B$13,Paramètres!$B$14,IF(H37&gt;=Paramètres!$B$15,Paramètres!$B$16,0))+IF(J37&gt;Paramètres!$B$17,Paramètres!$B$18,IF(J37&gt;Paramètres!$B$19,Paramètres!$B$20,0))+IF(I37&gt;=Paramètres!$B$21,Paramètres!$B$22,0)+IF(K37&lt;&gt;"",Paramètres!$B$23,0)+IF('Volumes mensuels'!F37="Aucune",Paramètres!$B$24,0)+IF('Volumes mensuels'!G37="Sans engagement",Paramètres!$B$25,0))</f>
        <v/>
      </c>
      <c r="M37" s="43">
        <f>IF(AND('Volumes mensuels'!H37="Oui",L37&gt;=Paramètres!$B$27),"À surveiller",IF(L37&gt;=Paramètres!$B$26,"Critique",IF(L37&gt;=Paramètres!$B$27,"Élevé",IF(L37&gt;=Paramètres!$B$28,"À surveiller","Sain"))))</f>
        <v/>
      </c>
      <c r="N37" s="34">
        <f>IF(M37="Sain","—",IF(AND(J37&gt;Paramètres!$B$17,G37&gt;=Paramètres!$B$7),"Départ en cours",IF(H37&gt;=Paramètres!$B$13,"Flux Wave qui partent",IF(K37&lt;&gt;"","Incident non soldé",IF('Volumes mensuels'!H37="Oui","Baisse saisonnière probable","Baisse de volume")))))</f>
        <v/>
      </c>
      <c r="O37" s="40">
        <f>ROUND(E37*Paramètres!$B$6*12,-3)</f>
        <v/>
      </c>
      <c r="P37" s="34">
        <f>VLOOKUP(N37,Paramètres!$A$33:$B$38,2,FALSE)</f>
        <v/>
      </c>
    </row>
    <row r="38" ht="44" customHeight="1">
      <c r="A38" s="32">
        <f>'Volumes mensuels'!A38</f>
        <v/>
      </c>
      <c r="B38" s="32">
        <f>'Volumes mensuels'!B38</f>
        <v/>
      </c>
      <c r="C38" s="32">
        <f>'Volumes mensuels'!E38</f>
        <v/>
      </c>
      <c r="D38" s="32">
        <f>'Volumes mensuels'!C38</f>
        <v/>
      </c>
      <c r="E38" s="36">
        <f>AVERAGE('Volumes mensuels'!K38:M38)</f>
        <v/>
      </c>
      <c r="F38" s="36">
        <f>AVERAGE('Volumes mensuels'!N38:P38)</f>
        <v/>
      </c>
      <c r="G38" s="37">
        <f>MAX(0,1-F38/E38)</f>
        <v/>
      </c>
      <c r="H38" s="37">
        <f>IF(AVERAGE('Volumes mensuels'!Q38:S38)=0,0,MAX(0,1-'Volumes mensuels'!V38/AVERAGE('Volumes mensuels'!Q38:S38)))</f>
        <v/>
      </c>
      <c r="I38" s="37">
        <f>MAX(0,1-'Volumes mensuels'!AB38/AVERAGE('Volumes mensuels'!W38:Y38))</f>
        <v/>
      </c>
      <c r="J38" s="32">
        <f>'Volumes mensuels'!J38</f>
        <v/>
      </c>
      <c r="K38" s="32">
        <f>'Volumes mensuels'!I38</f>
        <v/>
      </c>
      <c r="L38" s="38">
        <f>MIN(100,IF(G38&gt;=Paramètres!$B$7,Paramètres!$B$8,IF(G38&gt;=Paramètres!$B$9,Paramètres!$B$10,IF(G38&gt;=Paramètres!$B$11,Paramètres!$B$12,0)))+IF(H38&gt;=Paramètres!$B$13,Paramètres!$B$14,IF(H38&gt;=Paramètres!$B$15,Paramètres!$B$16,0))+IF(J38&gt;Paramètres!$B$17,Paramètres!$B$18,IF(J38&gt;Paramètres!$B$19,Paramètres!$B$20,0))+IF(I38&gt;=Paramètres!$B$21,Paramètres!$B$22,0)+IF(K38&lt;&gt;"",Paramètres!$B$23,0)+IF('Volumes mensuels'!F38="Aucune",Paramètres!$B$24,0)+IF('Volumes mensuels'!G38="Sans engagement",Paramètres!$B$25,0))</f>
        <v/>
      </c>
      <c r="M38" s="39">
        <f>IF(AND('Volumes mensuels'!H38="Oui",L38&gt;=Paramètres!$B$27),"À surveiller",IF(L38&gt;=Paramètres!$B$26,"Critique",IF(L38&gt;=Paramètres!$B$27,"Élevé",IF(L38&gt;=Paramètres!$B$28,"À surveiller","Sain"))))</f>
        <v/>
      </c>
      <c r="N38" s="32">
        <f>IF(M38="Sain","—",IF(AND(J38&gt;Paramètres!$B$17,G38&gt;=Paramètres!$B$7),"Départ en cours",IF(H38&gt;=Paramètres!$B$13,"Flux Wave qui partent",IF(K38&lt;&gt;"","Incident non soldé",IF('Volumes mensuels'!H38="Oui","Baisse saisonnière probable","Baisse de volume")))))</f>
        <v/>
      </c>
      <c r="O38" s="36">
        <f>ROUND(E38*Paramètres!$B$6*12,-3)</f>
        <v/>
      </c>
      <c r="P38" s="32">
        <f>VLOOKUP(N38,Paramètres!$A$33:$B$38,2,FALSE)</f>
        <v/>
      </c>
    </row>
    <row r="39" ht="44" customHeight="1">
      <c r="A39" s="34">
        <f>'Volumes mensuels'!A39</f>
        <v/>
      </c>
      <c r="B39" s="34">
        <f>'Volumes mensuels'!B39</f>
        <v/>
      </c>
      <c r="C39" s="34">
        <f>'Volumes mensuels'!E39</f>
        <v/>
      </c>
      <c r="D39" s="34">
        <f>'Volumes mensuels'!C39</f>
        <v/>
      </c>
      <c r="E39" s="40">
        <f>AVERAGE('Volumes mensuels'!K39:M39)</f>
        <v/>
      </c>
      <c r="F39" s="40">
        <f>AVERAGE('Volumes mensuels'!N39:P39)</f>
        <v/>
      </c>
      <c r="G39" s="41">
        <f>MAX(0,1-F39/E39)</f>
        <v/>
      </c>
      <c r="H39" s="41">
        <f>IF(AVERAGE('Volumes mensuels'!Q39:S39)=0,0,MAX(0,1-'Volumes mensuels'!V39/AVERAGE('Volumes mensuels'!Q39:S39)))</f>
        <v/>
      </c>
      <c r="I39" s="41">
        <f>MAX(0,1-'Volumes mensuels'!AB39/AVERAGE('Volumes mensuels'!W39:Y39))</f>
        <v/>
      </c>
      <c r="J39" s="34">
        <f>'Volumes mensuels'!J39</f>
        <v/>
      </c>
      <c r="K39" s="34">
        <f>'Volumes mensuels'!I39</f>
        <v/>
      </c>
      <c r="L39" s="42">
        <f>MIN(100,IF(G39&gt;=Paramètres!$B$7,Paramètres!$B$8,IF(G39&gt;=Paramètres!$B$9,Paramètres!$B$10,IF(G39&gt;=Paramètres!$B$11,Paramètres!$B$12,0)))+IF(H39&gt;=Paramètres!$B$13,Paramètres!$B$14,IF(H39&gt;=Paramètres!$B$15,Paramètres!$B$16,0))+IF(J39&gt;Paramètres!$B$17,Paramètres!$B$18,IF(J39&gt;Paramètres!$B$19,Paramètres!$B$20,0))+IF(I39&gt;=Paramètres!$B$21,Paramètres!$B$22,0)+IF(K39&lt;&gt;"",Paramètres!$B$23,0)+IF('Volumes mensuels'!F39="Aucune",Paramètres!$B$24,0)+IF('Volumes mensuels'!G39="Sans engagement",Paramètres!$B$25,0))</f>
        <v/>
      </c>
      <c r="M39" s="43">
        <f>IF(AND('Volumes mensuels'!H39="Oui",L39&gt;=Paramètres!$B$27),"À surveiller",IF(L39&gt;=Paramètres!$B$26,"Critique",IF(L39&gt;=Paramètres!$B$27,"Élevé",IF(L39&gt;=Paramètres!$B$28,"À surveiller","Sain"))))</f>
        <v/>
      </c>
      <c r="N39" s="34">
        <f>IF(M39="Sain","—",IF(AND(J39&gt;Paramètres!$B$17,G39&gt;=Paramètres!$B$7),"Départ en cours",IF(H39&gt;=Paramètres!$B$13,"Flux Wave qui partent",IF(K39&lt;&gt;"","Incident non soldé",IF('Volumes mensuels'!H39="Oui","Baisse saisonnière probable","Baisse de volume")))))</f>
        <v/>
      </c>
      <c r="O39" s="40">
        <f>ROUND(E39*Paramètres!$B$6*12,-3)</f>
        <v/>
      </c>
      <c r="P39" s="34">
        <f>VLOOKUP(N39,Paramètres!$A$33:$B$38,2,FALSE)</f>
        <v/>
      </c>
    </row>
    <row r="40" ht="44" customHeight="1">
      <c r="A40" s="32">
        <f>'Volumes mensuels'!A40</f>
        <v/>
      </c>
      <c r="B40" s="32">
        <f>'Volumes mensuels'!B40</f>
        <v/>
      </c>
      <c r="C40" s="32">
        <f>'Volumes mensuels'!E40</f>
        <v/>
      </c>
      <c r="D40" s="32">
        <f>'Volumes mensuels'!C40</f>
        <v/>
      </c>
      <c r="E40" s="36">
        <f>AVERAGE('Volumes mensuels'!K40:M40)</f>
        <v/>
      </c>
      <c r="F40" s="36">
        <f>AVERAGE('Volumes mensuels'!N40:P40)</f>
        <v/>
      </c>
      <c r="G40" s="37">
        <f>MAX(0,1-F40/E40)</f>
        <v/>
      </c>
      <c r="H40" s="37">
        <f>IF(AVERAGE('Volumes mensuels'!Q40:S40)=0,0,MAX(0,1-'Volumes mensuels'!V40/AVERAGE('Volumes mensuels'!Q40:S40)))</f>
        <v/>
      </c>
      <c r="I40" s="37">
        <f>MAX(0,1-'Volumes mensuels'!AB40/AVERAGE('Volumes mensuels'!W40:Y40))</f>
        <v/>
      </c>
      <c r="J40" s="32">
        <f>'Volumes mensuels'!J40</f>
        <v/>
      </c>
      <c r="K40" s="32">
        <f>'Volumes mensuels'!I40</f>
        <v/>
      </c>
      <c r="L40" s="38">
        <f>MIN(100,IF(G40&gt;=Paramètres!$B$7,Paramètres!$B$8,IF(G40&gt;=Paramètres!$B$9,Paramètres!$B$10,IF(G40&gt;=Paramètres!$B$11,Paramètres!$B$12,0)))+IF(H40&gt;=Paramètres!$B$13,Paramètres!$B$14,IF(H40&gt;=Paramètres!$B$15,Paramètres!$B$16,0))+IF(J40&gt;Paramètres!$B$17,Paramètres!$B$18,IF(J40&gt;Paramètres!$B$19,Paramètres!$B$20,0))+IF(I40&gt;=Paramètres!$B$21,Paramètres!$B$22,0)+IF(K40&lt;&gt;"",Paramètres!$B$23,0)+IF('Volumes mensuels'!F40="Aucune",Paramètres!$B$24,0)+IF('Volumes mensuels'!G40="Sans engagement",Paramètres!$B$25,0))</f>
        <v/>
      </c>
      <c r="M40" s="39">
        <f>IF(AND('Volumes mensuels'!H40="Oui",L40&gt;=Paramètres!$B$27),"À surveiller",IF(L40&gt;=Paramètres!$B$26,"Critique",IF(L40&gt;=Paramètres!$B$27,"Élevé",IF(L40&gt;=Paramètres!$B$28,"À surveiller","Sain"))))</f>
        <v/>
      </c>
      <c r="N40" s="32">
        <f>IF(M40="Sain","—",IF(AND(J40&gt;Paramètres!$B$17,G40&gt;=Paramètres!$B$7),"Départ en cours",IF(H40&gt;=Paramètres!$B$13,"Flux Wave qui partent",IF(K40&lt;&gt;"","Incident non soldé",IF('Volumes mensuels'!H40="Oui","Baisse saisonnière probable","Baisse de volume")))))</f>
        <v/>
      </c>
      <c r="O40" s="36">
        <f>ROUND(E40*Paramètres!$B$6*12,-3)</f>
        <v/>
      </c>
      <c r="P40" s="32">
        <f>VLOOKUP(N40,Paramètres!$A$33:$B$38,2,FALSE)</f>
        <v/>
      </c>
    </row>
    <row r="41" ht="44" customHeight="1">
      <c r="A41" s="34">
        <f>'Volumes mensuels'!A41</f>
        <v/>
      </c>
      <c r="B41" s="34">
        <f>'Volumes mensuels'!B41</f>
        <v/>
      </c>
      <c r="C41" s="34">
        <f>'Volumes mensuels'!E41</f>
        <v/>
      </c>
      <c r="D41" s="34">
        <f>'Volumes mensuels'!C41</f>
        <v/>
      </c>
      <c r="E41" s="40">
        <f>AVERAGE('Volumes mensuels'!K41:M41)</f>
        <v/>
      </c>
      <c r="F41" s="40">
        <f>AVERAGE('Volumes mensuels'!N41:P41)</f>
        <v/>
      </c>
      <c r="G41" s="41">
        <f>MAX(0,1-F41/E41)</f>
        <v/>
      </c>
      <c r="H41" s="41">
        <f>IF(AVERAGE('Volumes mensuels'!Q41:S41)=0,0,MAX(0,1-'Volumes mensuels'!V41/AVERAGE('Volumes mensuels'!Q41:S41)))</f>
        <v/>
      </c>
      <c r="I41" s="41">
        <f>MAX(0,1-'Volumes mensuels'!AB41/AVERAGE('Volumes mensuels'!W41:Y41))</f>
        <v/>
      </c>
      <c r="J41" s="34">
        <f>'Volumes mensuels'!J41</f>
        <v/>
      </c>
      <c r="K41" s="34">
        <f>'Volumes mensuels'!I41</f>
        <v/>
      </c>
      <c r="L41" s="42">
        <f>MIN(100,IF(G41&gt;=Paramètres!$B$7,Paramètres!$B$8,IF(G41&gt;=Paramètres!$B$9,Paramètres!$B$10,IF(G41&gt;=Paramètres!$B$11,Paramètres!$B$12,0)))+IF(H41&gt;=Paramètres!$B$13,Paramètres!$B$14,IF(H41&gt;=Paramètres!$B$15,Paramètres!$B$16,0))+IF(J41&gt;Paramètres!$B$17,Paramètres!$B$18,IF(J41&gt;Paramètres!$B$19,Paramètres!$B$20,0))+IF(I41&gt;=Paramètres!$B$21,Paramètres!$B$22,0)+IF(K41&lt;&gt;"",Paramètres!$B$23,0)+IF('Volumes mensuels'!F41="Aucune",Paramètres!$B$24,0)+IF('Volumes mensuels'!G41="Sans engagement",Paramètres!$B$25,0))</f>
        <v/>
      </c>
      <c r="M41" s="43">
        <f>IF(AND('Volumes mensuels'!H41="Oui",L41&gt;=Paramètres!$B$27),"À surveiller",IF(L41&gt;=Paramètres!$B$26,"Critique",IF(L41&gt;=Paramètres!$B$27,"Élevé",IF(L41&gt;=Paramètres!$B$28,"À surveiller","Sain"))))</f>
        <v/>
      </c>
      <c r="N41" s="34">
        <f>IF(M41="Sain","—",IF(AND(J41&gt;Paramètres!$B$17,G41&gt;=Paramètres!$B$7),"Départ en cours",IF(H41&gt;=Paramètres!$B$13,"Flux Wave qui partent",IF(K41&lt;&gt;"","Incident non soldé",IF('Volumes mensuels'!H41="Oui","Baisse saisonnière probable","Baisse de volume")))))</f>
        <v/>
      </c>
      <c r="O41" s="40">
        <f>ROUND(E41*Paramètres!$B$6*12,-3)</f>
        <v/>
      </c>
      <c r="P41" s="34">
        <f>VLOOKUP(N41,Paramètres!$A$33:$B$38,2,FALSE)</f>
        <v/>
      </c>
    </row>
    <row r="42" ht="44" customHeight="1">
      <c r="A42" s="32">
        <f>'Volumes mensuels'!A42</f>
        <v/>
      </c>
      <c r="B42" s="32">
        <f>'Volumes mensuels'!B42</f>
        <v/>
      </c>
      <c r="C42" s="32">
        <f>'Volumes mensuels'!E42</f>
        <v/>
      </c>
      <c r="D42" s="32">
        <f>'Volumes mensuels'!C42</f>
        <v/>
      </c>
      <c r="E42" s="36">
        <f>AVERAGE('Volumes mensuels'!K42:M42)</f>
        <v/>
      </c>
      <c r="F42" s="36">
        <f>AVERAGE('Volumes mensuels'!N42:P42)</f>
        <v/>
      </c>
      <c r="G42" s="37">
        <f>MAX(0,1-F42/E42)</f>
        <v/>
      </c>
      <c r="H42" s="37">
        <f>IF(AVERAGE('Volumes mensuels'!Q42:S42)=0,0,MAX(0,1-'Volumes mensuels'!V42/AVERAGE('Volumes mensuels'!Q42:S42)))</f>
        <v/>
      </c>
      <c r="I42" s="37">
        <f>MAX(0,1-'Volumes mensuels'!AB42/AVERAGE('Volumes mensuels'!W42:Y42))</f>
        <v/>
      </c>
      <c r="J42" s="32">
        <f>'Volumes mensuels'!J42</f>
        <v/>
      </c>
      <c r="K42" s="32">
        <f>'Volumes mensuels'!I42</f>
        <v/>
      </c>
      <c r="L42" s="38">
        <f>MIN(100,IF(G42&gt;=Paramètres!$B$7,Paramètres!$B$8,IF(G42&gt;=Paramètres!$B$9,Paramètres!$B$10,IF(G42&gt;=Paramètres!$B$11,Paramètres!$B$12,0)))+IF(H42&gt;=Paramètres!$B$13,Paramètres!$B$14,IF(H42&gt;=Paramètres!$B$15,Paramètres!$B$16,0))+IF(J42&gt;Paramètres!$B$17,Paramètres!$B$18,IF(J42&gt;Paramètres!$B$19,Paramètres!$B$20,0))+IF(I42&gt;=Paramètres!$B$21,Paramètres!$B$22,0)+IF(K42&lt;&gt;"",Paramètres!$B$23,0)+IF('Volumes mensuels'!F42="Aucune",Paramètres!$B$24,0)+IF('Volumes mensuels'!G42="Sans engagement",Paramètres!$B$25,0))</f>
        <v/>
      </c>
      <c r="M42" s="39">
        <f>IF(AND('Volumes mensuels'!H42="Oui",L42&gt;=Paramètres!$B$27),"À surveiller",IF(L42&gt;=Paramètres!$B$26,"Critique",IF(L42&gt;=Paramètres!$B$27,"Élevé",IF(L42&gt;=Paramètres!$B$28,"À surveiller","Sain"))))</f>
        <v/>
      </c>
      <c r="N42" s="32">
        <f>IF(M42="Sain","—",IF(AND(J42&gt;Paramètres!$B$17,G42&gt;=Paramètres!$B$7),"Départ en cours",IF(H42&gt;=Paramètres!$B$13,"Flux Wave qui partent",IF(K42&lt;&gt;"","Incident non soldé",IF('Volumes mensuels'!H42="Oui","Baisse saisonnière probable","Baisse de volume")))))</f>
        <v/>
      </c>
      <c r="O42" s="36">
        <f>ROUND(E42*Paramètres!$B$6*12,-3)</f>
        <v/>
      </c>
      <c r="P42" s="32">
        <f>VLOOKUP(N42,Paramètres!$A$33:$B$38,2,FALSE)</f>
        <v/>
      </c>
    </row>
    <row r="43" ht="44" customHeight="1">
      <c r="A43" s="34">
        <f>'Volumes mensuels'!A43</f>
        <v/>
      </c>
      <c r="B43" s="34">
        <f>'Volumes mensuels'!B43</f>
        <v/>
      </c>
      <c r="C43" s="34">
        <f>'Volumes mensuels'!E43</f>
        <v/>
      </c>
      <c r="D43" s="34">
        <f>'Volumes mensuels'!C43</f>
        <v/>
      </c>
      <c r="E43" s="40">
        <f>AVERAGE('Volumes mensuels'!K43:M43)</f>
        <v/>
      </c>
      <c r="F43" s="40">
        <f>AVERAGE('Volumes mensuels'!N43:P43)</f>
        <v/>
      </c>
      <c r="G43" s="41">
        <f>MAX(0,1-F43/E43)</f>
        <v/>
      </c>
      <c r="H43" s="41">
        <f>IF(AVERAGE('Volumes mensuels'!Q43:S43)=0,0,MAX(0,1-'Volumes mensuels'!V43/AVERAGE('Volumes mensuels'!Q43:S43)))</f>
        <v/>
      </c>
      <c r="I43" s="41">
        <f>MAX(0,1-'Volumes mensuels'!AB43/AVERAGE('Volumes mensuels'!W43:Y43))</f>
        <v/>
      </c>
      <c r="J43" s="34">
        <f>'Volumes mensuels'!J43</f>
        <v/>
      </c>
      <c r="K43" s="34">
        <f>'Volumes mensuels'!I43</f>
        <v/>
      </c>
      <c r="L43" s="42">
        <f>MIN(100,IF(G43&gt;=Paramètres!$B$7,Paramètres!$B$8,IF(G43&gt;=Paramètres!$B$9,Paramètres!$B$10,IF(G43&gt;=Paramètres!$B$11,Paramètres!$B$12,0)))+IF(H43&gt;=Paramètres!$B$13,Paramètres!$B$14,IF(H43&gt;=Paramètres!$B$15,Paramètres!$B$16,0))+IF(J43&gt;Paramètres!$B$17,Paramètres!$B$18,IF(J43&gt;Paramètres!$B$19,Paramètres!$B$20,0))+IF(I43&gt;=Paramètres!$B$21,Paramètres!$B$22,0)+IF(K43&lt;&gt;"",Paramètres!$B$23,0)+IF('Volumes mensuels'!F43="Aucune",Paramètres!$B$24,0)+IF('Volumes mensuels'!G43="Sans engagement",Paramètres!$B$25,0))</f>
        <v/>
      </c>
      <c r="M43" s="43">
        <f>IF(AND('Volumes mensuels'!H43="Oui",L43&gt;=Paramètres!$B$27),"À surveiller",IF(L43&gt;=Paramètres!$B$26,"Critique",IF(L43&gt;=Paramètres!$B$27,"Élevé",IF(L43&gt;=Paramètres!$B$28,"À surveiller","Sain"))))</f>
        <v/>
      </c>
      <c r="N43" s="34">
        <f>IF(M43="Sain","—",IF(AND(J43&gt;Paramètres!$B$17,G43&gt;=Paramètres!$B$7),"Départ en cours",IF(H43&gt;=Paramètres!$B$13,"Flux Wave qui partent",IF(K43&lt;&gt;"","Incident non soldé",IF('Volumes mensuels'!H43="Oui","Baisse saisonnière probable","Baisse de volume")))))</f>
        <v/>
      </c>
      <c r="O43" s="40">
        <f>ROUND(E43*Paramètres!$B$6*12,-3)</f>
        <v/>
      </c>
      <c r="P43" s="34">
        <f>VLOOKUP(N43,Paramètres!$A$33:$B$38,2,FALSE)</f>
        <v/>
      </c>
    </row>
    <row r="44" ht="44" customHeight="1">
      <c r="A44" s="32">
        <f>'Volumes mensuels'!A44</f>
        <v/>
      </c>
      <c r="B44" s="32">
        <f>'Volumes mensuels'!B44</f>
        <v/>
      </c>
      <c r="C44" s="32">
        <f>'Volumes mensuels'!E44</f>
        <v/>
      </c>
      <c r="D44" s="32">
        <f>'Volumes mensuels'!C44</f>
        <v/>
      </c>
      <c r="E44" s="36">
        <f>AVERAGE('Volumes mensuels'!K44:M44)</f>
        <v/>
      </c>
      <c r="F44" s="36">
        <f>AVERAGE('Volumes mensuels'!N44:P44)</f>
        <v/>
      </c>
      <c r="G44" s="37">
        <f>MAX(0,1-F44/E44)</f>
        <v/>
      </c>
      <c r="H44" s="37">
        <f>IF(AVERAGE('Volumes mensuels'!Q44:S44)=0,0,MAX(0,1-'Volumes mensuels'!V44/AVERAGE('Volumes mensuels'!Q44:S44)))</f>
        <v/>
      </c>
      <c r="I44" s="37">
        <f>MAX(0,1-'Volumes mensuels'!AB44/AVERAGE('Volumes mensuels'!W44:Y44))</f>
        <v/>
      </c>
      <c r="J44" s="32">
        <f>'Volumes mensuels'!J44</f>
        <v/>
      </c>
      <c r="K44" s="32">
        <f>'Volumes mensuels'!I44</f>
        <v/>
      </c>
      <c r="L44" s="38">
        <f>MIN(100,IF(G44&gt;=Paramètres!$B$7,Paramètres!$B$8,IF(G44&gt;=Paramètres!$B$9,Paramètres!$B$10,IF(G44&gt;=Paramètres!$B$11,Paramètres!$B$12,0)))+IF(H44&gt;=Paramètres!$B$13,Paramètres!$B$14,IF(H44&gt;=Paramètres!$B$15,Paramètres!$B$16,0))+IF(J44&gt;Paramètres!$B$17,Paramètres!$B$18,IF(J44&gt;Paramètres!$B$19,Paramètres!$B$20,0))+IF(I44&gt;=Paramètres!$B$21,Paramètres!$B$22,0)+IF(K44&lt;&gt;"",Paramètres!$B$23,0)+IF('Volumes mensuels'!F44="Aucune",Paramètres!$B$24,0)+IF('Volumes mensuels'!G44="Sans engagement",Paramètres!$B$25,0))</f>
        <v/>
      </c>
      <c r="M44" s="39">
        <f>IF(AND('Volumes mensuels'!H44="Oui",L44&gt;=Paramètres!$B$27),"À surveiller",IF(L44&gt;=Paramètres!$B$26,"Critique",IF(L44&gt;=Paramètres!$B$27,"Élevé",IF(L44&gt;=Paramètres!$B$28,"À surveiller","Sain"))))</f>
        <v/>
      </c>
      <c r="N44" s="32">
        <f>IF(M44="Sain","—",IF(AND(J44&gt;Paramètres!$B$17,G44&gt;=Paramètres!$B$7),"Départ en cours",IF(H44&gt;=Paramètres!$B$13,"Flux Wave qui partent",IF(K44&lt;&gt;"","Incident non soldé",IF('Volumes mensuels'!H44="Oui","Baisse saisonnière probable","Baisse de volume")))))</f>
        <v/>
      </c>
      <c r="O44" s="36">
        <f>ROUND(E44*Paramètres!$B$6*12,-3)</f>
        <v/>
      </c>
      <c r="P44" s="32">
        <f>VLOOKUP(N44,Paramètres!$A$33:$B$38,2,FALSE)</f>
        <v/>
      </c>
    </row>
    <row r="45" ht="44" customHeight="1">
      <c r="A45" s="34">
        <f>'Volumes mensuels'!A45</f>
        <v/>
      </c>
      <c r="B45" s="34">
        <f>'Volumes mensuels'!B45</f>
        <v/>
      </c>
      <c r="C45" s="34">
        <f>'Volumes mensuels'!E45</f>
        <v/>
      </c>
      <c r="D45" s="34">
        <f>'Volumes mensuels'!C45</f>
        <v/>
      </c>
      <c r="E45" s="40">
        <f>AVERAGE('Volumes mensuels'!K45:M45)</f>
        <v/>
      </c>
      <c r="F45" s="40">
        <f>AVERAGE('Volumes mensuels'!N45:P45)</f>
        <v/>
      </c>
      <c r="G45" s="41">
        <f>MAX(0,1-F45/E45)</f>
        <v/>
      </c>
      <c r="H45" s="41">
        <f>IF(AVERAGE('Volumes mensuels'!Q45:S45)=0,0,MAX(0,1-'Volumes mensuels'!V45/AVERAGE('Volumes mensuels'!Q45:S45)))</f>
        <v/>
      </c>
      <c r="I45" s="41">
        <f>MAX(0,1-'Volumes mensuels'!AB45/AVERAGE('Volumes mensuels'!W45:Y45))</f>
        <v/>
      </c>
      <c r="J45" s="34">
        <f>'Volumes mensuels'!J45</f>
        <v/>
      </c>
      <c r="K45" s="34">
        <f>'Volumes mensuels'!I45</f>
        <v/>
      </c>
      <c r="L45" s="42">
        <f>MIN(100,IF(G45&gt;=Paramètres!$B$7,Paramètres!$B$8,IF(G45&gt;=Paramètres!$B$9,Paramètres!$B$10,IF(G45&gt;=Paramètres!$B$11,Paramètres!$B$12,0)))+IF(H45&gt;=Paramètres!$B$13,Paramètres!$B$14,IF(H45&gt;=Paramètres!$B$15,Paramètres!$B$16,0))+IF(J45&gt;Paramètres!$B$17,Paramètres!$B$18,IF(J45&gt;Paramètres!$B$19,Paramètres!$B$20,0))+IF(I45&gt;=Paramètres!$B$21,Paramètres!$B$22,0)+IF(K45&lt;&gt;"",Paramètres!$B$23,0)+IF('Volumes mensuels'!F45="Aucune",Paramètres!$B$24,0)+IF('Volumes mensuels'!G45="Sans engagement",Paramètres!$B$25,0))</f>
        <v/>
      </c>
      <c r="M45" s="43">
        <f>IF(AND('Volumes mensuels'!H45="Oui",L45&gt;=Paramètres!$B$27),"À surveiller",IF(L45&gt;=Paramètres!$B$26,"Critique",IF(L45&gt;=Paramètres!$B$27,"Élevé",IF(L45&gt;=Paramètres!$B$28,"À surveiller","Sain"))))</f>
        <v/>
      </c>
      <c r="N45" s="34">
        <f>IF(M45="Sain","—",IF(AND(J45&gt;Paramètres!$B$17,G45&gt;=Paramètres!$B$7),"Départ en cours",IF(H45&gt;=Paramètres!$B$13,"Flux Wave qui partent",IF(K45&lt;&gt;"","Incident non soldé",IF('Volumes mensuels'!H45="Oui","Baisse saisonnière probable","Baisse de volume")))))</f>
        <v/>
      </c>
      <c r="O45" s="40">
        <f>ROUND(E45*Paramètres!$B$6*12,-3)</f>
        <v/>
      </c>
      <c r="P45" s="34">
        <f>VLOOKUP(N45,Paramètres!$A$33:$B$38,2,FALSE)</f>
        <v/>
      </c>
    </row>
    <row r="47">
      <c r="B47" s="18" t="inlineStr">
        <is>
          <t>Total (40 clients)</t>
        </is>
      </c>
      <c r="E47" s="44">
        <f>SUM(E6:E45)</f>
        <v/>
      </c>
      <c r="F47" s="44">
        <f>SUM(F6:F45)</f>
        <v/>
      </c>
      <c r="O47" s="44">
        <f>SUM(O6:O45)</f>
        <v/>
      </c>
    </row>
  </sheetData>
  <autoFilter ref="A5:P45"/>
  <conditionalFormatting sqref="M6:M45">
    <cfRule type="cellIs" priority="1" operator="equal" dxfId="0">
      <formula>"Critique"</formula>
    </cfRule>
    <cfRule type="cellIs" priority="2" operator="equal" dxfId="1">
      <formula>"Élevé"</formula>
    </cfRule>
    <cfRule type="cellIs" priority="3" operator="equal" dxfId="2">
      <formula>"À surveiller"</formula>
    </cfRule>
    <cfRule type="cellIs" priority="4" operator="equal" dxfId="3">
      <formula>"Sain"</formula>
    </cfRule>
  </conditionalFormatting>
  <conditionalFormatting sqref="L6:L45">
    <cfRule type="cellIs" priority="5" operator="greaterThanOrEqual" dxfId="4">
      <formula>Paramètres!$B$26</formula>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5856C6"/>
    <outlinePr summaryBelow="1" summaryRight="1"/>
    <pageSetUpPr/>
  </sheetPr>
  <dimension ref="A1:N1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8" customWidth="1" min="3" max="3"/>
    <col width="12" customWidth="1" min="4" max="4"/>
    <col width="20" customWidth="1" min="5" max="5"/>
    <col width="15" customWidth="1" min="6" max="6"/>
    <col width="18" customWidth="1" min="7" max="7"/>
    <col width="11" customWidth="1" min="8" max="8"/>
    <col width="72" customWidth="1" min="9" max="9"/>
    <col width="12" customWidth="1" min="10" max="10"/>
    <col width="15" customWidth="1" min="11" max="11"/>
    <col width="34" customWidth="1" min="12" max="12"/>
    <col width="24" customWidth="1" min="13" max="13"/>
    <col width="18" customWidth="1" min="14" max="14"/>
  </cols>
  <sheetData>
    <row r="1" ht="34" customHeight="1">
      <c r="A1" s="1" t="n"/>
      <c r="B1" s="1" t="n"/>
      <c r="C1" s="2" t="inlineStr">
        <is>
          <t>Plan d'action du mois : comptes critiques et élevés</t>
        </is>
      </c>
      <c r="D1" s="1" t="n"/>
      <c r="E1" s="1" t="n"/>
      <c r="F1" s="1" t="n"/>
      <c r="G1" s="1" t="n"/>
      <c r="H1" s="1" t="n"/>
      <c r="I1" s="1" t="n"/>
      <c r="J1" s="1" t="n"/>
      <c r="K1" s="1" t="n"/>
      <c r="L1" s="1" t="n"/>
      <c r="M1" s="1" t="n"/>
      <c r="N1" s="1" t="n"/>
    </row>
    <row r="2">
      <c r="A2" s="3" t="inlineStr">
        <is>
          <t>FICTIF : clients, volumes et incidents inventés pour illustrer la méthode. Aucun nom, montant ni date ne vient de Julaya.</t>
        </is>
      </c>
      <c r="B2" s="4" t="n"/>
      <c r="C2" s="4" t="n"/>
      <c r="D2" s="4" t="n"/>
      <c r="E2" s="4" t="n"/>
      <c r="F2" s="4" t="n"/>
      <c r="G2" s="4" t="n"/>
      <c r="H2" s="4" t="n"/>
      <c r="I2" s="4" t="n"/>
      <c r="J2" s="4" t="n"/>
      <c r="K2" s="4" t="n"/>
      <c r="L2" s="4" t="n"/>
      <c r="M2" s="4" t="n"/>
      <c r="N2" s="4" t="n"/>
    </row>
    <row r="3">
      <c r="A3" s="8" t="inlineStr">
        <is>
          <t>Liste arrêtée sur l'export du 21/10/2026. Rien ne part tant que « Validé par » est vide.</t>
        </is>
      </c>
    </row>
    <row r="5" ht="44" customHeight="1">
      <c r="A5" s="31" t="inlineStr">
        <is>
          <t>ID</t>
        </is>
      </c>
      <c r="B5" s="31" t="inlineStr">
        <is>
          <t>Client</t>
        </is>
      </c>
      <c r="C5" s="31" t="inlineStr">
        <is>
          <t>Score</t>
        </is>
      </c>
      <c r="D5" s="31" t="inlineStr">
        <is>
          <t>Niveau</t>
        </is>
      </c>
      <c r="E5" s="31" t="inlineStr">
        <is>
          <t>Signal principal</t>
        </is>
      </c>
      <c r="F5" s="31" t="inlineStr">
        <is>
          <t>Revenu annuel en jeu</t>
        </is>
      </c>
      <c r="G5" s="31" t="inlineStr">
        <is>
          <t>Qui agit</t>
        </is>
      </c>
      <c r="H5" s="31" t="inlineStr">
        <is>
          <t>Avant le</t>
        </is>
      </c>
      <c r="I5" s="31" t="inlineStr">
        <is>
          <t>Premier message (brouillon, à valider)</t>
        </is>
      </c>
      <c r="J5" s="31" t="inlineStr">
        <is>
          <t>Validé par</t>
        </is>
      </c>
      <c r="K5" s="31" t="inlineStr">
        <is>
          <t>Statut</t>
        </is>
      </c>
      <c r="L5" s="31" t="inlineStr">
        <is>
          <t>Réponse du client (ses mots)</t>
        </is>
      </c>
      <c r="M5" s="31" t="inlineStr">
        <is>
          <t>Raison réelle</t>
        </is>
      </c>
      <c r="N5" s="31" t="inlineStr">
        <is>
          <t>Issue</t>
        </is>
      </c>
    </row>
    <row r="6" ht="92" customHeight="1">
      <c r="A6" s="32" t="inlineStr">
        <is>
          <t>JUL-102</t>
        </is>
      </c>
      <c r="B6" s="32" t="inlineStr">
        <is>
          <t>Bâtirama BTP</t>
        </is>
      </c>
      <c r="C6" s="32" t="n">
        <v>100</v>
      </c>
      <c r="D6" s="45" t="inlineStr">
        <is>
          <t>Critique</t>
        </is>
      </c>
      <c r="E6" s="32" t="inlineStr">
        <is>
          <t>Départ en cours</t>
        </is>
      </c>
      <c r="F6" s="36" t="n">
        <v>28552000</v>
      </c>
      <c r="G6" s="32" t="inlineStr">
        <is>
          <t>Directeur commercial</t>
        </is>
      </c>
      <c r="H6" s="46" t="n">
        <v>46318</v>
      </c>
      <c r="I6" s="32" t="inlineStr">
        <is>
          <t>Bonjour ⟦Madame / Monsieur + nom du contact⟧, c'est Serge de Julaya. Nous voyons moins de paiements passer par votre compte depuis juillet et je voulais vous en parler directement. Est-ce que quelque chose ne vous convient plus chez nous ? Je peux passer vous voir ou vous appeler cette semaine, au moment qui vous arrange.</t>
        </is>
      </c>
      <c r="J6" s="32" t="inlineStr"/>
      <c r="K6" s="32" t="inlineStr">
        <is>
          <t>À valider</t>
        </is>
      </c>
      <c r="L6" s="32" t="inlineStr"/>
      <c r="M6" s="32" t="inlineStr"/>
      <c r="N6" s="32" t="inlineStr"/>
    </row>
    <row r="7" ht="92" customHeight="1">
      <c r="A7" s="34" t="inlineStr">
        <is>
          <t>JUL-115</t>
        </is>
      </c>
      <c r="B7" s="34" t="inlineStr">
        <is>
          <t>Bouaké Agro Plus</t>
        </is>
      </c>
      <c r="C7" s="34" t="n">
        <v>100</v>
      </c>
      <c r="D7" s="45" t="inlineStr">
        <is>
          <t>Critique</t>
        </is>
      </c>
      <c r="E7" s="34" t="inlineStr">
        <is>
          <t>Départ en cours</t>
        </is>
      </c>
      <c r="F7" s="40" t="n">
        <v>14087000</v>
      </c>
      <c r="G7" s="34" t="inlineStr">
        <is>
          <t>Directeur commercial</t>
        </is>
      </c>
      <c r="H7" s="47" t="n">
        <v>46318</v>
      </c>
      <c r="I7" s="34" t="inlineStr">
        <is>
          <t>Bonjour ⟦Madame / Monsieur + nom du contact⟧, c'est Mariam de Julaya. Nous voyons moins de paiements passer par votre compte depuis juillet et je voulais vous en parler directement. Est-ce que quelque chose ne vous convient plus chez nous ? Je peux passer vous voir ou vous appeler cette semaine, au moment qui vous arrange.</t>
        </is>
      </c>
      <c r="J7" s="34" t="inlineStr"/>
      <c r="K7" s="34" t="inlineStr">
        <is>
          <t>À valider</t>
        </is>
      </c>
      <c r="L7" s="34" t="inlineStr"/>
      <c r="M7" s="34" t="inlineStr"/>
      <c r="N7" s="34" t="inlineStr"/>
    </row>
    <row r="8" ht="92" customHeight="1">
      <c r="A8" s="32" t="inlineStr">
        <is>
          <t>JUL-129</t>
        </is>
      </c>
      <c r="B8" s="32" t="inlineStr">
        <is>
          <t>Transports Express Ouest</t>
        </is>
      </c>
      <c r="C8" s="32" t="n">
        <v>100</v>
      </c>
      <c r="D8" s="45" t="inlineStr">
        <is>
          <t>Critique</t>
        </is>
      </c>
      <c r="E8" s="32" t="inlineStr">
        <is>
          <t>Départ en cours</t>
        </is>
      </c>
      <c r="F8" s="36" t="n">
        <v>8237000</v>
      </c>
      <c r="G8" s="32" t="inlineStr">
        <is>
          <t>Directeur commercial</t>
        </is>
      </c>
      <c r="H8" s="46" t="n">
        <v>46318</v>
      </c>
      <c r="I8" s="32" t="inlineStr">
        <is>
          <t>Bonjour ⟦Madame / Monsieur + nom du contact⟧, c'est Aïcha de Julaya. Nous voyons moins de paiements passer par votre compte depuis juillet et je voulais vous en parler directement. Est-ce que quelque chose ne vous convient plus chez nous ? Je peux passer vous voir ou vous appeler cette semaine, au moment qui vous arrange.</t>
        </is>
      </c>
      <c r="J8" s="32" t="inlineStr"/>
      <c r="K8" s="32" t="inlineStr">
        <is>
          <t>À valider</t>
        </is>
      </c>
      <c r="L8" s="32" t="inlineStr"/>
      <c r="M8" s="32" t="inlineStr"/>
      <c r="N8" s="32" t="inlineStr"/>
    </row>
    <row r="9" ht="92" customHeight="1">
      <c r="A9" s="34" t="inlineStr">
        <is>
          <t>JUL-120</t>
        </is>
      </c>
      <c r="B9" s="34" t="inlineStr">
        <is>
          <t>Restaurants Gbaka &amp; Co</t>
        </is>
      </c>
      <c r="C9" s="34" t="n">
        <v>100</v>
      </c>
      <c r="D9" s="45" t="inlineStr">
        <is>
          <t>Critique</t>
        </is>
      </c>
      <c r="E9" s="34" t="inlineStr">
        <is>
          <t>Départ en cours</t>
        </is>
      </c>
      <c r="F9" s="40" t="n">
        <v>4381000</v>
      </c>
      <c r="G9" s="34" t="inlineStr">
        <is>
          <t>Directeur commercial</t>
        </is>
      </c>
      <c r="H9" s="47" t="n">
        <v>46318</v>
      </c>
      <c r="I9" s="34" t="inlineStr">
        <is>
          <t>Bonjour ⟦Madame / Monsieur + nom du contact⟧, c'est Yannick de Julaya. Nous voyons moins de paiements passer par votre compte depuis juillet et je voulais vous en parler directement. Est-ce que quelque chose ne vous convient plus chez nous ? Je peux passer vous voir ou vous appeler cette semaine, au moment qui vous arrange.</t>
        </is>
      </c>
      <c r="J9" s="34" t="inlineStr"/>
      <c r="K9" s="34" t="inlineStr">
        <is>
          <t>À valider</t>
        </is>
      </c>
      <c r="L9" s="34" t="inlineStr"/>
      <c r="M9" s="34" t="inlineStr"/>
      <c r="N9" s="34" t="inlineStr"/>
    </row>
    <row r="10" ht="92" customHeight="1">
      <c r="A10" s="32" t="inlineStr">
        <is>
          <t>JUL-133</t>
        </is>
      </c>
      <c r="B10" s="32" t="inlineStr">
        <is>
          <t>Boulangeries Délices</t>
        </is>
      </c>
      <c r="C10" s="32" t="n">
        <v>68</v>
      </c>
      <c r="D10" s="45" t="inlineStr">
        <is>
          <t>Critique</t>
        </is>
      </c>
      <c r="E10" s="32" t="inlineStr">
        <is>
          <t>Flux Wave qui partent</t>
        </is>
      </c>
      <c r="F10" s="36" t="n">
        <v>3967000</v>
      </c>
      <c r="G10" s="32" t="inlineStr">
        <is>
          <t>Directeur commercial</t>
        </is>
      </c>
      <c r="H10" s="46" t="n">
        <v>46318</v>
      </c>
      <c r="I10" s="32" t="inlineStr">
        <is>
          <t>Bonjour ⟦Madame / Monsieur + nom du contact⟧, c'est Aïcha de Julaya. Je prépare la revue de votre compte et je vois que vos paiements vers Wave ont baissé depuis juillet. Si une partie passe désormais par un autre outil, je vous propose de chiffrer ensemble ce que ça vous coûte vraiment, validations et rapprochements compris. Trente minutes la semaine prochaine ?</t>
        </is>
      </c>
      <c r="J10" s="32" t="inlineStr"/>
      <c r="K10" s="32" t="inlineStr">
        <is>
          <t>À valider</t>
        </is>
      </c>
      <c r="L10" s="32" t="inlineStr"/>
      <c r="M10" s="32" t="inlineStr"/>
      <c r="N10" s="32" t="inlineStr"/>
    </row>
    <row r="11" ht="92" customHeight="1">
      <c r="A11" s="34" t="inlineStr">
        <is>
          <t>JUL-107</t>
        </is>
      </c>
      <c r="B11" s="34" t="inlineStr">
        <is>
          <t>Garde Sûre Sécurité</t>
        </is>
      </c>
      <c r="C11" s="34" t="n">
        <v>55</v>
      </c>
      <c r="D11" s="48" t="inlineStr">
        <is>
          <t>Élevé</t>
        </is>
      </c>
      <c r="E11" s="34" t="inlineStr">
        <is>
          <t>Flux Wave qui partent</t>
        </is>
      </c>
      <c r="F11" s="40" t="n">
        <v>20164000</v>
      </c>
      <c r="G11" s="34" t="inlineStr">
        <is>
          <t>Chargé de compte (Mariam D.)</t>
        </is>
      </c>
      <c r="H11" s="47" t="n">
        <v>46323</v>
      </c>
      <c r="I11" s="34" t="inlineStr">
        <is>
          <t>Bonjour ⟦Madame / Monsieur + nom du contact⟧, c'est Mariam de Julaya. Je prépare la revue de votre compte et je vois que vos paiements vers Wave ont baissé depuis juillet. Si une partie passe désormais par un autre outil, je vous propose de chiffrer ensemble ce que ça vous coûte vraiment, validations et rapprochements compris. Trente minutes la semaine prochaine ?</t>
        </is>
      </c>
      <c r="J11" s="34" t="inlineStr"/>
      <c r="K11" s="34" t="inlineStr">
        <is>
          <t>À valider</t>
        </is>
      </c>
      <c r="L11" s="34" t="inlineStr"/>
      <c r="M11" s="34" t="inlineStr"/>
      <c r="N11" s="34" t="inlineStr"/>
    </row>
    <row r="12" ht="92" customHeight="1">
      <c r="A12" s="32" t="inlineStr">
        <is>
          <t>JUL-105</t>
        </is>
      </c>
      <c r="B12" s="32" t="inlineStr">
        <is>
          <t>Kodjo Logistique</t>
        </is>
      </c>
      <c r="C12" s="32" t="n">
        <v>55</v>
      </c>
      <c r="D12" s="48" t="inlineStr">
        <is>
          <t>Élevé</t>
        </is>
      </c>
      <c r="E12" s="32" t="inlineStr">
        <is>
          <t>Flux Wave qui partent</t>
        </is>
      </c>
      <c r="F12" s="36" t="n">
        <v>14872000</v>
      </c>
      <c r="G12" s="32" t="inlineStr">
        <is>
          <t>Chargé de compte (Aïcha K.)</t>
        </is>
      </c>
      <c r="H12" s="46" t="n">
        <v>46323</v>
      </c>
      <c r="I12" s="32" t="inlineStr">
        <is>
          <t>Bonjour ⟦Madame / Monsieur + nom du contact⟧, c'est Aïcha de Julaya. Je prépare la revue de votre compte et je vois que vos paiements vers Wave ont baissé depuis juillet. Si une partie passe désormais par un autre outil, je vous propose de chiffrer ensemble ce que ça vous coûte vraiment, validations et rapprochements compris. Trente minutes la semaine prochaine ?</t>
        </is>
      </c>
      <c r="J12" s="32" t="inlineStr"/>
      <c r="K12" s="32" t="inlineStr">
        <is>
          <t>À valider</t>
        </is>
      </c>
      <c r="L12" s="32" t="inlineStr"/>
      <c r="M12" s="32" t="inlineStr"/>
      <c r="N12" s="32" t="inlineStr"/>
    </row>
    <row r="13" ht="92" customHeight="1">
      <c r="A13" s="34" t="inlineStr">
        <is>
          <t>JUL-124</t>
        </is>
      </c>
      <c r="B13" s="34" t="inlineStr">
        <is>
          <t>Marché Frais Cocody</t>
        </is>
      </c>
      <c r="C13" s="34" t="n">
        <v>55</v>
      </c>
      <c r="D13" s="48" t="inlineStr">
        <is>
          <t>Élevé</t>
        </is>
      </c>
      <c r="E13" s="34" t="inlineStr">
        <is>
          <t>Flux Wave qui partent</t>
        </is>
      </c>
      <c r="F13" s="40" t="n">
        <v>5558000</v>
      </c>
      <c r="G13" s="34" t="inlineStr">
        <is>
          <t>Chargé de compte (Yannick B.)</t>
        </is>
      </c>
      <c r="H13" s="47" t="n">
        <v>46323</v>
      </c>
      <c r="I13" s="34" t="inlineStr">
        <is>
          <t>Bonjour ⟦Madame / Monsieur + nom du contact⟧, c'est Yannick de Julaya. Je prépare la revue de votre compte et je vois que vos paiements vers Wave ont baissé depuis juillet. Si une partie passe désormais par un autre outil, je vous propose de chiffrer ensemble ce que ça vous coûte vraiment, validations et rapprochements compris. Trente minutes la semaine prochaine ?</t>
        </is>
      </c>
      <c r="J13" s="34" t="inlineStr"/>
      <c r="K13" s="34" t="inlineStr">
        <is>
          <t>À valider</t>
        </is>
      </c>
      <c r="L13" s="34" t="inlineStr"/>
      <c r="M13" s="34" t="inlineStr"/>
      <c r="N13" s="34" t="inlineStr"/>
    </row>
    <row r="14" ht="92" customHeight="1">
      <c r="A14" s="32" t="inlineStr">
        <is>
          <t>JUL-101</t>
        </is>
      </c>
      <c r="B14" s="32" t="inlineStr">
        <is>
          <t>Sotradis Négoce</t>
        </is>
      </c>
      <c r="C14" s="32" t="n">
        <v>52</v>
      </c>
      <c r="D14" s="48" t="inlineStr">
        <is>
          <t>Élevé</t>
        </is>
      </c>
      <c r="E14" s="32" t="inlineStr">
        <is>
          <t>Flux Wave qui partent</t>
        </is>
      </c>
      <c r="F14" s="36" t="n">
        <v>32940000</v>
      </c>
      <c r="G14" s="32" t="inlineStr">
        <is>
          <t>Chargé de compte (Aïcha K.)</t>
        </is>
      </c>
      <c r="H14" s="46" t="n">
        <v>46323</v>
      </c>
      <c r="I14" s="32" t="inlineStr">
        <is>
          <t>Bonjour ⟦Madame / Monsieur + nom du contact⟧, c'est Aïcha de Julaya. Je prépare la revue de votre compte et je vois que vos paiements vers Wave ont baissé depuis juillet. Si une partie passe désormais par un autre outil, je vous propose de chiffrer ensemble ce que ça vous coûte vraiment, validations et rapprochements compris. Trente minutes la semaine prochaine ?</t>
        </is>
      </c>
      <c r="J14" s="32" t="inlineStr"/>
      <c r="K14" s="32" t="inlineStr">
        <is>
          <t>À valider</t>
        </is>
      </c>
      <c r="L14" s="32" t="inlineStr"/>
      <c r="M14" s="32" t="inlineStr"/>
      <c r="N14" s="32" t="inlineStr"/>
    </row>
    <row r="15" ht="92" customHeight="1">
      <c r="A15" s="34" t="inlineStr">
        <is>
          <t>JUL-117</t>
        </is>
      </c>
      <c r="B15" s="34" t="inlineStr">
        <is>
          <t>Nettoyage Pro Abidjan</t>
        </is>
      </c>
      <c r="C15" s="34" t="n">
        <v>47</v>
      </c>
      <c r="D15" s="48" t="inlineStr">
        <is>
          <t>Élevé</t>
        </is>
      </c>
      <c r="E15" s="34" t="inlineStr">
        <is>
          <t>Flux Wave qui partent</t>
        </is>
      </c>
      <c r="F15" s="40" t="n">
        <v>10588000</v>
      </c>
      <c r="G15" s="34" t="inlineStr">
        <is>
          <t>Chargé de compte (Aïcha K.)</t>
        </is>
      </c>
      <c r="H15" s="47" t="n">
        <v>46323</v>
      </c>
      <c r="I15" s="34" t="inlineStr">
        <is>
          <t>Bonjour ⟦Madame / Monsieur + nom du contact⟧, c'est Aïcha de Julaya. Je prépare la revue de votre compte et je vois que vos paiements vers Wave ont baissé depuis juillet. Si une partie passe désormais par un autre outil, je vous propose de chiffrer ensemble ce que ça vous coûte vraiment, validations et rapprochements compris. Trente minutes la semaine prochaine ?</t>
        </is>
      </c>
      <c r="J15" s="34" t="inlineStr"/>
      <c r="K15" s="34" t="inlineStr">
        <is>
          <t>À valider</t>
        </is>
      </c>
      <c r="L15" s="34" t="inlineStr"/>
      <c r="M15" s="34" t="inlineStr"/>
      <c r="N15" s="34" t="inlineStr"/>
    </row>
    <row r="16" ht="92" customHeight="1">
      <c r="A16" s="32" t="inlineStr">
        <is>
          <t>JUL-112</t>
        </is>
      </c>
      <c r="B16" s="32" t="inlineStr">
        <is>
          <t>Hôtel Lagune Bleue</t>
        </is>
      </c>
      <c r="C16" s="32" t="n">
        <v>47</v>
      </c>
      <c r="D16" s="48" t="inlineStr">
        <is>
          <t>Élevé</t>
        </is>
      </c>
      <c r="E16" s="32" t="inlineStr">
        <is>
          <t>Flux Wave qui partent</t>
        </is>
      </c>
      <c r="F16" s="36" t="n">
        <v>5098000</v>
      </c>
      <c r="G16" s="32" t="inlineStr">
        <is>
          <t>Chargé de compte (Yannick B.)</t>
        </is>
      </c>
      <c r="H16" s="46" t="n">
        <v>46323</v>
      </c>
      <c r="I16" s="32" t="inlineStr">
        <is>
          <t>Bonjour ⟦Madame / Monsieur + nom du contact⟧, c'est Yannick de Julaya. Je prépare la revue de votre compte et je vois que vos paiements vers Wave ont baissé depuis juillet. Si une partie passe désormais par un autre outil, je vous propose de chiffrer ensemble ce que ça vous coûte vraiment, validations et rapprochements compris. Trente minutes la semaine prochaine ?</t>
        </is>
      </c>
      <c r="J16" s="32" t="inlineStr"/>
      <c r="K16" s="32" t="inlineStr">
        <is>
          <t>À valider</t>
        </is>
      </c>
      <c r="L16" s="32" t="inlineStr"/>
      <c r="M16" s="32" t="inlineStr"/>
      <c r="N16" s="32" t="inlineStr"/>
    </row>
    <row r="17" ht="92" customHeight="1">
      <c r="A17" s="34" t="inlineStr">
        <is>
          <t>JUL-110</t>
        </is>
      </c>
      <c r="B17" s="34" t="inlineStr">
        <is>
          <t>Dakar Fret Services</t>
        </is>
      </c>
      <c r="C17" s="34" t="n">
        <v>42</v>
      </c>
      <c r="D17" s="48" t="inlineStr">
        <is>
          <t>Élevé</t>
        </is>
      </c>
      <c r="E17" s="34" t="inlineStr">
        <is>
          <t>Incident non soldé</t>
        </is>
      </c>
      <c r="F17" s="40" t="n">
        <v>13252000</v>
      </c>
      <c r="G17" s="34" t="inlineStr">
        <is>
          <t>Chargé de compte (Serge T.)</t>
        </is>
      </c>
      <c r="H17" s="47" t="n">
        <v>46323</v>
      </c>
      <c r="I17" s="34" t="inlineStr">
        <is>
          <t>Bonjour ⟦Madame / Monsieur + nom du contact⟧, c'est Serge de Julaya. Je reviens vers vous au sujet de votre réclamation (lot de salaires en échec). Je veux m'assurer qu'elle est bien réglée de votre côté et vous dire ce que nous avons changé. Je peux vous appeler cette semaine ?</t>
        </is>
      </c>
      <c r="J17" s="34" t="inlineStr"/>
      <c r="K17" s="34" t="inlineStr">
        <is>
          <t>À valider</t>
        </is>
      </c>
      <c r="L17" s="34" t="inlineStr"/>
      <c r="M17" s="34" t="inlineStr"/>
      <c r="N17" s="34" t="inlineStr"/>
    </row>
    <row r="18" ht="92" customHeight="1">
      <c r="A18" s="32" t="inlineStr">
        <is>
          <t>JUL-126</t>
        </is>
      </c>
      <c r="B18" s="32" t="inlineStr">
        <is>
          <t>Yamoussoukro Matériaux</t>
        </is>
      </c>
      <c r="C18" s="32" t="n">
        <v>42</v>
      </c>
      <c r="D18" s="48" t="inlineStr">
        <is>
          <t>Élevé</t>
        </is>
      </c>
      <c r="E18" s="32" t="inlineStr">
        <is>
          <t>Incident non soldé</t>
        </is>
      </c>
      <c r="F18" s="36" t="n">
        <v>10397000</v>
      </c>
      <c r="G18" s="32" t="inlineStr">
        <is>
          <t>Chargé de compte (Serge T.)</t>
        </is>
      </c>
      <c r="H18" s="46" t="n">
        <v>46323</v>
      </c>
      <c r="I18" s="32" t="inlineStr">
        <is>
          <t>Bonjour ⟦Madame / Monsieur + nom du contact⟧, c'est Serge de Julaya. Je reviens vers vous au sujet de votre réclamation (délai de virement bancaire). Je veux m'assurer qu'elle est bien réglée de votre côté et vous dire ce que nous avons changé. Je peux vous appeler cette semaine ?</t>
        </is>
      </c>
      <c r="J18" s="32" t="inlineStr"/>
      <c r="K18" s="32" t="inlineStr">
        <is>
          <t>À valider</t>
        </is>
      </c>
      <c r="L18" s="32" t="inlineStr"/>
      <c r="M18" s="32" t="inlineStr"/>
      <c r="N18" s="32" t="inlineStr"/>
    </row>
  </sheetData>
  <conditionalFormatting sqref="K6:K18">
    <cfRule type="expression" priority="1" dxfId="5">
      <formula>K6="Retenu"</formula>
    </cfRule>
    <cfRule type="expression" priority="2" dxfId="6">
      <formula>K6="À valider"</formula>
    </cfRule>
  </conditionalFormatting>
  <dataValidations count="3">
    <dataValidation sqref="K6:K18" showDropDown="0" showInputMessage="0" showErrorMessage="0" allowBlank="1" type="list">
      <formula1>"À valider,Validé,Contacté,Rendez-vous pris,Revue de compte faite,Retenu,Parti,Clos sans réponse"</formula1>
    </dataValidation>
    <dataValidation sqref="M6:M18" showDropDown="0" showInputMessage="0" showErrorMessage="0" allowBlank="1" type="list">
      <formula1>"Prix / frais,Simplicité de Wave,Incident ou qualité de service,Changement d'interlocuteur,Baisse d'activité,Autre"</formula1>
    </dataValidation>
    <dataValidation sqref="N6:N18" showDropDown="0" showInputMessage="0" showErrorMessage="0" allowBlank="1" type="list">
      <formula1>"Volumes revenus,Volumes partagés avec Wave,Parti chez Wave,Parti ailleurs,En cours"</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2026-10-21T19:54:13Z</dcterms:created>
  <dcterms:modified xmlns:dcterms="http://purl.org/dc/terms/" xmlns:xsi="http://www.w3.org/2001/XMLSchema-instance" xsi:type="dcterms:W3CDTF">2026-10-21T19:54:13Z</dcterms:modified>
</cp:coreProperties>
</file>