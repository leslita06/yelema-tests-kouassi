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À lire" sheetId="1" state="visible" r:id="rId1"/>
    <sheet xmlns:r="http://schemas.openxmlformats.org/officeDocument/2006/relationships" name="Paramètres" sheetId="2" state="visible" r:id="rId2"/>
    <sheet xmlns:r="http://schemas.openxmlformats.org/officeDocument/2006/relationships" name="Clients inactifs" sheetId="3" state="visible" r:id="rId3"/>
    <sheet xmlns:r="http://schemas.openxmlformats.org/officeDocument/2006/relationships" name="Plan de relance" sheetId="4" state="visible" r:id="rId4"/>
    <sheet xmlns:r="http://schemas.openxmlformats.org/officeDocument/2006/relationships" name="Messages types" sheetId="5" state="visible" r:id="rId5"/>
    <sheet xmlns:r="http://schemas.openxmlformats.org/officeDocument/2006/relationships" name="Suivi" sheetId="6" state="visible" r:id="rId6"/>
  </sheets>
  <definedNames>
    <definedName name="_xlnm._FilterDatabase" localSheetId="2" hidden="1">'Clients inactifs'!$A$5:$X$35</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quot; FCFA&quot;"/>
  </numFmts>
  <fonts count="17">
    <font>
      <name val="Calibri"/>
      <family val="2"/>
      <color theme="1"/>
      <sz val="11"/>
      <scheme val="minor"/>
    </font>
    <font>
      <name val="Quicksand"/>
      <b val="1"/>
      <color rgb="00FFFFFF"/>
      <sz val="20"/>
    </font>
    <font>
      <name val="Quicksand"/>
      <b val="1"/>
      <color rgb="00FFFFFF"/>
      <sz val="15"/>
    </font>
    <font>
      <name val="Quicksand"/>
      <b val="1"/>
      <color rgb="00FFFFFF"/>
      <sz val="10"/>
    </font>
    <font>
      <name val="Quicksand"/>
      <b val="1"/>
      <color rgb="00255C40"/>
      <sz val="12"/>
    </font>
    <font>
      <name val="Quicksand"/>
      <color rgb="00001700"/>
      <sz val="10"/>
    </font>
    <font>
      <name val="Quicksand"/>
      <b val="1"/>
      <color rgb="00001700"/>
      <sz val="10"/>
    </font>
    <font>
      <name val="Quicksand"/>
      <b val="1"/>
      <sz val="10"/>
    </font>
    <font>
      <name val="Quicksand"/>
      <b val="1"/>
      <color rgb="00255C40"/>
      <sz val="10"/>
    </font>
    <font>
      <name val="Quicksand"/>
      <i val="1"/>
      <color rgb="005A6B60"/>
      <sz val="9"/>
    </font>
    <font>
      <name val="Quicksand"/>
      <i val="1"/>
      <color rgb="005A6B60"/>
      <sz val="10"/>
    </font>
    <font>
      <name val="Quicksand"/>
      <b val="1"/>
    </font>
    <font>
      <name val="Quicksand"/>
      <b val="1"/>
      <color rgb="00255C40"/>
    </font>
    <font>
      <name val="Quicksand"/>
      <b val="1"/>
      <color rgb="00FFFFFF"/>
    </font>
    <font>
      <name val="Quicksand"/>
      <b val="1"/>
      <color rgb="00255C40"/>
      <sz val="11"/>
    </font>
    <font>
      <name val="Quicksand"/>
      <sz val="10"/>
    </font>
    <font>
      <name val="Quicksand"/>
      <i val="1"/>
      <color rgb="00DE6A4D"/>
      <sz val="10"/>
    </font>
  </fonts>
  <fills count="9">
    <fill>
      <patternFill/>
    </fill>
    <fill>
      <patternFill patternType="gray125"/>
    </fill>
    <fill>
      <patternFill patternType="solid">
        <fgColor rgb="00255C40"/>
      </patternFill>
    </fill>
    <fill>
      <patternFill patternType="solid">
        <fgColor rgb="00DE6A4D"/>
      </patternFill>
    </fill>
    <fill>
      <patternFill patternType="solid">
        <fgColor rgb="00FFF7DF"/>
      </patternFill>
    </fill>
    <fill>
      <patternFill patternType="solid">
        <fgColor rgb="00F3F8F4"/>
      </patternFill>
    </fill>
    <fill>
      <patternFill patternType="solid">
        <fgColor rgb="00E9A23B"/>
      </patternFill>
    </fill>
    <fill>
      <patternFill patternType="solid">
        <fgColor rgb="006E8F7B"/>
      </patternFill>
    </fill>
    <fill>
      <patternFill patternType="solid">
        <fgColor rgb="007A6A64"/>
      </patternFill>
    </fill>
  </fills>
  <borders count="2">
    <border>
      <left/>
      <right/>
      <top/>
      <bottom/>
      <diagonal/>
    </border>
    <border>
      <bottom style="thin">
        <color rgb="00E2E8E4"/>
      </bottom>
    </border>
  </borders>
  <cellStyleXfs count="1">
    <xf numFmtId="0" fontId="0" fillId="0" borderId="0"/>
  </cellStyleXfs>
  <cellXfs count="36">
    <xf numFmtId="0" fontId="0" fillId="0" borderId="0" pivotButton="0" quotePrefix="0" xfId="0"/>
    <xf numFmtId="0" fontId="1" fillId="2" borderId="0" pivotButton="0" quotePrefix="0" xfId="0"/>
    <xf numFmtId="0" fontId="2" fillId="2" borderId="0" pivotButton="0" quotePrefix="0" xfId="0"/>
    <xf numFmtId="0" fontId="0" fillId="2" borderId="0" pivotButton="0" quotePrefix="0" xfId="0"/>
    <xf numFmtId="0" fontId="3" fillId="3" borderId="0" pivotButton="0" quotePrefix="0" xfId="0"/>
    <xf numFmtId="0" fontId="0" fillId="3" borderId="0" pivotButton="0" quotePrefix="0" xfId="0"/>
    <xf numFmtId="0" fontId="4" fillId="0" borderId="0" applyAlignment="1" pivotButton="0" quotePrefix="0" xfId="0">
      <alignment vertical="top"/>
    </xf>
    <xf numFmtId="0" fontId="5" fillId="0" borderId="0" applyAlignment="1" pivotButton="0" quotePrefix="0" xfId="0">
      <alignment vertical="top" wrapText="1"/>
    </xf>
    <xf numFmtId="0" fontId="6" fillId="0" borderId="0" applyAlignment="1" pivotButton="0" quotePrefix="0" xfId="0">
      <alignment vertical="top"/>
    </xf>
    <xf numFmtId="0" fontId="7" fillId="0" borderId="0" pivotButton="0" quotePrefix="0" xfId="0"/>
    <xf numFmtId="165" fontId="8" fillId="4" borderId="0" pivotButton="0" quotePrefix="0" xfId="0"/>
    <xf numFmtId="0" fontId="9" fillId="0" borderId="0" pivotButton="0" quotePrefix="0" xfId="0"/>
    <xf numFmtId="0" fontId="8" fillId="4" borderId="0" pivotButton="0" quotePrefix="0" xfId="0"/>
    <xf numFmtId="166" fontId="8" fillId="4" borderId="0" pivotButton="0" quotePrefix="0" xfId="0"/>
    <xf numFmtId="0" fontId="10" fillId="0" borderId="0" pivotButton="0" quotePrefix="0" xfId="0"/>
    <xf numFmtId="0" fontId="3" fillId="2" borderId="0" applyAlignment="1" pivotButton="0" quotePrefix="0" xfId="0">
      <alignment vertical="center" wrapText="1"/>
    </xf>
    <xf numFmtId="0" fontId="5" fillId="0" borderId="1" applyAlignment="1" pivotButton="0" quotePrefix="0" xfId="0">
      <alignment vertical="top" wrapText="1"/>
    </xf>
    <xf numFmtId="165" fontId="5" fillId="0" borderId="1" applyAlignment="1" pivotButton="0" quotePrefix="0" xfId="0">
      <alignment vertical="top" wrapText="1"/>
    </xf>
    <xf numFmtId="166" fontId="5" fillId="0" borderId="1" applyAlignment="1" pivotButton="0" quotePrefix="0" xfId="0">
      <alignment vertical="top" wrapText="1"/>
    </xf>
    <xf numFmtId="0" fontId="3" fillId="3" borderId="1" applyAlignment="1" pivotButton="0" quotePrefix="0" xfId="0">
      <alignment horizontal="center" vertical="top"/>
    </xf>
    <xf numFmtId="0" fontId="5" fillId="5" borderId="1" applyAlignment="1" pivotButton="0" quotePrefix="0" xfId="0">
      <alignment vertical="top" wrapText="1"/>
    </xf>
    <xf numFmtId="165" fontId="5" fillId="5" borderId="1" applyAlignment="1" pivotButton="0" quotePrefix="0" xfId="0">
      <alignment vertical="top" wrapText="1"/>
    </xf>
    <xf numFmtId="166" fontId="5" fillId="5" borderId="1" applyAlignment="1" pivotButton="0" quotePrefix="0" xfId="0">
      <alignment vertical="top" wrapText="1"/>
    </xf>
    <xf numFmtId="0" fontId="3" fillId="6" borderId="1" applyAlignment="1" pivotButton="0" quotePrefix="0" xfId="0">
      <alignment horizontal="center" vertical="top"/>
    </xf>
    <xf numFmtId="0" fontId="3" fillId="7" borderId="1" applyAlignment="1" pivotButton="0" quotePrefix="0" xfId="0">
      <alignment horizontal="center" vertical="top"/>
    </xf>
    <xf numFmtId="0" fontId="3" fillId="8" borderId="1" applyAlignment="1" pivotButton="0" quotePrefix="0" xfId="0">
      <alignment horizontal="center" vertical="top"/>
    </xf>
    <xf numFmtId="0" fontId="11" fillId="0" borderId="0" pivotButton="0" quotePrefix="0" xfId="0"/>
    <xf numFmtId="166" fontId="12" fillId="0" borderId="0" pivotButton="0" quotePrefix="0" xfId="0"/>
    <xf numFmtId="0" fontId="13" fillId="2" borderId="0" pivotButton="0" quotePrefix="0" xfId="0"/>
    <xf numFmtId="0" fontId="14" fillId="0" borderId="0" pivotButton="0" quotePrefix="0" xfId="0"/>
    <xf numFmtId="9" fontId="14" fillId="0" borderId="0" pivotButton="0" quotePrefix="0" xfId="0"/>
    <xf numFmtId="166" fontId="14" fillId="0" borderId="0" pivotButton="0" quotePrefix="0" xfId="0"/>
    <xf numFmtId="0" fontId="4" fillId="0" borderId="0" pivotButton="0" quotePrefix="0" xfId="0"/>
    <xf numFmtId="0" fontId="15" fillId="0" borderId="0" pivotButton="0" quotePrefix="0" xfId="0"/>
    <xf numFmtId="0" fontId="8" fillId="0" borderId="0" pivotButton="0" quotePrefix="0" xfId="0"/>
    <xf numFmtId="0" fontId="16" fillId="0" borderId="0" pivotButton="0" quotePrefix="0" xfId="0"/>
  </cellXfs>
  <cellStyles count="1">
    <cellStyle name="Normal" xfId="0" builtinId="0" hidden="0"/>
  </cellStyles>
  <dxfs count="2">
    <dxf>
      <fill>
        <patternFill patternType="solid">
          <fgColor rgb="00CDEBD6"/>
        </patternFill>
      </fill>
    </dxf>
    <dxf>
      <fill>
        <patternFill patternType="solid">
          <fgColor rgb="00FBE3D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DE6A4D"/>
    <outlinePr summaryBelow="1" summaryRight="1"/>
    <pageSetUpPr/>
  </sheetPr>
  <dimension ref="A1:F24"/>
  <sheetViews>
    <sheetView workbookViewId="0">
      <selection activeCell="A1" sqref="A1"/>
    </sheetView>
  </sheetViews>
  <sheetFormatPr baseColWidth="8" defaultRowHeight="15"/>
  <cols>
    <col width="26" customWidth="1" min="1" max="1"/>
    <col width="95" customWidth="1" min="2" max="2"/>
  </cols>
  <sheetData>
    <row r="1" ht="34" customHeight="1">
      <c r="A1" s="1" t="inlineStr">
        <is>
          <t>djoli</t>
        </is>
      </c>
      <c r="B1" s="2" t="inlineStr">
        <is>
          <t>Reconquête des clients sans commande depuis plus de 30 jours</t>
        </is>
      </c>
      <c r="C1" s="3" t="n"/>
      <c r="D1" s="3" t="n"/>
      <c r="E1" s="3" t="n"/>
      <c r="F1" s="3" t="n"/>
    </row>
    <row r="2">
      <c r="A2" s="4" t="inlineStr">
        <is>
          <t>FICTIF : données inventées pour illustrer la méthode. Aucun nom, chiffre ou date ne vient de Djoli.</t>
        </is>
      </c>
      <c r="B2" s="5" t="n"/>
      <c r="C2" s="5" t="n"/>
      <c r="D2" s="5" t="n"/>
      <c r="E2" s="5" t="n"/>
      <c r="F2" s="5" t="n"/>
    </row>
    <row r="4">
      <c r="A4" s="6" t="inlineStr">
        <is>
          <t>Ce que contient ce classeur</t>
        </is>
      </c>
      <c r="B4" s="7" t="inlineStr"/>
    </row>
    <row r="5">
      <c r="A5" s="8" t="inlineStr">
        <is>
          <t>Clients inactifs</t>
        </is>
      </c>
      <c r="B5" s="7" t="inlineStr">
        <is>
          <t>Les 30 clients (fictifs) sans commande de produits frais depuis plus de 30 jours, avec leur rythme habituel, leur valeur et le groupe dans lequel ils tombent.</t>
        </is>
      </c>
    </row>
    <row r="6">
      <c r="A6" s="8" t="inlineStr">
        <is>
          <t>Plan de relance</t>
        </is>
      </c>
      <c r="B6" s="7" t="inlineStr">
        <is>
          <t>Pour chaque client : priorité, canal, dates des 4 contacts, premier message déjà personnalisé, et colonnes de suivi à remplir par le commercial.</t>
        </is>
      </c>
    </row>
    <row r="7">
      <c r="A7" s="8" t="inlineStr">
        <is>
          <t>Messages types</t>
        </is>
      </c>
      <c r="B7" s="7" t="inlineStr">
        <is>
          <t>Les messages de la séquence (jour 0, appel, jour 7 par raison, jour 14) et les questions d'appel.</t>
        </is>
      </c>
    </row>
    <row r="8">
      <c r="A8" s="8" t="inlineStr">
        <is>
          <t>Suivi</t>
        </is>
      </c>
      <c r="B8" s="7" t="inlineStr">
        <is>
          <t>Les indicateurs qui se calculent seuls dès que le plan de relance est rempli.</t>
        </is>
      </c>
    </row>
    <row r="9">
      <c r="A9" s="8" t="inlineStr">
        <is>
          <t>Paramètres</t>
        </is>
      </c>
      <c r="B9" s="7" t="inlineStr">
        <is>
          <t>La date de référence et les seuils : les changer met à jour les jours sans commande et les dates.</t>
        </is>
      </c>
    </row>
    <row r="10">
      <c r="A10" s="8" t="inlineStr"/>
      <c r="B10" s="7" t="inlineStr"/>
    </row>
    <row r="11">
      <c r="A11" s="6" t="inlineStr">
        <is>
          <t>Comment on trie</t>
        </is>
      </c>
      <c r="B11" s="7" t="inlineStr"/>
    </row>
    <row r="12">
      <c r="A12" s="8" t="inlineStr">
        <is>
          <t>Décroché</t>
        </is>
      </c>
      <c r="B12" s="7" t="inlineStr">
        <is>
          <t>Commandait au moins tous les 10 jours et son silence dépasse 3 fois son rythme habituel. Priorité de la relance.</t>
        </is>
      </c>
    </row>
    <row r="13">
      <c r="A13" s="8" t="inlineStr">
        <is>
          <t>Incident non soldé</t>
        </is>
      </c>
      <c r="B13" s="7" t="inlineStr">
        <is>
          <t>Une réclamation (produit refusé, retard, erreur) dans les 15 jours avant l'arrêt. On règle l'incident avant toute offre.</t>
        </is>
      </c>
    </row>
    <row r="14">
      <c r="A14" s="8" t="inlineStr">
        <is>
          <t>Impayé en cours</t>
        </is>
      </c>
      <c r="B14" s="7" t="inlineStr">
        <is>
          <t>Un encours reste dû. Pas de relance commerciale : le dossier passe d'abord au recouvrement.</t>
        </is>
      </c>
    </row>
    <row r="15">
      <c r="A15" s="8" t="inlineStr">
        <is>
          <t>Rythme lent / occasionnel</t>
        </is>
      </c>
      <c r="B15" s="7" t="inlineStr">
        <is>
          <t>Commande tous les 14 jours ou plus : un mois sans commande peut être normal. Message léger, pas de pression.</t>
        </is>
      </c>
    </row>
    <row r="16">
      <c r="A16" s="8" t="inlineStr">
        <is>
          <t>Perdu probable (&gt; 90 j)</t>
        </is>
      </c>
      <c r="B16" s="7" t="inlineStr">
        <is>
          <t>Plus de 90 jours sans commande. On cherche surtout à comprendre pourquoi, l'offre vient ensuite.</t>
        </is>
      </c>
    </row>
    <row r="17">
      <c r="A17" s="8" t="inlineStr"/>
      <c r="B17" s="7" t="inlineStr"/>
    </row>
    <row r="18">
      <c r="A18" s="6" t="inlineStr">
        <is>
          <t>Comment on priorise</t>
        </is>
      </c>
      <c r="B18" s="7" t="inlineStr"/>
    </row>
    <row r="19">
      <c r="A19" s="8" t="inlineStr">
        <is>
          <t>P1</t>
        </is>
      </c>
      <c r="B19" s="7" t="inlineStr">
        <is>
          <t>Valeur habituelle d'au moins 1,5 M FCFA par mois, ou incident sur un client d'au moins 500 000 FCFA par mois. Visite ou appel du responsable commercial, dans les 48 h.</t>
        </is>
      </c>
    </row>
    <row r="20">
      <c r="A20" s="8" t="inlineStr">
        <is>
          <t>P2</t>
        </is>
      </c>
      <c r="B20" s="7" t="inlineStr">
        <is>
          <t>Valeur habituelle d'au moins 600 000 FCFA par mois, ou incident. Appel du commercial qui suit le client.</t>
        </is>
      </c>
    </row>
    <row r="21">
      <c r="A21" s="8" t="inlineStr">
        <is>
          <t>P3</t>
        </is>
      </c>
      <c r="B21" s="7" t="inlineStr">
        <is>
          <t>Le reste. Message WhatsApp du commercial, depuis son numéro (pas d'envoi groupé).</t>
        </is>
      </c>
    </row>
    <row r="22">
      <c r="A22" s="8" t="inlineStr"/>
      <c r="B22" s="7" t="inlineStr"/>
    </row>
    <row r="23">
      <c r="A23" s="8" t="inlineStr">
        <is>
          <t>Ce qui ne part jamais sans accord</t>
        </is>
      </c>
      <c r="B23" s="7" t="inlineStr">
        <is>
          <t>Chaque message avant son envoi ; toute offre de retour, remise, livraison offerte ou prix bloqué (décision de la direction de Djoli) ; tout étalement d'une dette. Une condition accordée à un client ne se cite jamais à un autre.</t>
        </is>
      </c>
    </row>
    <row r="24">
      <c r="A24" s="8" t="inlineStr">
        <is>
          <t>Valeur habituelle par mois</t>
        </is>
      </c>
      <c r="B24" s="7" t="inlineStr">
        <is>
          <t>Panier moyen × 30 / nombre de jours entre deux commandes. C'est ce que le client achetait en rythme normal, pas une promesse de chiffre retrouvé.</t>
        </is>
      </c>
    </row>
  </sheetData>
  <pageMargins left="0.75" right="0.75" top="1" bottom="1" header="0.5" footer="0.5"/>
</worksheet>
</file>

<file path=xl/worksheets/sheet2.xml><?xml version="1.0" encoding="utf-8"?>
<worksheet xmlns="http://schemas.openxmlformats.org/spreadsheetml/2006/main">
  <sheetPr>
    <tabColor rgb="00255C40"/>
    <outlinePr summaryBelow="1" summaryRight="1"/>
    <pageSetUpPr/>
  </sheetPr>
  <dimension ref="A1:C12"/>
  <sheetViews>
    <sheetView workbookViewId="0">
      <selection activeCell="A1" sqref="A1"/>
    </sheetView>
  </sheetViews>
  <sheetFormatPr baseColWidth="8" defaultRowHeight="15"/>
  <cols>
    <col width="44" customWidth="1" min="1" max="1"/>
    <col width="18" customWidth="1" min="2" max="2"/>
    <col width="60" customWidth="1" min="3" max="3"/>
  </cols>
  <sheetData>
    <row r="1" ht="34" customHeight="1">
      <c r="A1" s="1" t="inlineStr">
        <is>
          <t>djoli</t>
        </is>
      </c>
      <c r="B1" s="2" t="inlineStr">
        <is>
          <t>Paramètres</t>
        </is>
      </c>
      <c r="C1" s="3" t="n"/>
    </row>
    <row r="2">
      <c r="A2" s="4" t="inlineStr">
        <is>
          <t>FICTIF : données inventées pour illustrer la méthode. Aucun nom, chiffre ou date ne vient de Djoli.</t>
        </is>
      </c>
      <c r="B2" s="5" t="n"/>
      <c r="C2" s="5" t="n"/>
    </row>
    <row r="5">
      <c r="A5" s="9" t="inlineStr">
        <is>
          <t>Date de référence</t>
        </is>
      </c>
      <c r="B5" s="10" t="n">
        <v>46316</v>
      </c>
      <c r="C5" s="11" t="inlineStr">
        <is>
          <t>Date à laquelle on compte les jours sans commande</t>
        </is>
      </c>
    </row>
    <row r="6">
      <c r="A6" s="9" t="inlineStr">
        <is>
          <t>Seuil d'inactivité (jours)</t>
        </is>
      </c>
      <c r="B6" s="12" t="n">
        <v>30</v>
      </c>
      <c r="C6" s="11" t="inlineStr">
        <is>
          <t>En dessous, le client n'entre pas dans la relance</t>
        </is>
      </c>
    </row>
    <row r="7">
      <c r="A7" s="9" t="inlineStr">
        <is>
          <t>Seuil « décroché » (silence / rythme)</t>
        </is>
      </c>
      <c r="B7" s="12" t="n">
        <v>3</v>
      </c>
      <c r="C7" s="11" t="inlineStr">
        <is>
          <t>Silence au moins 3 fois plus long que le rythme habituel</t>
        </is>
      </c>
    </row>
    <row r="8">
      <c r="A8" s="9" t="inlineStr">
        <is>
          <t>Seuil « perdu probable » (jours)</t>
        </is>
      </c>
      <c r="B8" s="12" t="n">
        <v>90</v>
      </c>
      <c r="C8" s="11" t="inlineStr"/>
    </row>
    <row r="9">
      <c r="A9" s="9" t="inlineStr">
        <is>
          <t>Seuil P1 (valeur par mois, FCFA)</t>
        </is>
      </c>
      <c r="B9" s="13" t="n">
        <v>1500000</v>
      </c>
      <c r="C9" s="11" t="inlineStr"/>
    </row>
    <row r="10">
      <c r="A10" s="9" t="inlineStr">
        <is>
          <t>Seuil P2 (valeur par mois, FCFA)</t>
        </is>
      </c>
      <c r="B10" s="13" t="n">
        <v>600000</v>
      </c>
      <c r="C10" s="11" t="inlineStr"/>
    </row>
    <row r="11">
      <c r="A11" s="9" t="inlineStr">
        <is>
          <t>Alerte précoce (silence / rythme)</t>
        </is>
      </c>
      <c r="B11" s="12" t="n">
        <v>1.5</v>
      </c>
      <c r="C11" s="11" t="inlineStr">
        <is>
          <t>À mettre en place ensuite : signaler un client dès 1,5 fois son rythme</t>
        </is>
      </c>
    </row>
    <row r="12">
      <c r="A12" s="9" t="inlineStr">
        <is>
          <t>Date de départ de la campagne (J0)</t>
        </is>
      </c>
      <c r="B12" s="10" t="n">
        <v>46317</v>
      </c>
      <c r="C12" s="11" t="inlineStr">
        <is>
          <t>Jour 0 des clients P1 ; P2 à J0+1, P3 à J0+4</t>
        </is>
      </c>
    </row>
  </sheetData>
  <pageMargins left="0.75" right="0.75" top="1" bottom="1" header="0.5" footer="0.5"/>
</worksheet>
</file>

<file path=xl/worksheets/sheet3.xml><?xml version="1.0" encoding="utf-8"?>
<worksheet xmlns="http://schemas.openxmlformats.org/spreadsheetml/2006/main">
  <sheetPr>
    <tabColor rgb="00255C40"/>
    <outlinePr summaryBelow="1" summaryRight="1"/>
    <pageSetUpPr/>
  </sheetPr>
  <dimension ref="A1:X3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30" customWidth="1" min="2" max="2"/>
    <col width="15" customWidth="1" min="3" max="3"/>
    <col width="18" customWidth="1" min="4" max="4"/>
    <col width="24" customWidth="1" min="5" max="5"/>
    <col width="11" customWidth="1" min="6" max="6"/>
    <col width="12" customWidth="1" min="7" max="7"/>
    <col width="12" customWidth="1" min="8" max="8"/>
    <col width="10" customWidth="1" min="9" max="9"/>
    <col width="10" customWidth="1" min="10" max="10"/>
    <col width="9" customWidth="1" min="11" max="11"/>
    <col width="11" customWidth="1" min="12" max="12"/>
    <col width="13" customWidth="1" min="13" max="13"/>
    <col width="14" customWidth="1" min="14" max="14"/>
    <col width="14" customWidth="1" min="15" max="15"/>
    <col width="30" customWidth="1" min="16" max="16"/>
    <col width="12" customWidth="1" min="17" max="17"/>
    <col width="26" customWidth="1" min="18" max="18"/>
    <col width="12" customWidth="1" min="19" max="19"/>
    <col width="28" customWidth="1" min="20" max="20"/>
    <col width="20" customWidth="1" min="21" max="21"/>
    <col width="20" customWidth="1" min="22" max="22"/>
    <col width="8" customWidth="1" min="23" max="23"/>
    <col width="24" customWidth="1" min="24" max="24"/>
  </cols>
  <sheetData>
    <row r="1" ht="34" customHeight="1">
      <c r="A1" s="1" t="inlineStr">
        <is>
          <t>djoli</t>
        </is>
      </c>
      <c r="B1" s="2" t="inlineStr">
        <is>
          <t>Clients sans commande de produits frais depuis plus de 30 jours</t>
        </is>
      </c>
      <c r="C1" s="3" t="n"/>
      <c r="D1" s="3" t="n"/>
      <c r="E1" s="3" t="n"/>
      <c r="F1" s="3" t="n"/>
      <c r="G1" s="3" t="n"/>
      <c r="H1" s="3" t="n"/>
      <c r="I1" s="3" t="n"/>
      <c r="J1" s="3" t="n"/>
      <c r="K1" s="3" t="n"/>
      <c r="L1" s="3" t="n"/>
      <c r="M1" s="3" t="n"/>
      <c r="N1" s="3" t="n"/>
      <c r="O1" s="3" t="n"/>
      <c r="P1" s="3" t="n"/>
      <c r="Q1" s="3" t="n"/>
      <c r="R1" s="3" t="n"/>
      <c r="S1" s="3" t="n"/>
      <c r="T1" s="3" t="n"/>
      <c r="U1" s="3" t="n"/>
      <c r="V1" s="3" t="n"/>
      <c r="W1" s="3" t="n"/>
      <c r="X1" s="3" t="n"/>
    </row>
    <row r="2">
      <c r="A2" s="4" t="inlineStr">
        <is>
          <t>FICTIF : données inventées pour illustrer la méthode. Aucun nom, chiffre ou date ne vient de Djoli.</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row>
    <row r="3">
      <c r="A3" s="14" t="inlineStr">
        <is>
          <t>Trié par priorité puis par valeur habituelle. Les jours sans commande se recalculent depuis la date de référence (onglet Paramètres).</t>
        </is>
      </c>
    </row>
    <row r="5" ht="32" customHeight="1">
      <c r="A5" s="15" t="inlineStr">
        <is>
          <t>ID</t>
        </is>
      </c>
      <c r="B5" s="15" t="inlineStr">
        <is>
          <t>Établissement</t>
        </is>
      </c>
      <c r="C5" s="15" t="inlineStr">
        <is>
          <t>Type</t>
        </is>
      </c>
      <c r="D5" s="15" t="inlineStr">
        <is>
          <t>Commune</t>
        </is>
      </c>
      <c r="E5" s="15" t="inlineStr">
        <is>
          <t>Contact</t>
        </is>
      </c>
      <c r="F5" s="15" t="inlineStr">
        <is>
          <t>Commercial</t>
        </is>
      </c>
      <c r="G5" s="15" t="inlineStr">
        <is>
          <t>Client depuis</t>
        </is>
      </c>
      <c r="H5" s="15" t="inlineStr">
        <is>
          <t>Dernière commande</t>
        </is>
      </c>
      <c r="I5" s="15" t="inlineStr">
        <is>
          <t>Jours sans commande</t>
        </is>
      </c>
      <c r="J5" s="15" t="inlineStr">
        <is>
          <t>Rythme habituel (jours)</t>
        </is>
      </c>
      <c r="K5" s="15" t="inlineStr">
        <is>
          <t>Silence / rythme</t>
        </is>
      </c>
      <c r="L5" s="15" t="inlineStr">
        <is>
          <t>Commandes sur les 90 j avant l'arrêt</t>
        </is>
      </c>
      <c r="M5" s="15" t="inlineStr">
        <is>
          <t>Panier moyen</t>
        </is>
      </c>
      <c r="N5" s="15" t="inlineStr">
        <is>
          <t>Valeur habituelle par mois</t>
        </is>
      </c>
      <c r="O5" s="15" t="inlineStr">
        <is>
          <t>CA 12 mois</t>
        </is>
      </c>
      <c r="P5" s="15" t="inlineStr">
        <is>
          <t>Produits habituels</t>
        </is>
      </c>
      <c r="Q5" s="15" t="inlineStr">
        <is>
          <t>Dernière réclamation</t>
        </is>
      </c>
      <c r="R5" s="15" t="inlineStr">
        <is>
          <t>Objet de la réclamation</t>
        </is>
      </c>
      <c r="S5" s="15" t="inlineStr">
        <is>
          <t>Encours dû</t>
        </is>
      </c>
      <c r="T5" s="15" t="inlineStr">
        <is>
          <t>Raison supposée (à confirmer)</t>
        </is>
      </c>
      <c r="U5" s="15" t="inlineStr">
        <is>
          <t>Famille de raison</t>
        </is>
      </c>
      <c r="V5" s="15" t="inlineStr">
        <is>
          <t>Groupe</t>
        </is>
      </c>
      <c r="W5" s="15" t="inlineStr">
        <is>
          <t>Priorité</t>
        </is>
      </c>
      <c r="X5" s="15" t="inlineStr">
        <is>
          <t>Canal du premier contact</t>
        </is>
      </c>
    </row>
    <row r="6">
      <c r="A6" s="16" t="inlineStr">
        <is>
          <t>CLI-011</t>
        </is>
      </c>
      <c r="B6" s="16" t="inlineStr">
        <is>
          <t>Hôtel Ivoire Palm (cuisine)</t>
        </is>
      </c>
      <c r="C6" s="16" t="inlineStr">
        <is>
          <t>Hôtel-restaurant</t>
        </is>
      </c>
      <c r="D6" s="16" t="inlineStr">
        <is>
          <t>Port-Bouët</t>
        </is>
      </c>
      <c r="E6" s="16" t="inlineStr">
        <is>
          <t>M. Kra, chef de cuisine</t>
        </is>
      </c>
      <c r="F6" s="16" t="inlineStr">
        <is>
          <t>Aïcha</t>
        </is>
      </c>
      <c r="G6" s="17" t="n">
        <v>45830</v>
      </c>
      <c r="H6" s="17" t="n">
        <v>46282</v>
      </c>
      <c r="I6" s="16">
        <f>Paramètres!$B$5-H6</f>
        <v/>
      </c>
      <c r="J6" s="16" t="n">
        <v>3</v>
      </c>
      <c r="K6" s="16">
        <f>ROUND(I6/J6,1)</f>
        <v/>
      </c>
      <c r="L6" s="16" t="n">
        <v>29</v>
      </c>
      <c r="M6" s="18" t="n">
        <v>520000</v>
      </c>
      <c r="N6" s="18" t="n">
        <v>5200000</v>
      </c>
      <c r="O6" s="18" t="n">
        <v>59430000</v>
      </c>
      <c r="P6" s="16" t="inlineStr">
        <is>
          <t>Fruits, salade, tomate, herbes</t>
        </is>
      </c>
      <c r="Q6" s="17" t="n"/>
      <c r="R6" s="16" t="inlineStr"/>
      <c r="S6" s="18" t="n">
        <v>0</v>
      </c>
      <c r="T6" s="16" t="inlineStr">
        <is>
          <t>Retour au marché ou autre fournisseur</t>
        </is>
      </c>
      <c r="U6" s="16" t="inlineStr">
        <is>
          <t>Concurrence / marché</t>
        </is>
      </c>
      <c r="V6" s="16" t="inlineStr">
        <is>
          <t>Décroché</t>
        </is>
      </c>
      <c r="W6" s="19" t="inlineStr">
        <is>
          <t>P1</t>
        </is>
      </c>
      <c r="X6" s="16" t="inlineStr">
        <is>
          <t>Visite ou appel du responsable commercial</t>
        </is>
      </c>
    </row>
    <row r="7">
      <c r="A7" s="20" t="inlineStr">
        <is>
          <t>CLI-001</t>
        </is>
      </c>
      <c r="B7" s="20" t="inlineStr">
        <is>
          <t>Hôtel Lagune Bleue (restaurant)</t>
        </is>
      </c>
      <c r="C7" s="20" t="inlineStr">
        <is>
          <t>Hôtel-restaurant</t>
        </is>
      </c>
      <c r="D7" s="20" t="inlineStr">
        <is>
          <t>Marcory Zone 4</t>
        </is>
      </c>
      <c r="E7" s="20" t="inlineStr">
        <is>
          <t>Mme Bamba, intendante</t>
        </is>
      </c>
      <c r="F7" s="20" t="inlineStr">
        <is>
          <t>Aïcha</t>
        </is>
      </c>
      <c r="G7" s="21" t="n">
        <v>46070</v>
      </c>
      <c r="H7" s="21" t="n">
        <v>46278</v>
      </c>
      <c r="I7" s="20">
        <f>Paramètres!$B$5-H7</f>
        <v/>
      </c>
      <c r="J7" s="20" t="n">
        <v>4</v>
      </c>
      <c r="K7" s="20">
        <f>ROUND(I7/J7,1)</f>
        <v/>
      </c>
      <c r="L7" s="20" t="n">
        <v>18</v>
      </c>
      <c r="M7" s="22" t="n">
        <v>410000</v>
      </c>
      <c r="N7" s="22" t="n">
        <v>3075000</v>
      </c>
      <c r="O7" s="22" t="n">
        <v>21045000</v>
      </c>
      <c r="P7" s="20" t="inlineStr">
        <is>
          <t>Tomate 1er choix, salade, poivron</t>
        </is>
      </c>
      <c r="Q7" s="21" t="n">
        <v>46272</v>
      </c>
      <c r="R7" s="20" t="inlineStr">
        <is>
          <t>Tomates abîmées à la livraison</t>
        </is>
      </c>
      <c r="S7" s="22" t="n">
        <v>0</v>
      </c>
      <c r="T7" s="20" t="inlineStr">
        <is>
          <t>Qualité / fraîcheur</t>
        </is>
      </c>
      <c r="U7" s="20" t="inlineStr">
        <is>
          <t>Qualité</t>
        </is>
      </c>
      <c r="V7" s="20" t="inlineStr">
        <is>
          <t>Incident non soldé</t>
        </is>
      </c>
      <c r="W7" s="19" t="inlineStr">
        <is>
          <t>P1</t>
        </is>
      </c>
      <c r="X7" s="20" t="inlineStr">
        <is>
          <t>Visite ou appel du responsable commercial</t>
        </is>
      </c>
    </row>
    <row r="8">
      <c r="A8" s="16" t="inlineStr">
        <is>
          <t>CLI-006</t>
        </is>
      </c>
      <c r="B8" s="16" t="inlineStr">
        <is>
          <t>Le Grill du Plateau</t>
        </is>
      </c>
      <c r="C8" s="16" t="inlineStr">
        <is>
          <t>Restaurant</t>
        </is>
      </c>
      <c r="D8" s="16" t="inlineStr">
        <is>
          <t>Plateau</t>
        </is>
      </c>
      <c r="E8" s="16" t="inlineStr">
        <is>
          <t>M. Diallo, chef</t>
        </is>
      </c>
      <c r="F8" s="16" t="inlineStr">
        <is>
          <t>Aïcha</t>
        </is>
      </c>
      <c r="G8" s="17" t="n">
        <v>45952</v>
      </c>
      <c r="H8" s="17" t="n">
        <v>46283</v>
      </c>
      <c r="I8" s="16">
        <f>Paramètres!$B$5-H8</f>
        <v/>
      </c>
      <c r="J8" s="16" t="n">
        <v>3</v>
      </c>
      <c r="K8" s="16">
        <f>ROUND(I8/J8,1)</f>
        <v/>
      </c>
      <c r="L8" s="16" t="n">
        <v>29</v>
      </c>
      <c r="M8" s="18" t="n">
        <v>230000</v>
      </c>
      <c r="N8" s="18" t="n">
        <v>2300000</v>
      </c>
      <c r="O8" s="18" t="n">
        <v>23815000</v>
      </c>
      <c r="P8" s="16" t="inlineStr">
        <is>
          <t>Poivron, oignon, piment, citron vert</t>
        </is>
      </c>
      <c r="Q8" s="17" t="n"/>
      <c r="R8" s="16" t="inlineStr"/>
      <c r="S8" s="18" t="n">
        <v>0</v>
      </c>
      <c r="T8" s="16" t="inlineStr">
        <is>
          <t>Nouvel acheteur en cuisine</t>
        </is>
      </c>
      <c r="U8" s="16" t="inlineStr">
        <is>
          <t>Changement d'interlocuteur</t>
        </is>
      </c>
      <c r="V8" s="16" t="inlineStr">
        <is>
          <t>Décroché</t>
        </is>
      </c>
      <c r="W8" s="19" t="inlineStr">
        <is>
          <t>P1</t>
        </is>
      </c>
      <c r="X8" s="16" t="inlineStr">
        <is>
          <t>Visite ou appel du responsable commercial</t>
        </is>
      </c>
    </row>
    <row r="9">
      <c r="A9" s="20" t="inlineStr">
        <is>
          <t>CLI-004</t>
        </is>
      </c>
      <c r="B9" s="20" t="inlineStr">
        <is>
          <t>Résidence Les Flamboyants</t>
        </is>
      </c>
      <c r="C9" s="20" t="inlineStr">
        <is>
          <t>Hôtel-restaurant</t>
        </is>
      </c>
      <c r="D9" s="20" t="inlineStr">
        <is>
          <t>Cocody Riviera 3</t>
        </is>
      </c>
      <c r="E9" s="20" t="inlineStr">
        <is>
          <t>M. Ouattara, chef</t>
        </is>
      </c>
      <c r="F9" s="20" t="inlineStr">
        <is>
          <t>Aïcha</t>
        </is>
      </c>
      <c r="G9" s="21" t="n">
        <v>45932</v>
      </c>
      <c r="H9" s="21" t="n">
        <v>46264</v>
      </c>
      <c r="I9" s="20">
        <f>Paramètres!$B$5-H9</f>
        <v/>
      </c>
      <c r="J9" s="20" t="n">
        <v>4</v>
      </c>
      <c r="K9" s="20">
        <f>ROUND(I9/J9,1)</f>
        <v/>
      </c>
      <c r="L9" s="20" t="n">
        <v>18</v>
      </c>
      <c r="M9" s="22" t="n">
        <v>295000</v>
      </c>
      <c r="N9" s="22" t="n">
        <v>2212000</v>
      </c>
      <c r="O9" s="22" t="n">
        <v>22405000</v>
      </c>
      <c r="P9" s="20" t="inlineStr">
        <is>
          <t>Carotte, haricot vert, pomme de terre</t>
        </is>
      </c>
      <c r="Q9" s="21" t="n">
        <v>46255</v>
      </c>
      <c r="R9" s="20" t="inlineStr">
        <is>
          <t>Livraison arrivée après le service</t>
        </is>
      </c>
      <c r="S9" s="22" t="n">
        <v>0</v>
      </c>
      <c r="T9" s="20" t="inlineStr">
        <is>
          <t>Livraison en retard</t>
        </is>
      </c>
      <c r="U9" s="20" t="inlineStr">
        <is>
          <t>Service (livraison, erreur)</t>
        </is>
      </c>
      <c r="V9" s="20" t="inlineStr">
        <is>
          <t>Incident non soldé</t>
        </is>
      </c>
      <c r="W9" s="19" t="inlineStr">
        <is>
          <t>P1</t>
        </is>
      </c>
      <c r="X9" s="20" t="inlineStr">
        <is>
          <t>Visite ou appel du responsable commercial</t>
        </is>
      </c>
    </row>
    <row r="10">
      <c r="A10" s="16" t="inlineStr">
        <is>
          <t>CLI-002</t>
        </is>
      </c>
      <c r="B10" s="16" t="inlineStr">
        <is>
          <t>Le Patio d'Angré</t>
        </is>
      </c>
      <c r="C10" s="16" t="inlineStr">
        <is>
          <t>Restaurant</t>
        </is>
      </c>
      <c r="D10" s="16" t="inlineStr">
        <is>
          <t>Cocody Angré</t>
        </is>
      </c>
      <c r="E10" s="16" t="inlineStr">
        <is>
          <t>M. Koffi, gérant</t>
        </is>
      </c>
      <c r="F10" s="16" t="inlineStr">
        <is>
          <t>Serge</t>
        </is>
      </c>
      <c r="G10" s="17" t="n">
        <v>45872</v>
      </c>
      <c r="H10" s="17" t="n">
        <v>46272</v>
      </c>
      <c r="I10" s="16">
        <f>Paramètres!$B$5-H10</f>
        <v/>
      </c>
      <c r="J10" s="16" t="n">
        <v>3</v>
      </c>
      <c r="K10" s="16">
        <f>ROUND(I10/J10,1)</f>
        <v/>
      </c>
      <c r="L10" s="16" t="n">
        <v>24</v>
      </c>
      <c r="M10" s="18" t="n">
        <v>185000</v>
      </c>
      <c r="N10" s="18" t="n">
        <v>1850000</v>
      </c>
      <c r="O10" s="18" t="n">
        <v>19710000</v>
      </c>
      <c r="P10" s="16" t="inlineStr">
        <is>
          <t>Oignon, tomate, piment, citron</t>
        </is>
      </c>
      <c r="Q10" s="17" t="n"/>
      <c r="R10" s="16" t="inlineStr"/>
      <c r="S10" s="18" t="n">
        <v>0</v>
      </c>
      <c r="T10" s="16" t="inlineStr">
        <is>
          <t>Retour au marché ou autre fournisseur</t>
        </is>
      </c>
      <c r="U10" s="16" t="inlineStr">
        <is>
          <t>Concurrence / marché</t>
        </is>
      </c>
      <c r="V10" s="16" t="inlineStr">
        <is>
          <t>Décroché</t>
        </is>
      </c>
      <c r="W10" s="19" t="inlineStr">
        <is>
          <t>P1</t>
        </is>
      </c>
      <c r="X10" s="16" t="inlineStr">
        <is>
          <t>Visite ou appel du responsable commercial</t>
        </is>
      </c>
    </row>
    <row r="11">
      <c r="A11" s="20" t="inlineStr">
        <is>
          <t>CLI-009</t>
        </is>
      </c>
      <c r="B11" s="20" t="inlineStr">
        <is>
          <t>Fast Food Mixte 225</t>
        </is>
      </c>
      <c r="C11" s="20" t="inlineStr">
        <is>
          <t>Restauration rapide</t>
        </is>
      </c>
      <c r="D11" s="20" t="inlineStr">
        <is>
          <t>Cocody II Plateaux</t>
        </is>
      </c>
      <c r="E11" s="20" t="inlineStr">
        <is>
          <t>Mme Coulibaly, gérante</t>
        </is>
      </c>
      <c r="F11" s="20" t="inlineStr">
        <is>
          <t>Serge</t>
        </is>
      </c>
      <c r="G11" s="21" t="n">
        <v>45837</v>
      </c>
      <c r="H11" s="21" t="n">
        <v>46280</v>
      </c>
      <c r="I11" s="20">
        <f>Paramètres!$B$5-H11</f>
        <v/>
      </c>
      <c r="J11" s="20" t="n">
        <v>4</v>
      </c>
      <c r="K11" s="20">
        <f>ROUND(I11/J11,1)</f>
        <v/>
      </c>
      <c r="L11" s="20" t="n">
        <v>22</v>
      </c>
      <c r="M11" s="22" t="n">
        <v>98000</v>
      </c>
      <c r="N11" s="22" t="n">
        <v>735000</v>
      </c>
      <c r="O11" s="22" t="n">
        <v>8325000</v>
      </c>
      <c r="P11" s="20" t="inlineStr">
        <is>
          <t>Salade, tomate, oignon, frites fraîches</t>
        </is>
      </c>
      <c r="Q11" s="21" t="n">
        <v>46268</v>
      </c>
      <c r="R11" s="20" t="inlineStr">
        <is>
          <t>Salade fanée, refusée</t>
        </is>
      </c>
      <c r="S11" s="22" t="n">
        <v>0</v>
      </c>
      <c r="T11" s="20" t="inlineStr">
        <is>
          <t>Qualité / fraîcheur</t>
        </is>
      </c>
      <c r="U11" s="20" t="inlineStr">
        <is>
          <t>Qualité</t>
        </is>
      </c>
      <c r="V11" s="20" t="inlineStr">
        <is>
          <t>Incident non soldé</t>
        </is>
      </c>
      <c r="W11" s="19" t="inlineStr">
        <is>
          <t>P1</t>
        </is>
      </c>
      <c r="X11" s="20" t="inlineStr">
        <is>
          <t>Visite ou appel du responsable commercial</t>
        </is>
      </c>
    </row>
    <row r="12">
      <c r="A12" s="16" t="inlineStr">
        <is>
          <t>CLI-018</t>
        </is>
      </c>
      <c r="B12" s="16" t="inlineStr">
        <is>
          <t>Restaurant Chez Fanta</t>
        </is>
      </c>
      <c r="C12" s="16" t="inlineStr">
        <is>
          <t>Restaurant</t>
        </is>
      </c>
      <c r="D12" s="16" t="inlineStr">
        <is>
          <t>Adjamé</t>
        </is>
      </c>
      <c r="E12" s="16" t="inlineStr">
        <is>
          <t>Mme Fofana, propriétaire</t>
        </is>
      </c>
      <c r="F12" s="16" t="inlineStr">
        <is>
          <t>Serge</t>
        </is>
      </c>
      <c r="G12" s="17" t="n">
        <v>46016</v>
      </c>
      <c r="H12" s="17" t="n">
        <v>46279</v>
      </c>
      <c r="I12" s="16">
        <f>Paramètres!$B$5-H12</f>
        <v/>
      </c>
      <c r="J12" s="16" t="n">
        <v>4</v>
      </c>
      <c r="K12" s="16">
        <f>ROUND(I12/J12,1)</f>
        <v/>
      </c>
      <c r="L12" s="16" t="n">
        <v>17</v>
      </c>
      <c r="M12" s="18" t="n">
        <v>88000</v>
      </c>
      <c r="N12" s="18" t="n">
        <v>660000</v>
      </c>
      <c r="O12" s="18" t="n">
        <v>5550000</v>
      </c>
      <c r="P12" s="16" t="inlineStr">
        <is>
          <t>Oignon, tomate, piment, ail</t>
        </is>
      </c>
      <c r="Q12" s="17" t="n">
        <v>46275</v>
      </c>
      <c r="R12" s="16" t="inlineStr">
        <is>
          <t>Erreur dans la commande (produit manquant)</t>
        </is>
      </c>
      <c r="S12" s="18" t="n">
        <v>0</v>
      </c>
      <c r="T12" s="16" t="inlineStr">
        <is>
          <t>Erreur de commande</t>
        </is>
      </c>
      <c r="U12" s="16" t="inlineStr">
        <is>
          <t>Service (livraison, erreur)</t>
        </is>
      </c>
      <c r="V12" s="16" t="inlineStr">
        <is>
          <t>Incident non soldé</t>
        </is>
      </c>
      <c r="W12" s="19" t="inlineStr">
        <is>
          <t>P1</t>
        </is>
      </c>
      <c r="X12" s="16" t="inlineStr">
        <is>
          <t>Visite ou appel du responsable commercial</t>
        </is>
      </c>
    </row>
    <row r="13">
      <c r="A13" s="20" t="inlineStr">
        <is>
          <t>CLI-023</t>
        </is>
      </c>
      <c r="B13" s="20" t="inlineStr">
        <is>
          <t>Cafétéria Clinique Les Lauriers</t>
        </is>
      </c>
      <c r="C13" s="20" t="inlineStr">
        <is>
          <t>Cantine</t>
        </is>
      </c>
      <c r="D13" s="20" t="inlineStr">
        <is>
          <t>Cocody Danga</t>
        </is>
      </c>
      <c r="E13" s="20" t="inlineStr">
        <is>
          <t>Mme Yapi, intendante</t>
        </is>
      </c>
      <c r="F13" s="20" t="inlineStr">
        <is>
          <t>Serge</t>
        </is>
      </c>
      <c r="G13" s="21" t="n">
        <v>45761</v>
      </c>
      <c r="H13" s="21" t="n">
        <v>46270</v>
      </c>
      <c r="I13" s="20">
        <f>Paramètres!$B$5-H13</f>
        <v/>
      </c>
      <c r="J13" s="20" t="n">
        <v>7</v>
      </c>
      <c r="K13" s="20">
        <f>ROUND(I13/J13,1)</f>
        <v/>
      </c>
      <c r="L13" s="20" t="n">
        <v>11</v>
      </c>
      <c r="M13" s="22" t="n">
        <v>135000</v>
      </c>
      <c r="N13" s="22" t="n">
        <v>579000</v>
      </c>
      <c r="O13" s="22" t="n">
        <v>6595000</v>
      </c>
      <c r="P13" s="20" t="inlineStr">
        <is>
          <t>Légumes soupe, carotte, pomme de terre</t>
        </is>
      </c>
      <c r="Q13" s="21" t="n">
        <v>46262</v>
      </c>
      <c r="R13" s="20" t="inlineStr">
        <is>
          <t>Livraison incomplète</t>
        </is>
      </c>
      <c r="S13" s="22" t="n">
        <v>0</v>
      </c>
      <c r="T13" s="20" t="inlineStr">
        <is>
          <t>Livraison incomplète</t>
        </is>
      </c>
      <c r="U13" s="20" t="inlineStr">
        <is>
          <t>Service (livraison, erreur)</t>
        </is>
      </c>
      <c r="V13" s="20" t="inlineStr">
        <is>
          <t>Incident non soldé</t>
        </is>
      </c>
      <c r="W13" s="19" t="inlineStr">
        <is>
          <t>P1</t>
        </is>
      </c>
      <c r="X13" s="20" t="inlineStr">
        <is>
          <t>Visite ou appel du responsable commercial</t>
        </is>
      </c>
    </row>
    <row r="14">
      <c r="A14" s="16" t="inlineStr">
        <is>
          <t>CLI-015</t>
        </is>
      </c>
      <c r="B14" s="16" t="inlineStr">
        <is>
          <t>Le Comptoir Gourmand</t>
        </is>
      </c>
      <c r="C14" s="16" t="inlineStr">
        <is>
          <t>Restaurant</t>
        </is>
      </c>
      <c r="D14" s="16" t="inlineStr">
        <is>
          <t>Marcory Biétry</t>
        </is>
      </c>
      <c r="E14" s="16" t="inlineStr">
        <is>
          <t>Mme Dosso, cheffe</t>
        </is>
      </c>
      <c r="F14" s="16" t="inlineStr">
        <is>
          <t>Aïcha</t>
        </is>
      </c>
      <c r="G14" s="17" t="n">
        <v>45802</v>
      </c>
      <c r="H14" s="17" t="n">
        <v>46285</v>
      </c>
      <c r="I14" s="16">
        <f>Paramètres!$B$5-H14</f>
        <v/>
      </c>
      <c r="J14" s="16" t="n">
        <v>4</v>
      </c>
      <c r="K14" s="16">
        <f>ROUND(I14/J14,1)</f>
        <v/>
      </c>
      <c r="L14" s="16" t="n">
        <v>19</v>
      </c>
      <c r="M14" s="18" t="n">
        <v>175000</v>
      </c>
      <c r="N14" s="18" t="n">
        <v>1312000</v>
      </c>
      <c r="O14" s="18" t="n">
        <v>15600000</v>
      </c>
      <c r="P14" s="16" t="inlineStr">
        <is>
          <t>Herbes, citron, avocat, tomate cerise</t>
        </is>
      </c>
      <c r="Q14" s="17" t="n"/>
      <c r="R14" s="16" t="inlineStr"/>
      <c r="S14" s="18" t="n">
        <v>0</v>
      </c>
      <c r="T14" s="16" t="inlineStr">
        <is>
          <t>Nouvel acheteur en cuisine</t>
        </is>
      </c>
      <c r="U14" s="16" t="inlineStr">
        <is>
          <t>Changement d'interlocuteur</t>
        </is>
      </c>
      <c r="V14" s="16" t="inlineStr">
        <is>
          <t>Décroché</t>
        </is>
      </c>
      <c r="W14" s="23" t="inlineStr">
        <is>
          <t>P2</t>
        </is>
      </c>
      <c r="X14" s="16" t="inlineStr">
        <is>
          <t>Appel du commercial</t>
        </is>
      </c>
    </row>
    <row r="15">
      <c r="A15" s="20" t="inlineStr">
        <is>
          <t>CLI-028</t>
        </is>
      </c>
      <c r="B15" s="20" t="inlineStr">
        <is>
          <t>Le Jardin de Cocody</t>
        </is>
      </c>
      <c r="C15" s="20" t="inlineStr">
        <is>
          <t>Restaurant</t>
        </is>
      </c>
      <c r="D15" s="20" t="inlineStr">
        <is>
          <t>Cocody Ambassades</t>
        </is>
      </c>
      <c r="E15" s="20" t="inlineStr">
        <is>
          <t>Mme Brou, gérante</t>
        </is>
      </c>
      <c r="F15" s="20" t="inlineStr">
        <is>
          <t>Aïcha</t>
        </is>
      </c>
      <c r="G15" s="21" t="n">
        <v>45952</v>
      </c>
      <c r="H15" s="21" t="n">
        <v>46277</v>
      </c>
      <c r="I15" s="20">
        <f>Paramètres!$B$5-H15</f>
        <v/>
      </c>
      <c r="J15" s="20" t="n">
        <v>5</v>
      </c>
      <c r="K15" s="20">
        <f>ROUND(I15/J15,1)</f>
        <v/>
      </c>
      <c r="L15" s="20" t="n">
        <v>17</v>
      </c>
      <c r="M15" s="22" t="n">
        <v>205000</v>
      </c>
      <c r="N15" s="22" t="n">
        <v>1230000</v>
      </c>
      <c r="O15" s="22" t="n">
        <v>11365000</v>
      </c>
      <c r="P15" s="20" t="inlineStr">
        <is>
          <t>Salade, herbes, légumes du jardin</t>
        </is>
      </c>
      <c r="Q15" s="21" t="n"/>
      <c r="R15" s="20" t="inlineStr"/>
      <c r="S15" s="22" t="n">
        <v>0</v>
      </c>
      <c r="T15" s="20" t="inlineStr">
        <is>
          <t>Qualité / calibre irrégulier</t>
        </is>
      </c>
      <c r="U15" s="20" t="inlineStr">
        <is>
          <t>Qualité</t>
        </is>
      </c>
      <c r="V15" s="20" t="inlineStr">
        <is>
          <t>Décroché</t>
        </is>
      </c>
      <c r="W15" s="23" t="inlineStr">
        <is>
          <t>P2</t>
        </is>
      </c>
      <c r="X15" s="20" t="inlineStr">
        <is>
          <t>Appel du commercial</t>
        </is>
      </c>
    </row>
    <row r="16">
      <c r="A16" s="16" t="inlineStr">
        <is>
          <t>CLI-014</t>
        </is>
      </c>
      <c r="B16" s="16" t="inlineStr">
        <is>
          <t>Cantine Entreprise Zone Industrielle</t>
        </is>
      </c>
      <c r="C16" s="16" t="inlineStr">
        <is>
          <t>Cantine</t>
        </is>
      </c>
      <c r="D16" s="16" t="inlineStr">
        <is>
          <t>Yopougon ZI</t>
        </is>
      </c>
      <c r="E16" s="16" t="inlineStr">
        <is>
          <t>M. Sylla, responsable achats</t>
        </is>
      </c>
      <c r="F16" s="16" t="inlineStr">
        <is>
          <t>Serge</t>
        </is>
      </c>
      <c r="G16" s="17" t="n">
        <v>45893</v>
      </c>
      <c r="H16" s="17" t="n">
        <v>46276</v>
      </c>
      <c r="I16" s="16">
        <f>Paramètres!$B$5-H16</f>
        <v/>
      </c>
      <c r="J16" s="16" t="n">
        <v>7</v>
      </c>
      <c r="K16" s="16">
        <f>ROUND(I16/J16,1)</f>
        <v/>
      </c>
      <c r="L16" s="16" t="n">
        <v>12</v>
      </c>
      <c r="M16" s="18" t="n">
        <v>275000</v>
      </c>
      <c r="N16" s="18" t="n">
        <v>1179000</v>
      </c>
      <c r="O16" s="18" t="n">
        <v>12590000</v>
      </c>
      <c r="P16" s="16" t="inlineStr">
        <is>
          <t>Riz local, tomate, oignon, chou</t>
        </is>
      </c>
      <c r="Q16" s="17" t="n"/>
      <c r="R16" s="16" t="inlineStr"/>
      <c r="S16" s="18" t="n">
        <v>0</v>
      </c>
      <c r="T16" s="16" t="inlineStr">
        <is>
          <t>Appel d'offres perdu / autre prestataire</t>
        </is>
      </c>
      <c r="U16" s="16" t="inlineStr">
        <is>
          <t>Concurrence / marché</t>
        </is>
      </c>
      <c r="V16" s="16" t="inlineStr">
        <is>
          <t>Décroché</t>
        </is>
      </c>
      <c r="W16" s="23" t="inlineStr">
        <is>
          <t>P2</t>
        </is>
      </c>
      <c r="X16" s="16" t="inlineStr">
        <is>
          <t>Appel du commercial</t>
        </is>
      </c>
    </row>
    <row r="17">
      <c r="A17" s="20" t="inlineStr">
        <is>
          <t>CLI-019</t>
        </is>
      </c>
      <c r="B17" s="20" t="inlineStr">
        <is>
          <t>Le Bistrot du Golf</t>
        </is>
      </c>
      <c r="C17" s="20" t="inlineStr">
        <is>
          <t>Restaurant</t>
        </is>
      </c>
      <c r="D17" s="20" t="inlineStr">
        <is>
          <t>Cocody Riviera Golf</t>
        </is>
      </c>
      <c r="E17" s="20" t="inlineStr">
        <is>
          <t>M. Assi, gérant</t>
        </is>
      </c>
      <c r="F17" s="20" t="inlineStr">
        <is>
          <t>Aïcha</t>
        </is>
      </c>
      <c r="G17" s="21" t="n">
        <v>45772</v>
      </c>
      <c r="H17" s="21" t="n">
        <v>46274</v>
      </c>
      <c r="I17" s="20">
        <f>Paramètres!$B$5-H17</f>
        <v/>
      </c>
      <c r="J17" s="20" t="n">
        <v>5</v>
      </c>
      <c r="K17" s="20">
        <f>ROUND(I17/J17,1)</f>
        <v/>
      </c>
      <c r="L17" s="20" t="n">
        <v>14</v>
      </c>
      <c r="M17" s="22" t="n">
        <v>190000</v>
      </c>
      <c r="N17" s="22" t="n">
        <v>1140000</v>
      </c>
      <c r="O17" s="22" t="n">
        <v>13635000</v>
      </c>
      <c r="P17" s="20" t="inlineStr">
        <is>
          <t>Salade, tomate, champignons, herbes</t>
        </is>
      </c>
      <c r="Q17" s="21" t="n"/>
      <c r="R17" s="20" t="inlineStr"/>
      <c r="S17" s="22" t="n">
        <v>0</v>
      </c>
      <c r="T17" s="20" t="inlineStr">
        <is>
          <t>Prix jugé trop haut</t>
        </is>
      </c>
      <c r="U17" s="20" t="inlineStr">
        <is>
          <t>Prix</t>
        </is>
      </c>
      <c r="V17" s="20" t="inlineStr">
        <is>
          <t>Décroché</t>
        </is>
      </c>
      <c r="W17" s="23" t="inlineStr">
        <is>
          <t>P2</t>
        </is>
      </c>
      <c r="X17" s="20" t="inlineStr">
        <is>
          <t>Appel du commercial</t>
        </is>
      </c>
    </row>
    <row r="18">
      <c r="A18" s="16" t="inlineStr">
        <is>
          <t>CLI-025</t>
        </is>
      </c>
      <c r="B18" s="16" t="inlineStr">
        <is>
          <t>Hôtel Résidence Akwaba (restaurant)</t>
        </is>
      </c>
      <c r="C18" s="16" t="inlineStr">
        <is>
          <t>Hôtel-restaurant</t>
        </is>
      </c>
      <c r="D18" s="16" t="inlineStr">
        <is>
          <t>Grand-Bassam</t>
        </is>
      </c>
      <c r="E18" s="16" t="inlineStr">
        <is>
          <t>M. Ahoussou, chef</t>
        </is>
      </c>
      <c r="F18" s="16" t="inlineStr">
        <is>
          <t>Aïcha</t>
        </is>
      </c>
      <c r="G18" s="17" t="n">
        <v>45805</v>
      </c>
      <c r="H18" s="17" t="n">
        <v>46258</v>
      </c>
      <c r="I18" s="16">
        <f>Paramètres!$B$5-H18</f>
        <v/>
      </c>
      <c r="J18" s="16" t="n">
        <v>7</v>
      </c>
      <c r="K18" s="16">
        <f>ROUND(I18/J18,1)</f>
        <v/>
      </c>
      <c r="L18" s="16" t="n">
        <v>10</v>
      </c>
      <c r="M18" s="18" t="n">
        <v>260000</v>
      </c>
      <c r="N18" s="18" t="n">
        <v>1114000</v>
      </c>
      <c r="O18" s="18" t="n">
        <v>11745000</v>
      </c>
      <c r="P18" s="16" t="inlineStr">
        <is>
          <t>Fruits, légumes, poisson-légumes</t>
        </is>
      </c>
      <c r="Q18" s="17" t="n"/>
      <c r="R18" s="16" t="inlineStr"/>
      <c r="S18" s="18" t="n">
        <v>0</v>
      </c>
      <c r="T18" s="16" t="inlineStr">
        <is>
          <t>Livraison hors zone jugée chère</t>
        </is>
      </c>
      <c r="U18" s="16" t="inlineStr">
        <is>
          <t>Prix</t>
        </is>
      </c>
      <c r="V18" s="16" t="inlineStr">
        <is>
          <t>Décroché</t>
        </is>
      </c>
      <c r="W18" s="23" t="inlineStr">
        <is>
          <t>P2</t>
        </is>
      </c>
      <c r="X18" s="16" t="inlineStr">
        <is>
          <t>Appel du commercial</t>
        </is>
      </c>
    </row>
    <row r="19">
      <c r="A19" s="20" t="inlineStr">
        <is>
          <t>CLI-005</t>
        </is>
      </c>
      <c r="B19" s="20" t="inlineStr">
        <is>
          <t>Cantine Groupe Scolaire Les Palmiers</t>
        </is>
      </c>
      <c r="C19" s="20" t="inlineStr">
        <is>
          <t>Cantine</t>
        </is>
      </c>
      <c r="D19" s="20" t="inlineStr">
        <is>
          <t>Abobo</t>
        </is>
      </c>
      <c r="E19" s="20" t="inlineStr">
        <is>
          <t>Mme Touré, économe</t>
        </is>
      </c>
      <c r="F19" s="20" t="inlineStr">
        <is>
          <t>Serge</t>
        </is>
      </c>
      <c r="G19" s="21" t="n">
        <v>46090</v>
      </c>
      <c r="H19" s="21" t="n">
        <v>46255</v>
      </c>
      <c r="I19" s="20">
        <f>Paramètres!$B$5-H19</f>
        <v/>
      </c>
      <c r="J19" s="20" t="n">
        <v>7</v>
      </c>
      <c r="K19" s="20">
        <f>ROUND(I19/J19,1)</f>
        <v/>
      </c>
      <c r="L19" s="20" t="n">
        <v>11</v>
      </c>
      <c r="M19" s="22" t="n">
        <v>240000</v>
      </c>
      <c r="N19" s="22" t="n">
        <v>1029000</v>
      </c>
      <c r="O19" s="22" t="n">
        <v>5255000</v>
      </c>
      <c r="P19" s="20" t="inlineStr">
        <is>
          <t>Riz local, oignon, tomate, chou</t>
        </is>
      </c>
      <c r="Q19" s="21" t="n"/>
      <c r="R19" s="20" t="inlineStr"/>
      <c r="S19" s="22" t="n">
        <v>0</v>
      </c>
      <c r="T19" s="20" t="inlineStr">
        <is>
          <t>Changement de prestataire de restauration</t>
        </is>
      </c>
      <c r="U19" s="20" t="inlineStr">
        <is>
          <t>Concurrence / marché</t>
        </is>
      </c>
      <c r="V19" s="20" t="inlineStr">
        <is>
          <t>Décroché</t>
        </is>
      </c>
      <c r="W19" s="23" t="inlineStr">
        <is>
          <t>P2</t>
        </is>
      </c>
      <c r="X19" s="20" t="inlineStr">
        <is>
          <t>Appel du commercial</t>
        </is>
      </c>
    </row>
    <row r="20">
      <c r="A20" s="16" t="inlineStr">
        <is>
          <t>CLI-024</t>
        </is>
      </c>
      <c r="B20" s="16" t="inlineStr">
        <is>
          <t>Burger &amp; Co Angré</t>
        </is>
      </c>
      <c r="C20" s="16" t="inlineStr">
        <is>
          <t>Restauration rapide</t>
        </is>
      </c>
      <c r="D20" s="16" t="inlineStr">
        <is>
          <t>Cocody Angré</t>
        </is>
      </c>
      <c r="E20" s="16" t="inlineStr">
        <is>
          <t>M. Traoré, gérant</t>
        </is>
      </c>
      <c r="F20" s="16" t="inlineStr">
        <is>
          <t>Serge</t>
        </is>
      </c>
      <c r="G20" s="17" t="n">
        <v>46020</v>
      </c>
      <c r="H20" s="17" t="n">
        <v>46284</v>
      </c>
      <c r="I20" s="16">
        <f>Paramètres!$B$5-H20</f>
        <v/>
      </c>
      <c r="J20" s="16" t="n">
        <v>4</v>
      </c>
      <c r="K20" s="16">
        <f>ROUND(I20/J20,1)</f>
        <v/>
      </c>
      <c r="L20" s="16" t="n">
        <v>17</v>
      </c>
      <c r="M20" s="18" t="n">
        <v>120000</v>
      </c>
      <c r="N20" s="18" t="n">
        <v>900000</v>
      </c>
      <c r="O20" s="18" t="n">
        <v>7540000</v>
      </c>
      <c r="P20" s="16" t="inlineStr">
        <is>
          <t>Salade, tomate, oignon rouge</t>
        </is>
      </c>
      <c r="Q20" s="17" t="n"/>
      <c r="R20" s="16" t="inlineStr"/>
      <c r="S20" s="18" t="n">
        <v>0</v>
      </c>
      <c r="T20" s="16" t="inlineStr">
        <is>
          <t>Prix jugé trop haut</t>
        </is>
      </c>
      <c r="U20" s="16" t="inlineStr">
        <is>
          <t>Prix</t>
        </is>
      </c>
      <c r="V20" s="16" t="inlineStr">
        <is>
          <t>Décroché</t>
        </is>
      </c>
      <c r="W20" s="23" t="inlineStr">
        <is>
          <t>P2</t>
        </is>
      </c>
      <c r="X20" s="16" t="inlineStr">
        <is>
          <t>Appel du commercial</t>
        </is>
      </c>
    </row>
    <row r="21">
      <c r="A21" s="20" t="inlineStr">
        <is>
          <t>CLI-012</t>
        </is>
      </c>
      <c r="B21" s="20" t="inlineStr">
        <is>
          <t>Restaurant Le Lagunaire</t>
        </is>
      </c>
      <c r="C21" s="20" t="inlineStr">
        <is>
          <t>Restaurant</t>
        </is>
      </c>
      <c r="D21" s="20" t="inlineStr">
        <is>
          <t>Cocody Blockhauss</t>
        </is>
      </c>
      <c r="E21" s="20" t="inlineStr">
        <is>
          <t>Mme Aka, gérante</t>
        </is>
      </c>
      <c r="F21" s="20" t="inlineStr">
        <is>
          <t>Serge</t>
        </is>
      </c>
      <c r="G21" s="21" t="n">
        <v>45836</v>
      </c>
      <c r="H21" s="21" t="n">
        <v>46244</v>
      </c>
      <c r="I21" s="20">
        <f>Paramètres!$B$5-H21</f>
        <v/>
      </c>
      <c r="J21" s="20" t="n">
        <v>6</v>
      </c>
      <c r="K21" s="20">
        <f>ROUND(I21/J21,1)</f>
        <v/>
      </c>
      <c r="L21" s="20" t="n">
        <v>13</v>
      </c>
      <c r="M21" s="22" t="n">
        <v>140000</v>
      </c>
      <c r="N21" s="22" t="n">
        <v>700000</v>
      </c>
      <c r="O21" s="22" t="n">
        <v>7250000</v>
      </c>
      <c r="P21" s="20" t="inlineStr">
        <is>
          <t>Poisson-légumes, attiéké-garniture</t>
        </is>
      </c>
      <c r="Q21" s="21" t="n"/>
      <c r="R21" s="20" t="inlineStr"/>
      <c r="S21" s="22" t="n">
        <v>0</v>
      </c>
      <c r="T21" s="20" t="inlineStr">
        <is>
          <t>Fermeture temporaire (travaux)</t>
        </is>
      </c>
      <c r="U21" s="20" t="inlineStr">
        <is>
          <t>Activité du client</t>
        </is>
      </c>
      <c r="V21" s="20" t="inlineStr">
        <is>
          <t>Décroché</t>
        </is>
      </c>
      <c r="W21" s="23" t="inlineStr">
        <is>
          <t>P2</t>
        </is>
      </c>
      <c r="X21" s="20" t="inlineStr">
        <is>
          <t>Appel du commercial</t>
        </is>
      </c>
    </row>
    <row r="22">
      <c r="A22" s="16" t="inlineStr">
        <is>
          <t>CLI-010</t>
        </is>
      </c>
      <c r="B22" s="16" t="inlineStr">
        <is>
          <t>La Table de Treichville</t>
        </is>
      </c>
      <c r="C22" s="16" t="inlineStr">
        <is>
          <t>Restaurant</t>
        </is>
      </c>
      <c r="D22" s="16" t="inlineStr">
        <is>
          <t>Treichville</t>
        </is>
      </c>
      <c r="E22" s="16" t="inlineStr">
        <is>
          <t>M. N'Guessan, propriétaire</t>
        </is>
      </c>
      <c r="F22" s="16" t="inlineStr">
        <is>
          <t>Aïcha</t>
        </is>
      </c>
      <c r="G22" s="17" t="n">
        <v>46108</v>
      </c>
      <c r="H22" s="17" t="n">
        <v>46277</v>
      </c>
      <c r="I22" s="16">
        <f>Paramètres!$B$5-H22</f>
        <v/>
      </c>
      <c r="J22" s="16" t="n">
        <v>5</v>
      </c>
      <c r="K22" s="16">
        <f>ROUND(I22/J22,1)</f>
        <v/>
      </c>
      <c r="L22" s="16" t="n">
        <v>16</v>
      </c>
      <c r="M22" s="18" t="n">
        <v>115000</v>
      </c>
      <c r="N22" s="18" t="n">
        <v>690000</v>
      </c>
      <c r="O22" s="18" t="n">
        <v>3595000</v>
      </c>
      <c r="P22" s="16" t="inlineStr">
        <is>
          <t>Tomate, oignon, poisson-légumes</t>
        </is>
      </c>
      <c r="Q22" s="17" t="n"/>
      <c r="R22" s="16" t="inlineStr"/>
      <c r="S22" s="18" t="n">
        <v>0</v>
      </c>
      <c r="T22" s="16" t="inlineStr">
        <is>
          <t>Prix jugé trop haut</t>
        </is>
      </c>
      <c r="U22" s="16" t="inlineStr">
        <is>
          <t>Prix</t>
        </is>
      </c>
      <c r="V22" s="16" t="inlineStr">
        <is>
          <t>Décroché</t>
        </is>
      </c>
      <c r="W22" s="23" t="inlineStr">
        <is>
          <t>P2</t>
        </is>
      </c>
      <c r="X22" s="16" t="inlineStr">
        <is>
          <t>Appel du commercial</t>
        </is>
      </c>
    </row>
    <row r="23">
      <c r="A23" s="20" t="inlineStr">
        <is>
          <t>CLI-016</t>
        </is>
      </c>
      <c r="B23" s="20" t="inlineStr">
        <is>
          <t>Traiteur Les Délices d'Anoumabo</t>
        </is>
      </c>
      <c r="C23" s="20" t="inlineStr">
        <is>
          <t>Traiteur</t>
        </is>
      </c>
      <c r="D23" s="20" t="inlineStr">
        <is>
          <t>Marcory Anoumabo</t>
        </is>
      </c>
      <c r="E23" s="20" t="inlineStr">
        <is>
          <t>Mme Kouakou, gérante</t>
        </is>
      </c>
      <c r="F23" s="20" t="inlineStr">
        <is>
          <t>Mariam</t>
        </is>
      </c>
      <c r="G23" s="21" t="n">
        <v>46091</v>
      </c>
      <c r="H23" s="21" t="n">
        <v>46261</v>
      </c>
      <c r="I23" s="20">
        <f>Paramètres!$B$5-H23</f>
        <v/>
      </c>
      <c r="J23" s="20" t="n">
        <v>10</v>
      </c>
      <c r="K23" s="20">
        <f>ROUND(I23/J23,1)</f>
        <v/>
      </c>
      <c r="L23" s="20" t="n">
        <v>8</v>
      </c>
      <c r="M23" s="22" t="n">
        <v>210000</v>
      </c>
      <c r="N23" s="22" t="n">
        <v>630000</v>
      </c>
      <c r="O23" s="22" t="n">
        <v>3215000</v>
      </c>
      <c r="P23" s="20" t="inlineStr">
        <is>
          <t>Tomate, oignon, poivron, carotte</t>
        </is>
      </c>
      <c r="Q23" s="21" t="n"/>
      <c r="R23" s="20" t="inlineStr"/>
      <c r="S23" s="22" t="n">
        <v>0</v>
      </c>
      <c r="T23" s="20" t="inlineStr">
        <is>
          <t>Activité saisonnière (événements)</t>
        </is>
      </c>
      <c r="U23" s="20" t="inlineStr">
        <is>
          <t>Activité du client</t>
        </is>
      </c>
      <c r="V23" s="20" t="inlineStr">
        <is>
          <t>Décroché</t>
        </is>
      </c>
      <c r="W23" s="23" t="inlineStr">
        <is>
          <t>P2</t>
        </is>
      </c>
      <c r="X23" s="20" t="inlineStr">
        <is>
          <t>Appel du commercial</t>
        </is>
      </c>
    </row>
    <row r="24">
      <c r="A24" s="16" t="inlineStr">
        <is>
          <t>CLI-022</t>
        </is>
      </c>
      <c r="B24" s="16" t="inlineStr">
        <is>
          <t>Restaurant Le Vieux Port</t>
        </is>
      </c>
      <c r="C24" s="16" t="inlineStr">
        <is>
          <t>Restaurant</t>
        </is>
      </c>
      <c r="D24" s="16" t="inlineStr">
        <is>
          <t>Port-Bouët</t>
        </is>
      </c>
      <c r="E24" s="16" t="inlineStr">
        <is>
          <t>M. Tanoh, chef</t>
        </is>
      </c>
      <c r="F24" s="16" t="inlineStr">
        <is>
          <t>Aïcha</t>
        </is>
      </c>
      <c r="G24" s="17" t="n">
        <v>45974</v>
      </c>
      <c r="H24" s="17" t="n">
        <v>46221</v>
      </c>
      <c r="I24" s="16">
        <f>Paramètres!$B$5-H24</f>
        <v/>
      </c>
      <c r="J24" s="16" t="n">
        <v>5</v>
      </c>
      <c r="K24" s="16">
        <f>ROUND(I24/J24,1)</f>
        <v/>
      </c>
      <c r="L24" s="16" t="n">
        <v>14</v>
      </c>
      <c r="M24" s="18" t="n">
        <v>160000</v>
      </c>
      <c r="N24" s="18" t="n">
        <v>960000</v>
      </c>
      <c r="O24" s="18" t="n">
        <v>7860000</v>
      </c>
      <c r="P24" s="16" t="inlineStr">
        <is>
          <t>Poisson-légumes, tomate, citron</t>
        </is>
      </c>
      <c r="Q24" s="17" t="n"/>
      <c r="R24" s="16" t="inlineStr"/>
      <c r="S24" s="18" t="n">
        <v>0</v>
      </c>
      <c r="T24" s="16" t="inlineStr">
        <is>
          <t>Retour au marché ou autre fournisseur</t>
        </is>
      </c>
      <c r="U24" s="16" t="inlineStr">
        <is>
          <t>Concurrence / marché</t>
        </is>
      </c>
      <c r="V24" s="16" t="inlineStr">
        <is>
          <t>Perdu probable (&gt; 90 j)</t>
        </is>
      </c>
      <c r="W24" s="24" t="inlineStr">
        <is>
          <t>P3</t>
        </is>
      </c>
      <c r="X24" s="16" t="inlineStr">
        <is>
          <t>WhatsApp du commercial</t>
        </is>
      </c>
    </row>
    <row r="25">
      <c r="A25" s="20" t="inlineStr">
        <is>
          <t>CLI-029</t>
        </is>
      </c>
      <c r="B25" s="20" t="inlineStr">
        <is>
          <t>Traiteur Mariages &amp; Baptêmes Awa</t>
        </is>
      </c>
      <c r="C25" s="20" t="inlineStr">
        <is>
          <t>Traiteur</t>
        </is>
      </c>
      <c r="D25" s="20" t="inlineStr">
        <is>
          <t>Yopougon Maroc</t>
        </is>
      </c>
      <c r="E25" s="20" t="inlineStr">
        <is>
          <t>Mme Diabaté, gérante</t>
        </is>
      </c>
      <c r="F25" s="20" t="inlineStr">
        <is>
          <t>Serge</t>
        </is>
      </c>
      <c r="G25" s="21" t="n">
        <v>45950</v>
      </c>
      <c r="H25" s="21" t="n">
        <v>46267</v>
      </c>
      <c r="I25" s="20">
        <f>Paramètres!$B$5-H25</f>
        <v/>
      </c>
      <c r="J25" s="20" t="n">
        <v>21</v>
      </c>
      <c r="K25" s="20">
        <f>ROUND(I25/J25,1)</f>
        <v/>
      </c>
      <c r="L25" s="20" t="n">
        <v>4</v>
      </c>
      <c r="M25" s="22" t="n">
        <v>380000</v>
      </c>
      <c r="N25" s="22" t="n">
        <v>543000</v>
      </c>
      <c r="O25" s="22" t="n">
        <v>5335000</v>
      </c>
      <c r="P25" s="20" t="inlineStr">
        <is>
          <t>Tomate, oignon, poivron en gros</t>
        </is>
      </c>
      <c r="Q25" s="21" t="n"/>
      <c r="R25" s="20" t="inlineStr"/>
      <c r="S25" s="22" t="n">
        <v>0</v>
      </c>
      <c r="T25" s="20" t="inlineStr">
        <is>
          <t>Rythme normal (occasionnel)</t>
        </is>
      </c>
      <c r="U25" s="20" t="inlineStr">
        <is>
          <t>Activité du client</t>
        </is>
      </c>
      <c r="V25" s="20" t="inlineStr">
        <is>
          <t>Rythme lent / occasionnel</t>
        </is>
      </c>
      <c r="W25" s="24" t="inlineStr">
        <is>
          <t>P3</t>
        </is>
      </c>
      <c r="X25" s="20" t="inlineStr">
        <is>
          <t>WhatsApp du commercial</t>
        </is>
      </c>
    </row>
    <row r="26">
      <c r="A26" s="16" t="inlineStr">
        <is>
          <t>CLI-027</t>
        </is>
      </c>
      <c r="B26" s="16" t="inlineStr">
        <is>
          <t>Restaurant Saveurs du Nord</t>
        </is>
      </c>
      <c r="C26" s="16" t="inlineStr">
        <is>
          <t>Restaurant</t>
        </is>
      </c>
      <c r="D26" s="16" t="inlineStr">
        <is>
          <t>Adjamé Williamsville</t>
        </is>
      </c>
      <c r="E26" s="16" t="inlineStr">
        <is>
          <t>M. Cissé, gérant</t>
        </is>
      </c>
      <c r="F26" s="16" t="inlineStr">
        <is>
          <t>Mariam</t>
        </is>
      </c>
      <c r="G26" s="17" t="n">
        <v>45998</v>
      </c>
      <c r="H26" s="17" t="n">
        <v>46282</v>
      </c>
      <c r="I26" s="16">
        <f>Paramètres!$B$5-H26</f>
        <v/>
      </c>
      <c r="J26" s="16" t="n">
        <v>6</v>
      </c>
      <c r="K26" s="16">
        <f>ROUND(I26/J26,1)</f>
        <v/>
      </c>
      <c r="L26" s="16" t="n">
        <v>12</v>
      </c>
      <c r="M26" s="18" t="n">
        <v>76000</v>
      </c>
      <c r="N26" s="18" t="n">
        <v>380000</v>
      </c>
      <c r="O26" s="18" t="n">
        <v>3505000</v>
      </c>
      <c r="P26" s="16" t="inlineStr">
        <is>
          <t>Oignon, tomate, piment, gombo sec</t>
        </is>
      </c>
      <c r="Q26" s="17" t="n"/>
      <c r="R26" s="16" t="inlineStr"/>
      <c r="S26" s="18" t="n">
        <v>0</v>
      </c>
      <c r="T26" s="16" t="inlineStr">
        <is>
          <t>Retour au marché ou autre fournisseur</t>
        </is>
      </c>
      <c r="U26" s="16" t="inlineStr">
        <is>
          <t>Concurrence / marché</t>
        </is>
      </c>
      <c r="V26" s="16" t="inlineStr">
        <is>
          <t>Décroché</t>
        </is>
      </c>
      <c r="W26" s="24" t="inlineStr">
        <is>
          <t>P3</t>
        </is>
      </c>
      <c r="X26" s="16" t="inlineStr">
        <is>
          <t>WhatsApp du commercial</t>
        </is>
      </c>
    </row>
    <row r="27">
      <c r="A27" s="20" t="inlineStr">
        <is>
          <t>CLI-003</t>
        </is>
      </c>
      <c r="B27" s="20" t="inlineStr">
        <is>
          <t>Maquis Chez Tantie Rose</t>
        </is>
      </c>
      <c r="C27" s="20" t="inlineStr">
        <is>
          <t>Maquis</t>
        </is>
      </c>
      <c r="D27" s="20" t="inlineStr">
        <is>
          <t>Yopougon Selmer</t>
        </is>
      </c>
      <c r="E27" s="20" t="inlineStr">
        <is>
          <t>Mme Gnagne, propriétaire</t>
        </is>
      </c>
      <c r="F27" s="20" t="inlineStr">
        <is>
          <t>Mariam</t>
        </is>
      </c>
      <c r="G27" s="21" t="n">
        <v>45819</v>
      </c>
      <c r="H27" s="21" t="n">
        <v>46281</v>
      </c>
      <c r="I27" s="20">
        <f>Paramètres!$B$5-H27</f>
        <v/>
      </c>
      <c r="J27" s="20" t="n">
        <v>5</v>
      </c>
      <c r="K27" s="20">
        <f>ROUND(I27/J27,1)</f>
        <v/>
      </c>
      <c r="L27" s="20" t="n">
        <v>17</v>
      </c>
      <c r="M27" s="22" t="n">
        <v>62000</v>
      </c>
      <c r="N27" s="22" t="n">
        <v>372000</v>
      </c>
      <c r="O27" s="22" t="n">
        <v>4100000</v>
      </c>
      <c r="P27" s="20" t="inlineStr">
        <is>
          <t>Aubergine N'Drowa, gombo, piment</t>
        </is>
      </c>
      <c r="Q27" s="21" t="n"/>
      <c r="R27" s="20" t="inlineStr"/>
      <c r="S27" s="22" t="n">
        <v>0</v>
      </c>
      <c r="T27" s="20" t="inlineStr">
        <is>
          <t>Prix jugé trop haut</t>
        </is>
      </c>
      <c r="U27" s="20" t="inlineStr">
        <is>
          <t>Prix</t>
        </is>
      </c>
      <c r="V27" s="20" t="inlineStr">
        <is>
          <t>Décroché</t>
        </is>
      </c>
      <c r="W27" s="24" t="inlineStr">
        <is>
          <t>P3</t>
        </is>
      </c>
      <c r="X27" s="20" t="inlineStr">
        <is>
          <t>WhatsApp du commercial</t>
        </is>
      </c>
    </row>
    <row r="28">
      <c r="A28" s="16" t="inlineStr">
        <is>
          <t>CLI-017</t>
        </is>
      </c>
      <c r="B28" s="16" t="inlineStr">
        <is>
          <t>Maquis La Paillote</t>
        </is>
      </c>
      <c r="C28" s="16" t="inlineStr">
        <is>
          <t>Maquis</t>
        </is>
      </c>
      <c r="D28" s="16" t="inlineStr">
        <is>
          <t>Yopougon Niangon</t>
        </is>
      </c>
      <c r="E28" s="16" t="inlineStr">
        <is>
          <t>M. Gbané, propriétaire</t>
        </is>
      </c>
      <c r="F28" s="16" t="inlineStr">
        <is>
          <t>Mariam</t>
        </is>
      </c>
      <c r="G28" s="17" t="n">
        <v>45779</v>
      </c>
      <c r="H28" s="17" t="n">
        <v>46196</v>
      </c>
      <c r="I28" s="16">
        <f>Paramètres!$B$5-H28</f>
        <v/>
      </c>
      <c r="J28" s="16" t="n">
        <v>5</v>
      </c>
      <c r="K28" s="16">
        <f>ROUND(I28/J28,1)</f>
        <v/>
      </c>
      <c r="L28" s="16" t="n">
        <v>14</v>
      </c>
      <c r="M28" s="18" t="n">
        <v>47000</v>
      </c>
      <c r="N28" s="18" t="n">
        <v>282000</v>
      </c>
      <c r="O28" s="18" t="n">
        <v>3045000</v>
      </c>
      <c r="P28" s="16" t="inlineStr">
        <is>
          <t>Piment, gombo, aubergine</t>
        </is>
      </c>
      <c r="Q28" s="17" t="n"/>
      <c r="R28" s="16" t="inlineStr"/>
      <c r="S28" s="18" t="n">
        <v>32000</v>
      </c>
      <c r="T28" s="16" t="inlineStr">
        <is>
          <t>Fermeture ou changement de propriétaire</t>
        </is>
      </c>
      <c r="U28" s="16" t="inlineStr">
        <is>
          <t>Activité du client</t>
        </is>
      </c>
      <c r="V28" s="16" t="inlineStr">
        <is>
          <t>Perdu probable (&gt; 90 j)</t>
        </is>
      </c>
      <c r="W28" s="24" t="inlineStr">
        <is>
          <t>P3</t>
        </is>
      </c>
      <c r="X28" s="16" t="inlineStr">
        <is>
          <t>WhatsApp du commercial</t>
        </is>
      </c>
    </row>
    <row r="29">
      <c r="A29" s="20" t="inlineStr">
        <is>
          <t>CLI-008</t>
        </is>
      </c>
      <c r="B29" s="20" t="inlineStr">
        <is>
          <t>Maquis Le Baobab</t>
        </is>
      </c>
      <c r="C29" s="20" t="inlineStr">
        <is>
          <t>Maquis</t>
        </is>
      </c>
      <c r="D29" s="20" t="inlineStr">
        <is>
          <t>Koumassi</t>
        </is>
      </c>
      <c r="E29" s="20" t="inlineStr">
        <is>
          <t>M. Yao, gérant</t>
        </is>
      </c>
      <c r="F29" s="20" t="inlineStr">
        <is>
          <t>Mariam</t>
        </is>
      </c>
      <c r="G29" s="21" t="n">
        <v>45841</v>
      </c>
      <c r="H29" s="21" t="n">
        <v>46275</v>
      </c>
      <c r="I29" s="20">
        <f>Paramètres!$B$5-H29</f>
        <v/>
      </c>
      <c r="J29" s="20" t="n">
        <v>6</v>
      </c>
      <c r="K29" s="20">
        <f>ROUND(I29/J29,1)</f>
        <v/>
      </c>
      <c r="L29" s="20" t="n">
        <v>15</v>
      </c>
      <c r="M29" s="22" t="n">
        <v>54000</v>
      </c>
      <c r="N29" s="22" t="n">
        <v>270000</v>
      </c>
      <c r="O29" s="22" t="n">
        <v>2880000</v>
      </c>
      <c r="P29" s="20" t="inlineStr">
        <is>
          <t>Gombo, piment, aubergine</t>
        </is>
      </c>
      <c r="Q29" s="21" t="n"/>
      <c r="R29" s="20" t="inlineStr"/>
      <c r="S29" s="22" t="n">
        <v>0</v>
      </c>
      <c r="T29" s="20" t="inlineStr">
        <is>
          <t>Retour au marché ou autre fournisseur</t>
        </is>
      </c>
      <c r="U29" s="20" t="inlineStr">
        <is>
          <t>Concurrence / marché</t>
        </is>
      </c>
      <c r="V29" s="20" t="inlineStr">
        <is>
          <t>Décroché</t>
        </is>
      </c>
      <c r="W29" s="24" t="inlineStr">
        <is>
          <t>P3</t>
        </is>
      </c>
      <c r="X29" s="20" t="inlineStr">
        <is>
          <t>WhatsApp du commercial</t>
        </is>
      </c>
    </row>
    <row r="30">
      <c r="A30" s="16" t="inlineStr">
        <is>
          <t>CLI-021</t>
        </is>
      </c>
      <c r="B30" s="16" t="inlineStr">
        <is>
          <t>Maquis Le Carrefour</t>
        </is>
      </c>
      <c r="C30" s="16" t="inlineStr">
        <is>
          <t>Maquis</t>
        </is>
      </c>
      <c r="D30" s="16" t="inlineStr">
        <is>
          <t>Abobo Avocatier</t>
        </is>
      </c>
      <c r="E30" s="16" t="inlineStr">
        <is>
          <t>M. Bakayoko, gérant</t>
        </is>
      </c>
      <c r="F30" s="16" t="inlineStr">
        <is>
          <t>Mariam</t>
        </is>
      </c>
      <c r="G30" s="17" t="n">
        <v>46102</v>
      </c>
      <c r="H30" s="17" t="n">
        <v>46283</v>
      </c>
      <c r="I30" s="16">
        <f>Paramètres!$B$5-H30</f>
        <v/>
      </c>
      <c r="J30" s="16" t="n">
        <v>6</v>
      </c>
      <c r="K30" s="16">
        <f>ROUND(I30/J30,1)</f>
        <v/>
      </c>
      <c r="L30" s="16" t="n">
        <v>15</v>
      </c>
      <c r="M30" s="18" t="n">
        <v>51000</v>
      </c>
      <c r="N30" s="18" t="n">
        <v>255000</v>
      </c>
      <c r="O30" s="18" t="n">
        <v>1455000</v>
      </c>
      <c r="P30" s="16" t="inlineStr">
        <is>
          <t>Oignon, piment, tomate cassée</t>
        </is>
      </c>
      <c r="Q30" s="17" t="n"/>
      <c r="R30" s="16" t="inlineStr"/>
      <c r="S30" s="18" t="n">
        <v>0</v>
      </c>
      <c r="T30" s="16" t="inlineStr">
        <is>
          <t>Difficulté avec l'application</t>
        </is>
      </c>
      <c r="U30" s="16" t="inlineStr">
        <is>
          <t>Service (livraison, erreur)</t>
        </is>
      </c>
      <c r="V30" s="16" t="inlineStr">
        <is>
          <t>Décroché</t>
        </is>
      </c>
      <c r="W30" s="24" t="inlineStr">
        <is>
          <t>P3</t>
        </is>
      </c>
      <c r="X30" s="16" t="inlineStr">
        <is>
          <t>WhatsApp du commercial</t>
        </is>
      </c>
    </row>
    <row r="31">
      <c r="A31" s="20" t="inlineStr">
        <is>
          <t>CLI-020</t>
        </is>
      </c>
      <c r="B31" s="20" t="inlineStr">
        <is>
          <t>Pâtisserie-Salon Le Fromager</t>
        </is>
      </c>
      <c r="C31" s="20" t="inlineStr">
        <is>
          <t>Traiteur</t>
        </is>
      </c>
      <c r="D31" s="20" t="inlineStr">
        <is>
          <t>Plateau</t>
        </is>
      </c>
      <c r="E31" s="20" t="inlineStr">
        <is>
          <t>Mme Ehui, gérante</t>
        </is>
      </c>
      <c r="F31" s="20" t="inlineStr">
        <is>
          <t>Serge</t>
        </is>
      </c>
      <c r="G31" s="21" t="n">
        <v>46018</v>
      </c>
      <c r="H31" s="21" t="n">
        <v>46268</v>
      </c>
      <c r="I31" s="20">
        <f>Paramètres!$B$5-H31</f>
        <v/>
      </c>
      <c r="J31" s="20" t="n">
        <v>14</v>
      </c>
      <c r="K31" s="20">
        <f>ROUND(I31/J31,1)</f>
        <v/>
      </c>
      <c r="L31" s="20" t="n">
        <v>5</v>
      </c>
      <c r="M31" s="22" t="n">
        <v>95000</v>
      </c>
      <c r="N31" s="22" t="n">
        <v>204000</v>
      </c>
      <c r="O31" s="22" t="n">
        <v>1565000</v>
      </c>
      <c r="P31" s="20" t="inlineStr">
        <is>
          <t>Fruits de saison, citron, menthe</t>
        </is>
      </c>
      <c r="Q31" s="21" t="n"/>
      <c r="R31" s="20" t="inlineStr"/>
      <c r="S31" s="22" t="n">
        <v>0</v>
      </c>
      <c r="T31" s="20" t="inlineStr">
        <is>
          <t>Rythme normal (occasionnel)</t>
        </is>
      </c>
      <c r="U31" s="20" t="inlineStr">
        <is>
          <t>Activité du client</t>
        </is>
      </c>
      <c r="V31" s="20" t="inlineStr">
        <is>
          <t>Rythme lent / occasionnel</t>
        </is>
      </c>
      <c r="W31" s="24" t="inlineStr">
        <is>
          <t>P3</t>
        </is>
      </c>
      <c r="X31" s="20" t="inlineStr">
        <is>
          <t>WhatsApp du commercial</t>
        </is>
      </c>
    </row>
    <row r="32">
      <c r="A32" s="16" t="inlineStr">
        <is>
          <t>CLI-013</t>
        </is>
      </c>
      <c r="B32" s="16" t="inlineStr">
        <is>
          <t>Allocodrome Riviera (stand 12)</t>
        </is>
      </c>
      <c r="C32" s="16" t="inlineStr">
        <is>
          <t>Maquis</t>
        </is>
      </c>
      <c r="D32" s="16" t="inlineStr">
        <is>
          <t>Cocody Riviera 2</t>
        </is>
      </c>
      <c r="E32" s="16" t="inlineStr">
        <is>
          <t>M. Konan, gérant</t>
        </is>
      </c>
      <c r="F32" s="16" t="inlineStr">
        <is>
          <t>Mariam</t>
        </is>
      </c>
      <c r="G32" s="17" t="n">
        <v>45943</v>
      </c>
      <c r="H32" s="17" t="n">
        <v>46271</v>
      </c>
      <c r="I32" s="16">
        <f>Paramètres!$B$5-H32</f>
        <v/>
      </c>
      <c r="J32" s="16" t="n">
        <v>7</v>
      </c>
      <c r="K32" s="16">
        <f>ROUND(I32/J32,1)</f>
        <v/>
      </c>
      <c r="L32" s="16" t="n">
        <v>13</v>
      </c>
      <c r="M32" s="18" t="n">
        <v>38000</v>
      </c>
      <c r="N32" s="18" t="n">
        <v>163000</v>
      </c>
      <c r="O32" s="18" t="n">
        <v>1635000</v>
      </c>
      <c r="P32" s="16" t="inlineStr">
        <is>
          <t>Banane plantain, piment, oignon</t>
        </is>
      </c>
      <c r="Q32" s="17" t="n"/>
      <c r="R32" s="16" t="inlineStr"/>
      <c r="S32" s="18" t="n">
        <v>0</v>
      </c>
      <c r="T32" s="16" t="inlineStr">
        <is>
          <t>Retour au marché ou autre fournisseur</t>
        </is>
      </c>
      <c r="U32" s="16" t="inlineStr">
        <is>
          <t>Concurrence / marché</t>
        </is>
      </c>
      <c r="V32" s="16" t="inlineStr">
        <is>
          <t>Décroché</t>
        </is>
      </c>
      <c r="W32" s="24" t="inlineStr">
        <is>
          <t>P3</t>
        </is>
      </c>
      <c r="X32" s="16" t="inlineStr">
        <is>
          <t>WhatsApp du commercial</t>
        </is>
      </c>
    </row>
    <row r="33">
      <c r="A33" s="20" t="inlineStr">
        <is>
          <t>CLI-026</t>
        </is>
      </c>
      <c r="B33" s="20" t="inlineStr">
        <is>
          <t>Maquis Chez Ablo</t>
        </is>
      </c>
      <c r="C33" s="20" t="inlineStr">
        <is>
          <t>Maquis</t>
        </is>
      </c>
      <c r="D33" s="20" t="inlineStr">
        <is>
          <t>Koumassi Remblais</t>
        </is>
      </c>
      <c r="E33" s="20" t="inlineStr">
        <is>
          <t>M. Ablo, propriétaire</t>
        </is>
      </c>
      <c r="F33" s="20" t="inlineStr">
        <is>
          <t>Mariam</t>
        </is>
      </c>
      <c r="G33" s="21" t="n">
        <v>46062</v>
      </c>
      <c r="H33" s="21" t="n">
        <v>46266</v>
      </c>
      <c r="I33" s="20">
        <f>Paramètres!$B$5-H33</f>
        <v/>
      </c>
      <c r="J33" s="20" t="n">
        <v>8</v>
      </c>
      <c r="K33" s="20">
        <f>ROUND(I33/J33,1)</f>
        <v/>
      </c>
      <c r="L33" s="20" t="n">
        <v>9</v>
      </c>
      <c r="M33" s="22" t="n">
        <v>43000</v>
      </c>
      <c r="N33" s="22" t="n">
        <v>161000</v>
      </c>
      <c r="O33" s="22" t="n">
        <v>1075000</v>
      </c>
      <c r="P33" s="20" t="inlineStr">
        <is>
          <t>Aubergine, gombo, piment</t>
        </is>
      </c>
      <c r="Q33" s="21" t="n"/>
      <c r="R33" s="20" t="inlineStr"/>
      <c r="S33" s="22" t="n">
        <v>0</v>
      </c>
      <c r="T33" s="20" t="inlineStr">
        <is>
          <t>Prix jugé trop haut</t>
        </is>
      </c>
      <c r="U33" s="20" t="inlineStr">
        <is>
          <t>Prix</t>
        </is>
      </c>
      <c r="V33" s="20" t="inlineStr">
        <is>
          <t>Décroché</t>
        </is>
      </c>
      <c r="W33" s="24" t="inlineStr">
        <is>
          <t>P3</t>
        </is>
      </c>
      <c r="X33" s="20" t="inlineStr">
        <is>
          <t>WhatsApp du commercial</t>
        </is>
      </c>
    </row>
    <row r="34">
      <c r="A34" s="16" t="inlineStr">
        <is>
          <t>CLI-007</t>
        </is>
      </c>
      <c r="B34" s="16" t="inlineStr">
        <is>
          <t>Saveurs de Bingerville</t>
        </is>
      </c>
      <c r="C34" s="16" t="inlineStr">
        <is>
          <t>Traiteur</t>
        </is>
      </c>
      <c r="D34" s="16" t="inlineStr">
        <is>
          <t>Bingerville</t>
        </is>
      </c>
      <c r="E34" s="16" t="inlineStr">
        <is>
          <t>M. Kouadio, chef traiteur</t>
        </is>
      </c>
      <c r="F34" s="16" t="inlineStr">
        <is>
          <t>Mariam</t>
        </is>
      </c>
      <c r="G34" s="17" t="n">
        <v>45820</v>
      </c>
      <c r="H34" s="17" t="n">
        <v>46269</v>
      </c>
      <c r="I34" s="16">
        <f>Paramètres!$B$5-H34</f>
        <v/>
      </c>
      <c r="J34" s="16" t="n">
        <v>7</v>
      </c>
      <c r="K34" s="16">
        <f>ROUND(I34/J34,1)</f>
        <v/>
      </c>
      <c r="L34" s="16" t="n">
        <v>12</v>
      </c>
      <c r="M34" s="18" t="n">
        <v>320000</v>
      </c>
      <c r="N34" s="18" t="n">
        <v>1371000</v>
      </c>
      <c r="O34" s="18" t="n">
        <v>16105000</v>
      </c>
      <c r="P34" s="16" t="inlineStr">
        <is>
          <t>Tomate, oignon, ail, persil</t>
        </is>
      </c>
      <c r="Q34" s="17" t="n"/>
      <c r="R34" s="16" t="inlineStr"/>
      <c r="S34" s="18" t="n">
        <v>145000</v>
      </c>
      <c r="T34" s="16" t="inlineStr">
        <is>
          <t>Difficulté de paiement</t>
        </is>
      </c>
      <c r="U34" s="16" t="inlineStr">
        <is>
          <t>Paiement</t>
        </is>
      </c>
      <c r="V34" s="16" t="inlineStr">
        <is>
          <t>Impayé en cours</t>
        </is>
      </c>
      <c r="W34" s="25" t="inlineStr">
        <is>
          <t>À part</t>
        </is>
      </c>
      <c r="X34" s="16" t="inlineStr">
        <is>
          <t>Recouvrement d'abord, puis appel</t>
        </is>
      </c>
    </row>
    <row r="35">
      <c r="A35" s="20" t="inlineStr">
        <is>
          <t>CLI-030</t>
        </is>
      </c>
      <c r="B35" s="20" t="inlineStr">
        <is>
          <t>Maquis Le Plaisir</t>
        </is>
      </c>
      <c r="C35" s="20" t="inlineStr">
        <is>
          <t>Maquis</t>
        </is>
      </c>
      <c r="D35" s="20" t="inlineStr">
        <is>
          <t>Treichville</t>
        </is>
      </c>
      <c r="E35" s="20" t="inlineStr">
        <is>
          <t>M. Zadi, gérant</t>
        </is>
      </c>
      <c r="F35" s="20" t="inlineStr">
        <is>
          <t>Mariam</t>
        </is>
      </c>
      <c r="G35" s="21" t="n">
        <v>45739</v>
      </c>
      <c r="H35" s="21" t="n">
        <v>46253</v>
      </c>
      <c r="I35" s="20">
        <f>Paramètres!$B$5-H35</f>
        <v/>
      </c>
      <c r="J35" s="20" t="n">
        <v>5</v>
      </c>
      <c r="K35" s="20">
        <f>ROUND(I35/J35,1)</f>
        <v/>
      </c>
      <c r="L35" s="20" t="n">
        <v>17</v>
      </c>
      <c r="M35" s="22" t="n">
        <v>58000</v>
      </c>
      <c r="N35" s="22" t="n">
        <v>348000</v>
      </c>
      <c r="O35" s="22" t="n">
        <v>4070000</v>
      </c>
      <c r="P35" s="20" t="inlineStr">
        <is>
          <t>Piment, gombo, oignon</t>
        </is>
      </c>
      <c r="Q35" s="21" t="n"/>
      <c r="R35" s="20" t="inlineStr"/>
      <c r="S35" s="22" t="n">
        <v>18000</v>
      </c>
      <c r="T35" s="20" t="inlineStr">
        <is>
          <t>Difficulté de paiement</t>
        </is>
      </c>
      <c r="U35" s="20" t="inlineStr">
        <is>
          <t>Paiement</t>
        </is>
      </c>
      <c r="V35" s="20" t="inlineStr">
        <is>
          <t>Impayé en cours</t>
        </is>
      </c>
      <c r="W35" s="25" t="inlineStr">
        <is>
          <t>À part</t>
        </is>
      </c>
      <c r="X35" s="20" t="inlineStr">
        <is>
          <t>Recouvrement d'abord, puis appel</t>
        </is>
      </c>
    </row>
    <row r="37">
      <c r="B37" s="26" t="inlineStr">
        <is>
          <t>Total (30 clients)</t>
        </is>
      </c>
      <c r="N37" s="27">
        <f>SUM(N6:N35)</f>
        <v/>
      </c>
      <c r="O37" s="27">
        <f>SUM(O6:O35)</f>
        <v/>
      </c>
      <c r="S37" s="27">
        <f>SUM(S6:S35)</f>
        <v/>
      </c>
    </row>
  </sheetData>
  <autoFilter ref="A5:X35"/>
  <pageMargins left="0.75" right="0.75" top="1" bottom="1" header="0.5" footer="0.5"/>
</worksheet>
</file>

<file path=xl/worksheets/sheet4.xml><?xml version="1.0" encoding="utf-8"?>
<worksheet xmlns="http://schemas.openxmlformats.org/spreadsheetml/2006/main">
  <sheetPr>
    <tabColor rgb="00255C40"/>
    <outlinePr summaryBelow="1" summaryRight="1"/>
    <pageSetUpPr/>
  </sheetPr>
  <dimension ref="A1:R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9" customWidth="1" min="1" max="1"/>
    <col width="28" customWidth="1" min="2" max="2"/>
    <col width="11" customWidth="1" min="3" max="3"/>
    <col width="8" customWidth="1" min="4" max="4"/>
    <col width="18" customWidth="1" min="5" max="5"/>
    <col width="22" customWidth="1" min="6" max="6"/>
    <col width="11" customWidth="1" min="7" max="7"/>
    <col width="11" customWidth="1" min="8" max="8"/>
    <col width="11" customWidth="1" min="9" max="9"/>
    <col width="11" customWidth="1" min="10" max="10"/>
    <col width="70" customWidth="1" min="11" max="11"/>
    <col width="12" customWidth="1" min="12" max="12"/>
    <col width="14" customWidth="1" min="13" max="13"/>
    <col width="34" customWidth="1" min="14" max="14"/>
    <col width="22" customWidth="1" min="15" max="15"/>
    <col width="22" customWidth="1" min="16" max="16"/>
    <col width="12" customWidth="1" min="17" max="17"/>
    <col width="14" customWidth="1" min="18" max="18"/>
  </cols>
  <sheetData>
    <row r="1" ht="34" customHeight="1">
      <c r="A1" s="1" t="inlineStr">
        <is>
          <t>djoli</t>
        </is>
      </c>
      <c r="B1" s="2" t="inlineStr">
        <is>
          <t>Plan de relance : un client, une ligne</t>
        </is>
      </c>
      <c r="C1" s="3" t="n"/>
      <c r="D1" s="3" t="n"/>
      <c r="E1" s="3" t="n"/>
      <c r="F1" s="3" t="n"/>
      <c r="G1" s="3" t="n"/>
      <c r="H1" s="3" t="n"/>
      <c r="I1" s="3" t="n"/>
      <c r="J1" s="3" t="n"/>
      <c r="K1" s="3" t="n"/>
      <c r="L1" s="3" t="n"/>
      <c r="M1" s="3" t="n"/>
      <c r="N1" s="3" t="n"/>
      <c r="O1" s="3" t="n"/>
      <c r="P1" s="3" t="n"/>
      <c r="Q1" s="3" t="n"/>
      <c r="R1" s="3" t="n"/>
    </row>
    <row r="2">
      <c r="A2" s="4" t="inlineStr">
        <is>
          <t>FICTIF : données inventées pour illustrer la méthode. Aucun nom, chiffre ou date ne vient de Djoli.</t>
        </is>
      </c>
      <c r="B2" s="5" t="n"/>
      <c r="C2" s="5" t="n"/>
      <c r="D2" s="5" t="n"/>
      <c r="E2" s="5" t="n"/>
      <c r="F2" s="5" t="n"/>
      <c r="G2" s="5" t="n"/>
      <c r="H2" s="5" t="n"/>
      <c r="I2" s="5" t="n"/>
      <c r="J2" s="5" t="n"/>
      <c r="K2" s="5" t="n"/>
      <c r="L2" s="5" t="n"/>
      <c r="M2" s="5" t="n"/>
      <c r="N2" s="5" t="n"/>
      <c r="O2" s="5" t="n"/>
      <c r="P2" s="5" t="n"/>
      <c r="Q2" s="5" t="n"/>
      <c r="R2" s="5" t="n"/>
    </row>
    <row r="3">
      <c r="A3" s="14" t="inlineStr">
        <is>
          <t>Les dates se calculent depuis la date de départ (Paramètres). Rien ne part tant que la colonne « Validé par » est vide.</t>
        </is>
      </c>
    </row>
    <row r="5" ht="32" customHeight="1">
      <c r="A5" s="15" t="inlineStr">
        <is>
          <t>ID</t>
        </is>
      </c>
      <c r="B5" s="15" t="inlineStr">
        <is>
          <t>Établissement</t>
        </is>
      </c>
      <c r="C5" s="15" t="inlineStr">
        <is>
          <t>Commercial</t>
        </is>
      </c>
      <c r="D5" s="15" t="inlineStr">
        <is>
          <t>Priorité</t>
        </is>
      </c>
      <c r="E5" s="15" t="inlineStr">
        <is>
          <t>Groupe</t>
        </is>
      </c>
      <c r="F5" s="15" t="inlineStr">
        <is>
          <t>Canal</t>
        </is>
      </c>
      <c r="G5" s="15" t="inlineStr">
        <is>
          <t>Jour 0</t>
        </is>
      </c>
      <c r="H5" s="15" t="inlineStr">
        <is>
          <t>Jour 3 (appel)</t>
        </is>
      </c>
      <c r="I5" s="15" t="inlineStr">
        <is>
          <t>Jour 7</t>
        </is>
      </c>
      <c r="J5" s="15" t="inlineStr">
        <is>
          <t>Jour 14</t>
        </is>
      </c>
      <c r="K5" s="15" t="inlineStr">
        <is>
          <t>Message du jour 0 (brouillon, à valider)</t>
        </is>
      </c>
      <c r="L5" s="15" t="inlineStr">
        <is>
          <t>Validé par</t>
        </is>
      </c>
      <c r="M5" s="15" t="inlineStr">
        <is>
          <t>Statut</t>
        </is>
      </c>
      <c r="N5" s="15" t="inlineStr">
        <is>
          <t>Réponse du client (ses mots)</t>
        </is>
      </c>
      <c r="O5" s="15" t="inlineStr">
        <is>
          <t>Raison réelle</t>
        </is>
      </c>
      <c r="P5" s="15" t="inlineStr">
        <is>
          <t>Offre proposée (si validée)</t>
        </is>
      </c>
      <c r="Q5" s="15" t="inlineStr">
        <is>
          <t>Recommande le</t>
        </is>
      </c>
      <c r="R5" s="15" t="inlineStr">
        <is>
          <t>Montant 1re commande retour</t>
        </is>
      </c>
    </row>
    <row r="6" ht="78" customHeight="1">
      <c r="A6" s="16" t="inlineStr">
        <is>
          <t>CLI-011</t>
        </is>
      </c>
      <c r="B6" s="16" t="inlineStr">
        <is>
          <t>Hôtel Ivoire Palm (cuisine)</t>
        </is>
      </c>
      <c r="C6" s="16" t="inlineStr">
        <is>
          <t>Aïcha</t>
        </is>
      </c>
      <c r="D6" s="16" t="inlineStr">
        <is>
          <t>P1</t>
        </is>
      </c>
      <c r="E6" s="16" t="inlineStr">
        <is>
          <t>Décroché</t>
        </is>
      </c>
      <c r="F6" s="16" t="inlineStr">
        <is>
          <t>Visite ou appel du responsable commercial</t>
        </is>
      </c>
      <c r="G6" s="17">
        <f>Paramètres!$B$12+0</f>
        <v/>
      </c>
      <c r="H6" s="17">
        <f>G6+3</f>
        <v/>
      </c>
      <c r="I6" s="17">
        <f>G6+7</f>
        <v/>
      </c>
      <c r="J6" s="17">
        <f>G6+14</f>
        <v/>
      </c>
      <c r="K6" s="16" t="inlineStr">
        <is>
          <t>Bonjour M. Kra, c'est Aïcha de Djoli. Ça fait 4 semaines qu'on ne vous a pas livré au Hôtel Ivoire Palm (cuisine), je voulais simplement prendre de vos nouvelles. Est-ce que quelque chose ne vous a pas convenu de notre côté ? Même deux mots m'aident vraiment.</t>
        </is>
      </c>
      <c r="L6" s="16" t="inlineStr"/>
      <c r="M6" s="16" t="inlineStr">
        <is>
          <t>À valider</t>
        </is>
      </c>
      <c r="N6" s="16" t="inlineStr"/>
      <c r="O6" s="16" t="inlineStr"/>
      <c r="P6" s="16" t="inlineStr"/>
      <c r="Q6" s="17" t="inlineStr"/>
      <c r="R6" s="18" t="inlineStr"/>
    </row>
    <row r="7" ht="78" customHeight="1">
      <c r="A7" s="20" t="inlineStr">
        <is>
          <t>CLI-001</t>
        </is>
      </c>
      <c r="B7" s="20" t="inlineStr">
        <is>
          <t>Hôtel Lagune Bleue (restaurant)</t>
        </is>
      </c>
      <c r="C7" s="20" t="inlineStr">
        <is>
          <t>Aïcha</t>
        </is>
      </c>
      <c r="D7" s="20" t="inlineStr">
        <is>
          <t>P1</t>
        </is>
      </c>
      <c r="E7" s="20" t="inlineStr">
        <is>
          <t>Incident non soldé</t>
        </is>
      </c>
      <c r="F7" s="20" t="inlineStr">
        <is>
          <t>Visite ou appel du responsable commercial</t>
        </is>
      </c>
      <c r="G7" s="21">
        <f>Paramètres!$B$12+0</f>
        <v/>
      </c>
      <c r="H7" s="21">
        <f>G7+3</f>
        <v/>
      </c>
      <c r="I7" s="21">
        <f>G7+7</f>
        <v/>
      </c>
      <c r="J7" s="21">
        <f>G7+14</f>
        <v/>
      </c>
      <c r="K7" s="20" t="inlineStr">
        <is>
          <t>Bonjour Mme Bamba, c'est Aïcha de Djoli. Je reviens vers vous au sujet de la livraison du 07/09 (tomates abîmées à la livraison). Je voulais savoir si cela a été réglé correctement pour vous, et sinon le reprendre avec vous. Est-ce que je peux vous appeler cinq minutes cette semaine ?</t>
        </is>
      </c>
      <c r="L7" s="20" t="inlineStr"/>
      <c r="M7" s="20" t="inlineStr">
        <is>
          <t>À valider</t>
        </is>
      </c>
      <c r="N7" s="20" t="inlineStr"/>
      <c r="O7" s="20" t="inlineStr"/>
      <c r="P7" s="20" t="inlineStr"/>
      <c r="Q7" s="21" t="inlineStr"/>
      <c r="R7" s="22" t="inlineStr"/>
    </row>
    <row r="8" ht="78" customHeight="1">
      <c r="A8" s="16" t="inlineStr">
        <is>
          <t>CLI-006</t>
        </is>
      </c>
      <c r="B8" s="16" t="inlineStr">
        <is>
          <t>Le Grill du Plateau</t>
        </is>
      </c>
      <c r="C8" s="16" t="inlineStr">
        <is>
          <t>Aïcha</t>
        </is>
      </c>
      <c r="D8" s="16" t="inlineStr">
        <is>
          <t>P1</t>
        </is>
      </c>
      <c r="E8" s="16" t="inlineStr">
        <is>
          <t>Décroché</t>
        </is>
      </c>
      <c r="F8" s="16" t="inlineStr">
        <is>
          <t>Visite ou appel du responsable commercial</t>
        </is>
      </c>
      <c r="G8" s="17">
        <f>Paramètres!$B$12+0</f>
        <v/>
      </c>
      <c r="H8" s="17">
        <f>G8+3</f>
        <v/>
      </c>
      <c r="I8" s="17">
        <f>G8+7</f>
        <v/>
      </c>
      <c r="J8" s="17">
        <f>G8+14</f>
        <v/>
      </c>
      <c r="K8" s="16" t="inlineStr">
        <is>
          <t>Bonjour M. Diallo, c'est Aïcha de Djoli. Ça fait 4 semaines qu'on ne vous a pas livré au Le Grill du Plateau, je voulais simplement prendre de vos nouvelles. Est-ce que quelque chose ne vous a pas convenu de notre côté ? Même deux mots m'aident vraiment.</t>
        </is>
      </c>
      <c r="L8" s="16" t="inlineStr"/>
      <c r="M8" s="16" t="inlineStr">
        <is>
          <t>À valider</t>
        </is>
      </c>
      <c r="N8" s="16" t="inlineStr"/>
      <c r="O8" s="16" t="inlineStr"/>
      <c r="P8" s="16" t="inlineStr"/>
      <c r="Q8" s="17" t="inlineStr"/>
      <c r="R8" s="18" t="inlineStr"/>
    </row>
    <row r="9" ht="78" customHeight="1">
      <c r="A9" s="20" t="inlineStr">
        <is>
          <t>CLI-004</t>
        </is>
      </c>
      <c r="B9" s="20" t="inlineStr">
        <is>
          <t>Résidence Les Flamboyants</t>
        </is>
      </c>
      <c r="C9" s="20" t="inlineStr">
        <is>
          <t>Aïcha</t>
        </is>
      </c>
      <c r="D9" s="20" t="inlineStr">
        <is>
          <t>P1</t>
        </is>
      </c>
      <c r="E9" s="20" t="inlineStr">
        <is>
          <t>Incident non soldé</t>
        </is>
      </c>
      <c r="F9" s="20" t="inlineStr">
        <is>
          <t>Visite ou appel du responsable commercial</t>
        </is>
      </c>
      <c r="G9" s="21">
        <f>Paramètres!$B$12+0</f>
        <v/>
      </c>
      <c r="H9" s="21">
        <f>G9+3</f>
        <v/>
      </c>
      <c r="I9" s="21">
        <f>G9+7</f>
        <v/>
      </c>
      <c r="J9" s="21">
        <f>G9+14</f>
        <v/>
      </c>
      <c r="K9" s="20" t="inlineStr">
        <is>
          <t>Bonjour M. Ouattara, c'est Aïcha de Djoli. Je reviens vers vous au sujet de la livraison du 21/08 (livraison arrivée après le service). Je voulais savoir si cela a été réglé correctement pour vous, et sinon le reprendre avec vous. Est-ce que je peux vous appeler cinq minutes cette semaine ?</t>
        </is>
      </c>
      <c r="L9" s="20" t="inlineStr"/>
      <c r="M9" s="20" t="inlineStr">
        <is>
          <t>À valider</t>
        </is>
      </c>
      <c r="N9" s="20" t="inlineStr"/>
      <c r="O9" s="20" t="inlineStr"/>
      <c r="P9" s="20" t="inlineStr"/>
      <c r="Q9" s="21" t="inlineStr"/>
      <c r="R9" s="22" t="inlineStr"/>
    </row>
    <row r="10" ht="78" customHeight="1">
      <c r="A10" s="16" t="inlineStr">
        <is>
          <t>CLI-002</t>
        </is>
      </c>
      <c r="B10" s="16" t="inlineStr">
        <is>
          <t>Le Patio d'Angré</t>
        </is>
      </c>
      <c r="C10" s="16" t="inlineStr">
        <is>
          <t>Serge</t>
        </is>
      </c>
      <c r="D10" s="16" t="inlineStr">
        <is>
          <t>P1</t>
        </is>
      </c>
      <c r="E10" s="16" t="inlineStr">
        <is>
          <t>Décroché</t>
        </is>
      </c>
      <c r="F10" s="16" t="inlineStr">
        <is>
          <t>Visite ou appel du responsable commercial</t>
        </is>
      </c>
      <c r="G10" s="17">
        <f>Paramètres!$B$12+0</f>
        <v/>
      </c>
      <c r="H10" s="17">
        <f>G10+3</f>
        <v/>
      </c>
      <c r="I10" s="17">
        <f>G10+7</f>
        <v/>
      </c>
      <c r="J10" s="17">
        <f>G10+14</f>
        <v/>
      </c>
      <c r="K10" s="16" t="inlineStr">
        <is>
          <t>Bonjour M. Koffi, c'est Serge de Djoli. Ça fait 6 semaines qu'on ne vous a pas livré au Le Patio d'Angré, je voulais simplement prendre de vos nouvelles. Est-ce que quelque chose ne vous a pas convenu de notre côté ? Même deux mots m'aident vraiment.</t>
        </is>
      </c>
      <c r="L10" s="16" t="inlineStr"/>
      <c r="M10" s="16" t="inlineStr">
        <is>
          <t>À valider</t>
        </is>
      </c>
      <c r="N10" s="16" t="inlineStr"/>
      <c r="O10" s="16" t="inlineStr"/>
      <c r="P10" s="16" t="inlineStr"/>
      <c r="Q10" s="17" t="inlineStr"/>
      <c r="R10" s="18" t="inlineStr"/>
    </row>
    <row r="11" ht="78" customHeight="1">
      <c r="A11" s="20" t="inlineStr">
        <is>
          <t>CLI-009</t>
        </is>
      </c>
      <c r="B11" s="20" t="inlineStr">
        <is>
          <t>Fast Food Mixte 225</t>
        </is>
      </c>
      <c r="C11" s="20" t="inlineStr">
        <is>
          <t>Serge</t>
        </is>
      </c>
      <c r="D11" s="20" t="inlineStr">
        <is>
          <t>P1</t>
        </is>
      </c>
      <c r="E11" s="20" t="inlineStr">
        <is>
          <t>Incident non soldé</t>
        </is>
      </c>
      <c r="F11" s="20" t="inlineStr">
        <is>
          <t>Visite ou appel du responsable commercial</t>
        </is>
      </c>
      <c r="G11" s="21">
        <f>Paramètres!$B$12+0</f>
        <v/>
      </c>
      <c r="H11" s="21">
        <f>G11+3</f>
        <v/>
      </c>
      <c r="I11" s="21">
        <f>G11+7</f>
        <v/>
      </c>
      <c r="J11" s="21">
        <f>G11+14</f>
        <v/>
      </c>
      <c r="K11" s="20" t="inlineStr">
        <is>
          <t>Bonjour Mme Coulibaly, c'est Serge de Djoli. Je reviens vers vous au sujet de la livraison du 03/09 (salade fanée, refusée). Je voulais savoir si cela a été réglé correctement pour vous, et sinon le reprendre avec vous. Est-ce que je peux vous appeler cinq minutes cette semaine ?</t>
        </is>
      </c>
      <c r="L11" s="20" t="inlineStr"/>
      <c r="M11" s="20" t="inlineStr">
        <is>
          <t>À valider</t>
        </is>
      </c>
      <c r="N11" s="20" t="inlineStr"/>
      <c r="O11" s="20" t="inlineStr"/>
      <c r="P11" s="20" t="inlineStr"/>
      <c r="Q11" s="21" t="inlineStr"/>
      <c r="R11" s="22" t="inlineStr"/>
    </row>
    <row r="12" ht="78" customHeight="1">
      <c r="A12" s="16" t="inlineStr">
        <is>
          <t>CLI-018</t>
        </is>
      </c>
      <c r="B12" s="16" t="inlineStr">
        <is>
          <t>Restaurant Chez Fanta</t>
        </is>
      </c>
      <c r="C12" s="16" t="inlineStr">
        <is>
          <t>Serge</t>
        </is>
      </c>
      <c r="D12" s="16" t="inlineStr">
        <is>
          <t>P1</t>
        </is>
      </c>
      <c r="E12" s="16" t="inlineStr">
        <is>
          <t>Incident non soldé</t>
        </is>
      </c>
      <c r="F12" s="16" t="inlineStr">
        <is>
          <t>Visite ou appel du responsable commercial</t>
        </is>
      </c>
      <c r="G12" s="17">
        <f>Paramètres!$B$12+0</f>
        <v/>
      </c>
      <c r="H12" s="17">
        <f>G12+3</f>
        <v/>
      </c>
      <c r="I12" s="17">
        <f>G12+7</f>
        <v/>
      </c>
      <c r="J12" s="17">
        <f>G12+14</f>
        <v/>
      </c>
      <c r="K12" s="16" t="inlineStr">
        <is>
          <t>Bonjour Mme Fofana, c'est Serge de Djoli. Je reviens vers vous au sujet de la livraison du 10/09 (erreur dans la commande (produit manquant)). Je voulais savoir si cela a été réglé correctement pour vous, et sinon le reprendre avec vous. Est-ce que je peux vous appeler cinq minutes cette semaine ?</t>
        </is>
      </c>
      <c r="L12" s="16" t="inlineStr"/>
      <c r="M12" s="16" t="inlineStr">
        <is>
          <t>À valider</t>
        </is>
      </c>
      <c r="N12" s="16" t="inlineStr"/>
      <c r="O12" s="16" t="inlineStr"/>
      <c r="P12" s="16" t="inlineStr"/>
      <c r="Q12" s="17" t="inlineStr"/>
      <c r="R12" s="18" t="inlineStr"/>
    </row>
    <row r="13" ht="78" customHeight="1">
      <c r="A13" s="20" t="inlineStr">
        <is>
          <t>CLI-023</t>
        </is>
      </c>
      <c r="B13" s="20" t="inlineStr">
        <is>
          <t>Cafétéria Clinique Les Lauriers</t>
        </is>
      </c>
      <c r="C13" s="20" t="inlineStr">
        <is>
          <t>Serge</t>
        </is>
      </c>
      <c r="D13" s="20" t="inlineStr">
        <is>
          <t>P1</t>
        </is>
      </c>
      <c r="E13" s="20" t="inlineStr">
        <is>
          <t>Incident non soldé</t>
        </is>
      </c>
      <c r="F13" s="20" t="inlineStr">
        <is>
          <t>Visite ou appel du responsable commercial</t>
        </is>
      </c>
      <c r="G13" s="21">
        <f>Paramètres!$B$12+0</f>
        <v/>
      </c>
      <c r="H13" s="21">
        <f>G13+3</f>
        <v/>
      </c>
      <c r="I13" s="21">
        <f>G13+7</f>
        <v/>
      </c>
      <c r="J13" s="21">
        <f>G13+14</f>
        <v/>
      </c>
      <c r="K13" s="20" t="inlineStr">
        <is>
          <t>Bonjour Mme Yapi, c'est Serge de Djoli. Je reviens vers vous au sujet de la livraison du 28/08 (livraison incomplète). Je voulais savoir si cela a été réglé correctement pour vous, et sinon le reprendre avec vous. Est-ce que je peux vous appeler cinq minutes cette semaine ?</t>
        </is>
      </c>
      <c r="L13" s="20" t="inlineStr"/>
      <c r="M13" s="20" t="inlineStr">
        <is>
          <t>À valider</t>
        </is>
      </c>
      <c r="N13" s="20" t="inlineStr"/>
      <c r="O13" s="20" t="inlineStr"/>
      <c r="P13" s="20" t="inlineStr"/>
      <c r="Q13" s="21" t="inlineStr"/>
      <c r="R13" s="22" t="inlineStr"/>
    </row>
    <row r="14" ht="78" customHeight="1">
      <c r="A14" s="16" t="inlineStr">
        <is>
          <t>CLI-015</t>
        </is>
      </c>
      <c r="B14" s="16" t="inlineStr">
        <is>
          <t>Le Comptoir Gourmand</t>
        </is>
      </c>
      <c r="C14" s="16" t="inlineStr">
        <is>
          <t>Aïcha</t>
        </is>
      </c>
      <c r="D14" s="16" t="inlineStr">
        <is>
          <t>P2</t>
        </is>
      </c>
      <c r="E14" s="16" t="inlineStr">
        <is>
          <t>Décroché</t>
        </is>
      </c>
      <c r="F14" s="16" t="inlineStr">
        <is>
          <t>Appel du commercial</t>
        </is>
      </c>
      <c r="G14" s="17">
        <f>Paramètres!$B$12+1</f>
        <v/>
      </c>
      <c r="H14" s="17">
        <f>G14+3</f>
        <v/>
      </c>
      <c r="I14" s="17">
        <f>G14+7</f>
        <v/>
      </c>
      <c r="J14" s="17">
        <f>G14+14</f>
        <v/>
      </c>
      <c r="K14" s="16" t="inlineStr">
        <is>
          <t>Bonjour Mme Dosso, c'est Aïcha de Djoli. Ça fait 4 semaines qu'on ne vous a pas livré au Le Comptoir Gourmand, je voulais simplement prendre de vos nouvelles. Est-ce que quelque chose ne vous a pas convenu de notre côté ? Même deux mots m'aident vraiment.</t>
        </is>
      </c>
      <c r="L14" s="16" t="inlineStr"/>
      <c r="M14" s="16" t="inlineStr">
        <is>
          <t>À valider</t>
        </is>
      </c>
      <c r="N14" s="16" t="inlineStr"/>
      <c r="O14" s="16" t="inlineStr"/>
      <c r="P14" s="16" t="inlineStr"/>
      <c r="Q14" s="17" t="inlineStr"/>
      <c r="R14" s="18" t="inlineStr"/>
    </row>
    <row r="15" ht="78" customHeight="1">
      <c r="A15" s="20" t="inlineStr">
        <is>
          <t>CLI-028</t>
        </is>
      </c>
      <c r="B15" s="20" t="inlineStr">
        <is>
          <t>Le Jardin de Cocody</t>
        </is>
      </c>
      <c r="C15" s="20" t="inlineStr">
        <is>
          <t>Aïcha</t>
        </is>
      </c>
      <c r="D15" s="20" t="inlineStr">
        <is>
          <t>P2</t>
        </is>
      </c>
      <c r="E15" s="20" t="inlineStr">
        <is>
          <t>Décroché</t>
        </is>
      </c>
      <c r="F15" s="20" t="inlineStr">
        <is>
          <t>Appel du commercial</t>
        </is>
      </c>
      <c r="G15" s="21">
        <f>Paramètres!$B$12+1</f>
        <v/>
      </c>
      <c r="H15" s="21">
        <f>G15+3</f>
        <v/>
      </c>
      <c r="I15" s="21">
        <f>G15+7</f>
        <v/>
      </c>
      <c r="J15" s="21">
        <f>G15+14</f>
        <v/>
      </c>
      <c r="K15" s="20" t="inlineStr">
        <is>
          <t>Bonjour Mme Brou, c'est Aïcha de Djoli. Ça fait 5 semaines qu'on ne vous a pas livré au Le Jardin de Cocody, je voulais simplement prendre de vos nouvelles. Est-ce que quelque chose ne vous a pas convenu de notre côté ? Même deux mots m'aident vraiment.</t>
        </is>
      </c>
      <c r="L15" s="20" t="inlineStr"/>
      <c r="M15" s="20" t="inlineStr">
        <is>
          <t>À valider</t>
        </is>
      </c>
      <c r="N15" s="20" t="inlineStr"/>
      <c r="O15" s="20" t="inlineStr"/>
      <c r="P15" s="20" t="inlineStr"/>
      <c r="Q15" s="21" t="inlineStr"/>
      <c r="R15" s="22" t="inlineStr"/>
    </row>
    <row r="16" ht="78" customHeight="1">
      <c r="A16" s="16" t="inlineStr">
        <is>
          <t>CLI-014</t>
        </is>
      </c>
      <c r="B16" s="16" t="inlineStr">
        <is>
          <t>Cantine Entreprise Zone Industrielle</t>
        </is>
      </c>
      <c r="C16" s="16" t="inlineStr">
        <is>
          <t>Serge</t>
        </is>
      </c>
      <c r="D16" s="16" t="inlineStr">
        <is>
          <t>P2</t>
        </is>
      </c>
      <c r="E16" s="16" t="inlineStr">
        <is>
          <t>Décroché</t>
        </is>
      </c>
      <c r="F16" s="16" t="inlineStr">
        <is>
          <t>Appel du commercial</t>
        </is>
      </c>
      <c r="G16" s="17">
        <f>Paramètres!$B$12+1</f>
        <v/>
      </c>
      <c r="H16" s="17">
        <f>G16+3</f>
        <v/>
      </c>
      <c r="I16" s="17">
        <f>G16+7</f>
        <v/>
      </c>
      <c r="J16" s="17">
        <f>G16+14</f>
        <v/>
      </c>
      <c r="K16" s="16" t="inlineStr">
        <is>
          <t>Bonjour M. Sylla, c'est Serge de Djoli. Ça fait 5 semaines qu'on ne vous a pas livré au Cantine Entreprise Zone Industrielle, je voulais simplement prendre de vos nouvelles. Est-ce que quelque chose ne vous a pas convenu de notre côté ? Même deux mots m'aident vraiment.</t>
        </is>
      </c>
      <c r="L16" s="16" t="inlineStr"/>
      <c r="M16" s="16" t="inlineStr">
        <is>
          <t>À valider</t>
        </is>
      </c>
      <c r="N16" s="16" t="inlineStr"/>
      <c r="O16" s="16" t="inlineStr"/>
      <c r="P16" s="16" t="inlineStr"/>
      <c r="Q16" s="17" t="inlineStr"/>
      <c r="R16" s="18" t="inlineStr"/>
    </row>
    <row r="17" ht="78" customHeight="1">
      <c r="A17" s="20" t="inlineStr">
        <is>
          <t>CLI-019</t>
        </is>
      </c>
      <c r="B17" s="20" t="inlineStr">
        <is>
          <t>Le Bistrot du Golf</t>
        </is>
      </c>
      <c r="C17" s="20" t="inlineStr">
        <is>
          <t>Aïcha</t>
        </is>
      </c>
      <c r="D17" s="20" t="inlineStr">
        <is>
          <t>P2</t>
        </is>
      </c>
      <c r="E17" s="20" t="inlineStr">
        <is>
          <t>Décroché</t>
        </is>
      </c>
      <c r="F17" s="20" t="inlineStr">
        <is>
          <t>Appel du commercial</t>
        </is>
      </c>
      <c r="G17" s="21">
        <f>Paramètres!$B$12+1</f>
        <v/>
      </c>
      <c r="H17" s="21">
        <f>G17+3</f>
        <v/>
      </c>
      <c r="I17" s="21">
        <f>G17+7</f>
        <v/>
      </c>
      <c r="J17" s="21">
        <f>G17+14</f>
        <v/>
      </c>
      <c r="K17" s="20" t="inlineStr">
        <is>
          <t>Bonjour M. Assi, c'est Aïcha de Djoli. Ça fait 6 semaines qu'on ne vous a pas livré au Le Bistrot du Golf, je voulais simplement prendre de vos nouvelles. Est-ce que quelque chose ne vous a pas convenu de notre côté ? Même deux mots m'aident vraiment.</t>
        </is>
      </c>
      <c r="L17" s="20" t="inlineStr"/>
      <c r="M17" s="20" t="inlineStr">
        <is>
          <t>À valider</t>
        </is>
      </c>
      <c r="N17" s="20" t="inlineStr"/>
      <c r="O17" s="20" t="inlineStr"/>
      <c r="P17" s="20" t="inlineStr"/>
      <c r="Q17" s="21" t="inlineStr"/>
      <c r="R17" s="22" t="inlineStr"/>
    </row>
    <row r="18" ht="78" customHeight="1">
      <c r="A18" s="16" t="inlineStr">
        <is>
          <t>CLI-025</t>
        </is>
      </c>
      <c r="B18" s="16" t="inlineStr">
        <is>
          <t>Hôtel Résidence Akwaba (restaurant)</t>
        </is>
      </c>
      <c r="C18" s="16" t="inlineStr">
        <is>
          <t>Aïcha</t>
        </is>
      </c>
      <c r="D18" s="16" t="inlineStr">
        <is>
          <t>P2</t>
        </is>
      </c>
      <c r="E18" s="16" t="inlineStr">
        <is>
          <t>Décroché</t>
        </is>
      </c>
      <c r="F18" s="16" t="inlineStr">
        <is>
          <t>Appel du commercial</t>
        </is>
      </c>
      <c r="G18" s="17">
        <f>Paramètres!$B$12+1</f>
        <v/>
      </c>
      <c r="H18" s="17">
        <f>G18+3</f>
        <v/>
      </c>
      <c r="I18" s="17">
        <f>G18+7</f>
        <v/>
      </c>
      <c r="J18" s="17">
        <f>G18+14</f>
        <v/>
      </c>
      <c r="K18" s="16" t="inlineStr">
        <is>
          <t>Bonjour M. Ahoussou, c'est Aïcha de Djoli. Ça fait 8 semaines qu'on ne vous a pas livré au Hôtel Résidence Akwaba (restaurant), je voulais simplement prendre de vos nouvelles. Est-ce que quelque chose ne vous a pas convenu de notre côté ? Même deux mots m'aident vraiment.</t>
        </is>
      </c>
      <c r="L18" s="16" t="inlineStr"/>
      <c r="M18" s="16" t="inlineStr">
        <is>
          <t>À valider</t>
        </is>
      </c>
      <c r="N18" s="16" t="inlineStr"/>
      <c r="O18" s="16" t="inlineStr"/>
      <c r="P18" s="16" t="inlineStr"/>
      <c r="Q18" s="17" t="inlineStr"/>
      <c r="R18" s="18" t="inlineStr"/>
    </row>
    <row r="19" ht="78" customHeight="1">
      <c r="A19" s="20" t="inlineStr">
        <is>
          <t>CLI-005</t>
        </is>
      </c>
      <c r="B19" s="20" t="inlineStr">
        <is>
          <t>Cantine Groupe Scolaire Les Palmiers</t>
        </is>
      </c>
      <c r="C19" s="20" t="inlineStr">
        <is>
          <t>Serge</t>
        </is>
      </c>
      <c r="D19" s="20" t="inlineStr">
        <is>
          <t>P2</t>
        </is>
      </c>
      <c r="E19" s="20" t="inlineStr">
        <is>
          <t>Décroché</t>
        </is>
      </c>
      <c r="F19" s="20" t="inlineStr">
        <is>
          <t>Appel du commercial</t>
        </is>
      </c>
      <c r="G19" s="21">
        <f>Paramètres!$B$12+1</f>
        <v/>
      </c>
      <c r="H19" s="21">
        <f>G19+3</f>
        <v/>
      </c>
      <c r="I19" s="21">
        <f>G19+7</f>
        <v/>
      </c>
      <c r="J19" s="21">
        <f>G19+14</f>
        <v/>
      </c>
      <c r="K19" s="20" t="inlineStr">
        <is>
          <t>Bonjour Mme Touré, c'est Serge de Djoli. Ça fait 8 semaines qu'on ne vous a pas livré au Cantine Groupe Scolaire Les Palmiers, je voulais simplement prendre de vos nouvelles. Est-ce que quelque chose ne vous a pas convenu de notre côté ? Même deux mots m'aident vraiment.</t>
        </is>
      </c>
      <c r="L19" s="20" t="inlineStr"/>
      <c r="M19" s="20" t="inlineStr">
        <is>
          <t>À valider</t>
        </is>
      </c>
      <c r="N19" s="20" t="inlineStr"/>
      <c r="O19" s="20" t="inlineStr"/>
      <c r="P19" s="20" t="inlineStr"/>
      <c r="Q19" s="21" t="inlineStr"/>
      <c r="R19" s="22" t="inlineStr"/>
    </row>
    <row r="20" ht="78" customHeight="1">
      <c r="A20" s="16" t="inlineStr">
        <is>
          <t>CLI-024</t>
        </is>
      </c>
      <c r="B20" s="16" t="inlineStr">
        <is>
          <t>Burger &amp; Co Angré</t>
        </is>
      </c>
      <c r="C20" s="16" t="inlineStr">
        <is>
          <t>Serge</t>
        </is>
      </c>
      <c r="D20" s="16" t="inlineStr">
        <is>
          <t>P2</t>
        </is>
      </c>
      <c r="E20" s="16" t="inlineStr">
        <is>
          <t>Décroché</t>
        </is>
      </c>
      <c r="F20" s="16" t="inlineStr">
        <is>
          <t>Appel du commercial</t>
        </is>
      </c>
      <c r="G20" s="17">
        <f>Paramètres!$B$12+1</f>
        <v/>
      </c>
      <c r="H20" s="17">
        <f>G20+3</f>
        <v/>
      </c>
      <c r="I20" s="17">
        <f>G20+7</f>
        <v/>
      </c>
      <c r="J20" s="17">
        <f>G20+14</f>
        <v/>
      </c>
      <c r="K20" s="16" t="inlineStr">
        <is>
          <t>Bonjour M. Traoré, c'est Serge de Djoli. Ça fait 4 semaines qu'on ne vous a pas livré au Burger &amp; Co Angré, je voulais simplement prendre de vos nouvelles. Est-ce que quelque chose ne vous a pas convenu de notre côté ? Même deux mots m'aident vraiment.</t>
        </is>
      </c>
      <c r="L20" s="16" t="inlineStr"/>
      <c r="M20" s="16" t="inlineStr">
        <is>
          <t>À valider</t>
        </is>
      </c>
      <c r="N20" s="16" t="inlineStr"/>
      <c r="O20" s="16" t="inlineStr"/>
      <c r="P20" s="16" t="inlineStr"/>
      <c r="Q20" s="17" t="inlineStr"/>
      <c r="R20" s="18" t="inlineStr"/>
    </row>
    <row r="21" ht="78" customHeight="1">
      <c r="A21" s="20" t="inlineStr">
        <is>
          <t>CLI-012</t>
        </is>
      </c>
      <c r="B21" s="20" t="inlineStr">
        <is>
          <t>Restaurant Le Lagunaire</t>
        </is>
      </c>
      <c r="C21" s="20" t="inlineStr">
        <is>
          <t>Serge</t>
        </is>
      </c>
      <c r="D21" s="20" t="inlineStr">
        <is>
          <t>P2</t>
        </is>
      </c>
      <c r="E21" s="20" t="inlineStr">
        <is>
          <t>Décroché</t>
        </is>
      </c>
      <c r="F21" s="20" t="inlineStr">
        <is>
          <t>Appel du commercial</t>
        </is>
      </c>
      <c r="G21" s="21">
        <f>Paramètres!$B$12+1</f>
        <v/>
      </c>
      <c r="H21" s="21">
        <f>G21+3</f>
        <v/>
      </c>
      <c r="I21" s="21">
        <f>G21+7</f>
        <v/>
      </c>
      <c r="J21" s="21">
        <f>G21+14</f>
        <v/>
      </c>
      <c r="K21" s="20" t="inlineStr">
        <is>
          <t>Bonjour Mme Aka, c'est Serge de Djoli. Ça fait 10 semaines qu'on ne vous a pas livré au Restaurant Le Lagunaire, je voulais simplement prendre de vos nouvelles. Est-ce que quelque chose ne vous a pas convenu de notre côté ? Même deux mots m'aident vraiment.</t>
        </is>
      </c>
      <c r="L21" s="20" t="inlineStr"/>
      <c r="M21" s="20" t="inlineStr">
        <is>
          <t>À valider</t>
        </is>
      </c>
      <c r="N21" s="20" t="inlineStr"/>
      <c r="O21" s="20" t="inlineStr"/>
      <c r="P21" s="20" t="inlineStr"/>
      <c r="Q21" s="21" t="inlineStr"/>
      <c r="R21" s="22" t="inlineStr"/>
    </row>
    <row r="22" ht="78" customHeight="1">
      <c r="A22" s="16" t="inlineStr">
        <is>
          <t>CLI-010</t>
        </is>
      </c>
      <c r="B22" s="16" t="inlineStr">
        <is>
          <t>La Table de Treichville</t>
        </is>
      </c>
      <c r="C22" s="16" t="inlineStr">
        <is>
          <t>Aïcha</t>
        </is>
      </c>
      <c r="D22" s="16" t="inlineStr">
        <is>
          <t>P2</t>
        </is>
      </c>
      <c r="E22" s="16" t="inlineStr">
        <is>
          <t>Décroché</t>
        </is>
      </c>
      <c r="F22" s="16" t="inlineStr">
        <is>
          <t>Appel du commercial</t>
        </is>
      </c>
      <c r="G22" s="17">
        <f>Paramètres!$B$12+1</f>
        <v/>
      </c>
      <c r="H22" s="17">
        <f>G22+3</f>
        <v/>
      </c>
      <c r="I22" s="17">
        <f>G22+7</f>
        <v/>
      </c>
      <c r="J22" s="17">
        <f>G22+14</f>
        <v/>
      </c>
      <c r="K22" s="16" t="inlineStr">
        <is>
          <t>Bonjour M. N'Guessan, c'est Aïcha de Djoli. Ça fait 5 semaines qu'on ne vous a pas livré au La Table de Treichville, je voulais simplement prendre de vos nouvelles. Est-ce que quelque chose ne vous a pas convenu de notre côté ? Même deux mots m'aident vraiment.</t>
        </is>
      </c>
      <c r="L22" s="16" t="inlineStr"/>
      <c r="M22" s="16" t="inlineStr">
        <is>
          <t>À valider</t>
        </is>
      </c>
      <c r="N22" s="16" t="inlineStr"/>
      <c r="O22" s="16" t="inlineStr"/>
      <c r="P22" s="16" t="inlineStr"/>
      <c r="Q22" s="17" t="inlineStr"/>
      <c r="R22" s="18" t="inlineStr"/>
    </row>
    <row r="23" ht="78" customHeight="1">
      <c r="A23" s="20" t="inlineStr">
        <is>
          <t>CLI-016</t>
        </is>
      </c>
      <c r="B23" s="20" t="inlineStr">
        <is>
          <t>Traiteur Les Délices d'Anoumabo</t>
        </is>
      </c>
      <c r="C23" s="20" t="inlineStr">
        <is>
          <t>Mariam</t>
        </is>
      </c>
      <c r="D23" s="20" t="inlineStr">
        <is>
          <t>P2</t>
        </is>
      </c>
      <c r="E23" s="20" t="inlineStr">
        <is>
          <t>Décroché</t>
        </is>
      </c>
      <c r="F23" s="20" t="inlineStr">
        <is>
          <t>Appel du commercial</t>
        </is>
      </c>
      <c r="G23" s="21">
        <f>Paramètres!$B$12+1</f>
        <v/>
      </c>
      <c r="H23" s="21">
        <f>G23+3</f>
        <v/>
      </c>
      <c r="I23" s="21">
        <f>G23+7</f>
        <v/>
      </c>
      <c r="J23" s="21">
        <f>G23+14</f>
        <v/>
      </c>
      <c r="K23" s="20" t="inlineStr">
        <is>
          <t>Bonjour Mme Kouakou, c'est Mariam de Djoli. Ça fait 7 semaines qu'on ne vous a pas livré au Traiteur Les Délices d'Anoumabo, je voulais simplement prendre de vos nouvelles. Est-ce que quelque chose ne vous a pas convenu de notre côté ? Même deux mots m'aident vraiment.</t>
        </is>
      </c>
      <c r="L23" s="20" t="inlineStr"/>
      <c r="M23" s="20" t="inlineStr">
        <is>
          <t>À valider</t>
        </is>
      </c>
      <c r="N23" s="20" t="inlineStr"/>
      <c r="O23" s="20" t="inlineStr"/>
      <c r="P23" s="20" t="inlineStr"/>
      <c r="Q23" s="21" t="inlineStr"/>
      <c r="R23" s="22" t="inlineStr"/>
    </row>
    <row r="24" ht="78" customHeight="1">
      <c r="A24" s="16" t="inlineStr">
        <is>
          <t>CLI-022</t>
        </is>
      </c>
      <c r="B24" s="16" t="inlineStr">
        <is>
          <t>Restaurant Le Vieux Port</t>
        </is>
      </c>
      <c r="C24" s="16" t="inlineStr">
        <is>
          <t>Aïcha</t>
        </is>
      </c>
      <c r="D24" s="16" t="inlineStr">
        <is>
          <t>P3</t>
        </is>
      </c>
      <c r="E24" s="16" t="inlineStr">
        <is>
          <t>Perdu probable (&gt; 90 j)</t>
        </is>
      </c>
      <c r="F24" s="16" t="inlineStr">
        <is>
          <t>WhatsApp du commercial</t>
        </is>
      </c>
      <c r="G24" s="17">
        <f>Paramètres!$B$12+4</f>
        <v/>
      </c>
      <c r="H24" s="17">
        <f>G24+3</f>
        <v/>
      </c>
      <c r="I24" s="17">
        <f>G24+7</f>
        <v/>
      </c>
      <c r="J24" s="17">
        <f>G24+14</f>
        <v/>
      </c>
      <c r="K24" s="16" t="inlineStr">
        <is>
          <t>Bonjour M. Tanoh, c'est Aïcha de Djoli. Ça fait un moment qu'on ne s'est pas parlé. Si le Restaurant Le Vieux Port a changé d'organisation ou de fournisseur, aucun souci : j'aimerais juste comprendre ce qui vous a fait partir, pour nous améliorer. Vous auriez deux minutes pour me répondre ?</t>
        </is>
      </c>
      <c r="L24" s="16" t="inlineStr"/>
      <c r="M24" s="16" t="inlineStr">
        <is>
          <t>À valider</t>
        </is>
      </c>
      <c r="N24" s="16" t="inlineStr"/>
      <c r="O24" s="16" t="inlineStr"/>
      <c r="P24" s="16" t="inlineStr"/>
      <c r="Q24" s="17" t="inlineStr"/>
      <c r="R24" s="18" t="inlineStr"/>
    </row>
    <row r="25" ht="78" customHeight="1">
      <c r="A25" s="20" t="inlineStr">
        <is>
          <t>CLI-029</t>
        </is>
      </c>
      <c r="B25" s="20" t="inlineStr">
        <is>
          <t>Traiteur Mariages &amp; Baptêmes Awa</t>
        </is>
      </c>
      <c r="C25" s="20" t="inlineStr">
        <is>
          <t>Serge</t>
        </is>
      </c>
      <c r="D25" s="20" t="inlineStr">
        <is>
          <t>P3</t>
        </is>
      </c>
      <c r="E25" s="20" t="inlineStr">
        <is>
          <t>Rythme lent / occasionnel</t>
        </is>
      </c>
      <c r="F25" s="20" t="inlineStr">
        <is>
          <t>WhatsApp du commercial</t>
        </is>
      </c>
      <c r="G25" s="21">
        <f>Paramètres!$B$12+4</f>
        <v/>
      </c>
      <c r="H25" s="21">
        <f>G25+3</f>
        <v/>
      </c>
      <c r="I25" s="21">
        <f>G25+7</f>
        <v/>
      </c>
      <c r="J25" s="21">
        <f>G25+14</f>
        <v/>
      </c>
      <c r="K25" s="20" t="inlineStr">
        <is>
          <t>Bonjour Mme Diabaté, c'est Serge de Djoli. J'espère que tout va bien au Traiteur Mariages &amp; Baptêmes Awa. Vous avez un événement ou un gros service en vue ces prochaines semaines ? Je peux vous préparer la liste habituelle à l'avance pour que vous n'ayez qu'à valider.</t>
        </is>
      </c>
      <c r="L25" s="20" t="inlineStr"/>
      <c r="M25" s="20" t="inlineStr">
        <is>
          <t>À valider</t>
        </is>
      </c>
      <c r="N25" s="20" t="inlineStr"/>
      <c r="O25" s="20" t="inlineStr"/>
      <c r="P25" s="20" t="inlineStr"/>
      <c r="Q25" s="21" t="inlineStr"/>
      <c r="R25" s="22" t="inlineStr"/>
    </row>
    <row r="26" ht="78" customHeight="1">
      <c r="A26" s="16" t="inlineStr">
        <is>
          <t>CLI-027</t>
        </is>
      </c>
      <c r="B26" s="16" t="inlineStr">
        <is>
          <t>Restaurant Saveurs du Nord</t>
        </is>
      </c>
      <c r="C26" s="16" t="inlineStr">
        <is>
          <t>Mariam</t>
        </is>
      </c>
      <c r="D26" s="16" t="inlineStr">
        <is>
          <t>P3</t>
        </is>
      </c>
      <c r="E26" s="16" t="inlineStr">
        <is>
          <t>Décroché</t>
        </is>
      </c>
      <c r="F26" s="16" t="inlineStr">
        <is>
          <t>WhatsApp du commercial</t>
        </is>
      </c>
      <c r="G26" s="17">
        <f>Paramètres!$B$12+4</f>
        <v/>
      </c>
      <c r="H26" s="17">
        <f>G26+3</f>
        <v/>
      </c>
      <c r="I26" s="17">
        <f>G26+7</f>
        <v/>
      </c>
      <c r="J26" s="17">
        <f>G26+14</f>
        <v/>
      </c>
      <c r="K26" s="16" t="inlineStr">
        <is>
          <t>Bonjour M. Cissé, c'est Mariam de Djoli. Ça fait 4 semaines qu'on ne vous a pas livré au Restaurant Saveurs du Nord, je voulais simplement prendre de vos nouvelles. Est-ce que quelque chose ne vous a pas convenu de notre côté ? Même deux mots m'aident vraiment.</t>
        </is>
      </c>
      <c r="L26" s="16" t="inlineStr"/>
      <c r="M26" s="16" t="inlineStr">
        <is>
          <t>À valider</t>
        </is>
      </c>
      <c r="N26" s="16" t="inlineStr"/>
      <c r="O26" s="16" t="inlineStr"/>
      <c r="P26" s="16" t="inlineStr"/>
      <c r="Q26" s="17" t="inlineStr"/>
      <c r="R26" s="18" t="inlineStr"/>
    </row>
    <row r="27" ht="78" customHeight="1">
      <c r="A27" s="20" t="inlineStr">
        <is>
          <t>CLI-003</t>
        </is>
      </c>
      <c r="B27" s="20" t="inlineStr">
        <is>
          <t>Maquis Chez Tantie Rose</t>
        </is>
      </c>
      <c r="C27" s="20" t="inlineStr">
        <is>
          <t>Mariam</t>
        </is>
      </c>
      <c r="D27" s="20" t="inlineStr">
        <is>
          <t>P3</t>
        </is>
      </c>
      <c r="E27" s="20" t="inlineStr">
        <is>
          <t>Décroché</t>
        </is>
      </c>
      <c r="F27" s="20" t="inlineStr">
        <is>
          <t>WhatsApp du commercial</t>
        </is>
      </c>
      <c r="G27" s="21">
        <f>Paramètres!$B$12+4</f>
        <v/>
      </c>
      <c r="H27" s="21">
        <f>G27+3</f>
        <v/>
      </c>
      <c r="I27" s="21">
        <f>G27+7</f>
        <v/>
      </c>
      <c r="J27" s="21">
        <f>G27+14</f>
        <v/>
      </c>
      <c r="K27" s="20" t="inlineStr">
        <is>
          <t>Bonjour Mme Gnagne, c'est Mariam de Djoli. Ça fait 5 semaines qu'on ne vous a pas livré au Maquis Chez Tantie Rose, je voulais simplement prendre de vos nouvelles. Est-ce que quelque chose ne vous a pas convenu de notre côté ? Même deux mots m'aident vraiment.</t>
        </is>
      </c>
      <c r="L27" s="20" t="inlineStr"/>
      <c r="M27" s="20" t="inlineStr">
        <is>
          <t>À valider</t>
        </is>
      </c>
      <c r="N27" s="20" t="inlineStr"/>
      <c r="O27" s="20" t="inlineStr"/>
      <c r="P27" s="20" t="inlineStr"/>
      <c r="Q27" s="21" t="inlineStr"/>
      <c r="R27" s="22" t="inlineStr"/>
    </row>
    <row r="28" ht="78" customHeight="1">
      <c r="A28" s="16" t="inlineStr">
        <is>
          <t>CLI-017</t>
        </is>
      </c>
      <c r="B28" s="16" t="inlineStr">
        <is>
          <t>Maquis La Paillote</t>
        </is>
      </c>
      <c r="C28" s="16" t="inlineStr">
        <is>
          <t>Mariam</t>
        </is>
      </c>
      <c r="D28" s="16" t="inlineStr">
        <is>
          <t>P3</t>
        </is>
      </c>
      <c r="E28" s="16" t="inlineStr">
        <is>
          <t>Perdu probable (&gt; 90 j)</t>
        </is>
      </c>
      <c r="F28" s="16" t="inlineStr">
        <is>
          <t>WhatsApp du commercial</t>
        </is>
      </c>
      <c r="G28" s="17">
        <f>Paramètres!$B$12+4</f>
        <v/>
      </c>
      <c r="H28" s="17">
        <f>G28+3</f>
        <v/>
      </c>
      <c r="I28" s="17">
        <f>G28+7</f>
        <v/>
      </c>
      <c r="J28" s="17">
        <f>G28+14</f>
        <v/>
      </c>
      <c r="K28" s="16" t="inlineStr">
        <is>
          <t>Bonjour M. Gbané, c'est Mariam de Djoli. Ça fait un moment qu'on ne s'est pas parlé. Si le Maquis La Paillote a changé d'organisation ou de fournisseur, aucun souci : j'aimerais juste comprendre ce qui vous a fait partir, pour nous améliorer. Vous auriez deux minutes pour me répondre ?</t>
        </is>
      </c>
      <c r="L28" s="16" t="inlineStr"/>
      <c r="M28" s="16" t="inlineStr">
        <is>
          <t>À valider</t>
        </is>
      </c>
      <c r="N28" s="16" t="inlineStr"/>
      <c r="O28" s="16" t="inlineStr"/>
      <c r="P28" s="16" t="inlineStr"/>
      <c r="Q28" s="17" t="inlineStr"/>
      <c r="R28" s="18" t="inlineStr"/>
    </row>
    <row r="29" ht="78" customHeight="1">
      <c r="A29" s="20" t="inlineStr">
        <is>
          <t>CLI-008</t>
        </is>
      </c>
      <c r="B29" s="20" t="inlineStr">
        <is>
          <t>Maquis Le Baobab</t>
        </is>
      </c>
      <c r="C29" s="20" t="inlineStr">
        <is>
          <t>Mariam</t>
        </is>
      </c>
      <c r="D29" s="20" t="inlineStr">
        <is>
          <t>P3</t>
        </is>
      </c>
      <c r="E29" s="20" t="inlineStr">
        <is>
          <t>Décroché</t>
        </is>
      </c>
      <c r="F29" s="20" t="inlineStr">
        <is>
          <t>WhatsApp du commercial</t>
        </is>
      </c>
      <c r="G29" s="21">
        <f>Paramètres!$B$12+4</f>
        <v/>
      </c>
      <c r="H29" s="21">
        <f>G29+3</f>
        <v/>
      </c>
      <c r="I29" s="21">
        <f>G29+7</f>
        <v/>
      </c>
      <c r="J29" s="21">
        <f>G29+14</f>
        <v/>
      </c>
      <c r="K29" s="20" t="inlineStr">
        <is>
          <t>Bonjour M. Yao, c'est Mariam de Djoli. Ça fait 5 semaines qu'on ne vous a pas livré au Maquis Le Baobab, je voulais simplement prendre de vos nouvelles. Est-ce que quelque chose ne vous a pas convenu de notre côté ? Même deux mots m'aident vraiment.</t>
        </is>
      </c>
      <c r="L29" s="20" t="inlineStr"/>
      <c r="M29" s="20" t="inlineStr">
        <is>
          <t>À valider</t>
        </is>
      </c>
      <c r="N29" s="20" t="inlineStr"/>
      <c r="O29" s="20" t="inlineStr"/>
      <c r="P29" s="20" t="inlineStr"/>
      <c r="Q29" s="21" t="inlineStr"/>
      <c r="R29" s="22" t="inlineStr"/>
    </row>
    <row r="30" ht="78" customHeight="1">
      <c r="A30" s="16" t="inlineStr">
        <is>
          <t>CLI-021</t>
        </is>
      </c>
      <c r="B30" s="16" t="inlineStr">
        <is>
          <t>Maquis Le Carrefour</t>
        </is>
      </c>
      <c r="C30" s="16" t="inlineStr">
        <is>
          <t>Mariam</t>
        </is>
      </c>
      <c r="D30" s="16" t="inlineStr">
        <is>
          <t>P3</t>
        </is>
      </c>
      <c r="E30" s="16" t="inlineStr">
        <is>
          <t>Décroché</t>
        </is>
      </c>
      <c r="F30" s="16" t="inlineStr">
        <is>
          <t>WhatsApp du commercial</t>
        </is>
      </c>
      <c r="G30" s="17">
        <f>Paramètres!$B$12+4</f>
        <v/>
      </c>
      <c r="H30" s="17">
        <f>G30+3</f>
        <v/>
      </c>
      <c r="I30" s="17">
        <f>G30+7</f>
        <v/>
      </c>
      <c r="J30" s="17">
        <f>G30+14</f>
        <v/>
      </c>
      <c r="K30" s="16" t="inlineStr">
        <is>
          <t>Bonjour M. Bakayoko, c'est Mariam de Djoli. Ça fait 4 semaines qu'on ne vous a pas livré au Maquis Le Carrefour, je voulais simplement prendre de vos nouvelles. Est-ce que quelque chose ne vous a pas convenu de notre côté ? Même deux mots m'aident vraiment.</t>
        </is>
      </c>
      <c r="L30" s="16" t="inlineStr"/>
      <c r="M30" s="16" t="inlineStr">
        <is>
          <t>À valider</t>
        </is>
      </c>
      <c r="N30" s="16" t="inlineStr"/>
      <c r="O30" s="16" t="inlineStr"/>
      <c r="P30" s="16" t="inlineStr"/>
      <c r="Q30" s="17" t="inlineStr"/>
      <c r="R30" s="18" t="inlineStr"/>
    </row>
    <row r="31" ht="78" customHeight="1">
      <c r="A31" s="20" t="inlineStr">
        <is>
          <t>CLI-020</t>
        </is>
      </c>
      <c r="B31" s="20" t="inlineStr">
        <is>
          <t>Pâtisserie-Salon Le Fromager</t>
        </is>
      </c>
      <c r="C31" s="20" t="inlineStr">
        <is>
          <t>Serge</t>
        </is>
      </c>
      <c r="D31" s="20" t="inlineStr">
        <is>
          <t>P3</t>
        </is>
      </c>
      <c r="E31" s="20" t="inlineStr">
        <is>
          <t>Rythme lent / occasionnel</t>
        </is>
      </c>
      <c r="F31" s="20" t="inlineStr">
        <is>
          <t>WhatsApp du commercial</t>
        </is>
      </c>
      <c r="G31" s="21">
        <f>Paramètres!$B$12+4</f>
        <v/>
      </c>
      <c r="H31" s="21">
        <f>G31+3</f>
        <v/>
      </c>
      <c r="I31" s="21">
        <f>G31+7</f>
        <v/>
      </c>
      <c r="J31" s="21">
        <f>G31+14</f>
        <v/>
      </c>
      <c r="K31" s="20" t="inlineStr">
        <is>
          <t>Bonjour Mme Ehui, c'est Serge de Djoli. J'espère que tout va bien au Pâtisserie-Salon Le Fromager. Vous avez un événement ou un gros service en vue ces prochaines semaines ? Je peux vous préparer la liste habituelle à l'avance pour que vous n'ayez qu'à valider.</t>
        </is>
      </c>
      <c r="L31" s="20" t="inlineStr"/>
      <c r="M31" s="20" t="inlineStr">
        <is>
          <t>À valider</t>
        </is>
      </c>
      <c r="N31" s="20" t="inlineStr"/>
      <c r="O31" s="20" t="inlineStr"/>
      <c r="P31" s="20" t="inlineStr"/>
      <c r="Q31" s="21" t="inlineStr"/>
      <c r="R31" s="22" t="inlineStr"/>
    </row>
    <row r="32" ht="78" customHeight="1">
      <c r="A32" s="16" t="inlineStr">
        <is>
          <t>CLI-013</t>
        </is>
      </c>
      <c r="B32" s="16" t="inlineStr">
        <is>
          <t>Allocodrome Riviera (stand 12)</t>
        </is>
      </c>
      <c r="C32" s="16" t="inlineStr">
        <is>
          <t>Mariam</t>
        </is>
      </c>
      <c r="D32" s="16" t="inlineStr">
        <is>
          <t>P3</t>
        </is>
      </c>
      <c r="E32" s="16" t="inlineStr">
        <is>
          <t>Décroché</t>
        </is>
      </c>
      <c r="F32" s="16" t="inlineStr">
        <is>
          <t>WhatsApp du commercial</t>
        </is>
      </c>
      <c r="G32" s="17">
        <f>Paramètres!$B$12+4</f>
        <v/>
      </c>
      <c r="H32" s="17">
        <f>G32+3</f>
        <v/>
      </c>
      <c r="I32" s="17">
        <f>G32+7</f>
        <v/>
      </c>
      <c r="J32" s="17">
        <f>G32+14</f>
        <v/>
      </c>
      <c r="K32" s="16" t="inlineStr">
        <is>
          <t>Bonjour M. Konan, c'est Mariam de Djoli. Ça fait 6 semaines qu'on ne vous a pas livré au Allocodrome Riviera (stand 12), je voulais simplement prendre de vos nouvelles. Est-ce que quelque chose ne vous a pas convenu de notre côté ? Même deux mots m'aident vraiment.</t>
        </is>
      </c>
      <c r="L32" s="16" t="inlineStr"/>
      <c r="M32" s="16" t="inlineStr">
        <is>
          <t>À valider</t>
        </is>
      </c>
      <c r="N32" s="16" t="inlineStr"/>
      <c r="O32" s="16" t="inlineStr"/>
      <c r="P32" s="16" t="inlineStr"/>
      <c r="Q32" s="17" t="inlineStr"/>
      <c r="R32" s="18" t="inlineStr"/>
    </row>
    <row r="33" ht="78" customHeight="1">
      <c r="A33" s="20" t="inlineStr">
        <is>
          <t>CLI-026</t>
        </is>
      </c>
      <c r="B33" s="20" t="inlineStr">
        <is>
          <t>Maquis Chez Ablo</t>
        </is>
      </c>
      <c r="C33" s="20" t="inlineStr">
        <is>
          <t>Mariam</t>
        </is>
      </c>
      <c r="D33" s="20" t="inlineStr">
        <is>
          <t>P3</t>
        </is>
      </c>
      <c r="E33" s="20" t="inlineStr">
        <is>
          <t>Décroché</t>
        </is>
      </c>
      <c r="F33" s="20" t="inlineStr">
        <is>
          <t>WhatsApp du commercial</t>
        </is>
      </c>
      <c r="G33" s="21">
        <f>Paramètres!$B$12+4</f>
        <v/>
      </c>
      <c r="H33" s="21">
        <f>G33+3</f>
        <v/>
      </c>
      <c r="I33" s="21">
        <f>G33+7</f>
        <v/>
      </c>
      <c r="J33" s="21">
        <f>G33+14</f>
        <v/>
      </c>
      <c r="K33" s="20" t="inlineStr">
        <is>
          <t>Bonjour M. Ablo, c'est Mariam de Djoli. Ça fait 7 semaines qu'on ne vous a pas livré au Maquis Chez Ablo, je voulais simplement prendre de vos nouvelles. Est-ce que quelque chose ne vous a pas convenu de notre côté ? Même deux mots m'aident vraiment.</t>
        </is>
      </c>
      <c r="L33" s="20" t="inlineStr"/>
      <c r="M33" s="20" t="inlineStr">
        <is>
          <t>À valider</t>
        </is>
      </c>
      <c r="N33" s="20" t="inlineStr"/>
      <c r="O33" s="20" t="inlineStr"/>
      <c r="P33" s="20" t="inlineStr"/>
      <c r="Q33" s="21" t="inlineStr"/>
      <c r="R33" s="22" t="inlineStr"/>
    </row>
    <row r="34" ht="78" customHeight="1">
      <c r="A34" s="16" t="inlineStr">
        <is>
          <t>CLI-007</t>
        </is>
      </c>
      <c r="B34" s="16" t="inlineStr">
        <is>
          <t>Saveurs de Bingerville</t>
        </is>
      </c>
      <c r="C34" s="16" t="inlineStr">
        <is>
          <t>Mariam</t>
        </is>
      </c>
      <c r="D34" s="16" t="inlineStr">
        <is>
          <t>À part</t>
        </is>
      </c>
      <c r="E34" s="16" t="inlineStr">
        <is>
          <t>Impayé en cours</t>
        </is>
      </c>
      <c r="F34" s="16" t="inlineStr">
        <is>
          <t>Recouvrement d'abord, puis appel</t>
        </is>
      </c>
      <c r="G34" s="17">
        <f>Paramètres!$B$12+7</f>
        <v/>
      </c>
      <c r="H34" s="17">
        <f>G34+3</f>
        <v/>
      </c>
      <c r="I34" s="17">
        <f>G34+7</f>
        <v/>
      </c>
      <c r="J34" s="17">
        <f>G34+14</f>
        <v/>
      </c>
      <c r="K34" s="16" t="inlineStr">
        <is>
          <t>⟦Pas de message commercial : encours de 145 000 FCFA à traiter d'abord par le recouvrement⟧</t>
        </is>
      </c>
      <c r="L34" s="16" t="inlineStr"/>
      <c r="M34" s="16" t="inlineStr">
        <is>
          <t>À valider</t>
        </is>
      </c>
      <c r="N34" s="16" t="inlineStr"/>
      <c r="O34" s="16" t="inlineStr"/>
      <c r="P34" s="16" t="inlineStr"/>
      <c r="Q34" s="17" t="inlineStr"/>
      <c r="R34" s="18" t="inlineStr"/>
    </row>
    <row r="35" ht="78" customHeight="1">
      <c r="A35" s="20" t="inlineStr">
        <is>
          <t>CLI-030</t>
        </is>
      </c>
      <c r="B35" s="20" t="inlineStr">
        <is>
          <t>Maquis Le Plaisir</t>
        </is>
      </c>
      <c r="C35" s="20" t="inlineStr">
        <is>
          <t>Mariam</t>
        </is>
      </c>
      <c r="D35" s="20" t="inlineStr">
        <is>
          <t>À part</t>
        </is>
      </c>
      <c r="E35" s="20" t="inlineStr">
        <is>
          <t>Impayé en cours</t>
        </is>
      </c>
      <c r="F35" s="20" t="inlineStr">
        <is>
          <t>Recouvrement d'abord, puis appel</t>
        </is>
      </c>
      <c r="G35" s="21">
        <f>Paramètres!$B$12+7</f>
        <v/>
      </c>
      <c r="H35" s="21">
        <f>G35+3</f>
        <v/>
      </c>
      <c r="I35" s="21">
        <f>G35+7</f>
        <v/>
      </c>
      <c r="J35" s="21">
        <f>G35+14</f>
        <v/>
      </c>
      <c r="K35" s="20" t="inlineStr">
        <is>
          <t>⟦Pas de message commercial : encours de 18 000 FCFA à traiter d'abord par le recouvrement⟧</t>
        </is>
      </c>
      <c r="L35" s="20" t="inlineStr"/>
      <c r="M35" s="20" t="inlineStr">
        <is>
          <t>À valider</t>
        </is>
      </c>
      <c r="N35" s="20" t="inlineStr"/>
      <c r="O35" s="20" t="inlineStr"/>
      <c r="P35" s="20" t="inlineStr"/>
      <c r="Q35" s="21" t="inlineStr"/>
      <c r="R35" s="22" t="inlineStr"/>
    </row>
  </sheetData>
  <conditionalFormatting sqref="M6:M35">
    <cfRule type="expression" priority="1" dxfId="0">
      <formula>M6="Recommande"</formula>
    </cfRule>
    <cfRule type="expression" priority="2" dxfId="1">
      <formula>M6="À valider"</formula>
    </cfRule>
  </conditionalFormatting>
  <dataValidations count="2">
    <dataValidation sqref="M6:M35" showDropDown="0" showInputMessage="0" showErrorMessage="0" allowBlank="1" type="list">
      <formula1>"À valider,Validé,Envoyé,Répondu,Rappel prévu,Recommande,Ne revient pas,Arrêt (STOP),Clos sans réponse"</formula1>
    </dataValidation>
    <dataValidation sqref="O6:O35" showDropDown="0" showInputMessage="0" showErrorMessage="0" allowBlank="1" type="list">
      <formula1>"Concurrence / marché,Prix,Qualité,Service (livraison, erreur),Paiement,Changement d'interlocuteur,Activité du client,Autre"</formula1>
    </dataValidation>
  </dataValidations>
  <pageMargins left="0.75" right="0.75" top="1" bottom="1" header="0.5" footer="0.5"/>
</worksheet>
</file>

<file path=xl/worksheets/sheet5.xml><?xml version="1.0" encoding="utf-8"?>
<worksheet xmlns="http://schemas.openxmlformats.org/spreadsheetml/2006/main">
  <sheetPr>
    <tabColor rgb="00255C40"/>
    <outlinePr summaryBelow="1" summaryRight="1"/>
    <pageSetUpPr/>
  </sheetPr>
  <dimension ref="A1:D2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26" customWidth="1" min="3" max="3"/>
    <col width="110" customWidth="1" min="4" max="4"/>
  </cols>
  <sheetData>
    <row r="1" ht="34" customHeight="1">
      <c r="A1" s="1" t="inlineStr">
        <is>
          <t>djoli</t>
        </is>
      </c>
      <c r="B1" s="2" t="inlineStr">
        <is>
          <t>Messages de la séquence (brouillons, rien ne part sans accord)</t>
        </is>
      </c>
      <c r="C1" s="3" t="n"/>
      <c r="D1" s="3" t="n"/>
    </row>
    <row r="2">
      <c r="A2" s="4" t="inlineStr">
        <is>
          <t>FICTIF : données inventées pour illustrer la méthode. Aucun nom, chiffre ou date ne vient de Djoli.</t>
        </is>
      </c>
      <c r="B2" s="5" t="n"/>
      <c r="C2" s="5" t="n"/>
      <c r="D2" s="5" t="n"/>
    </row>
    <row r="3">
      <c r="A3" s="14" t="inlineStr">
        <is>
          <t>Variables entre accolades ; ⟦…⟧ = à décider ou à confirmer par Djoli avant tout envoi.</t>
        </is>
      </c>
    </row>
    <row r="5" ht="32" customHeight="1">
      <c r="A5" s="15" t="inlineStr">
        <is>
          <t>Quand</t>
        </is>
      </c>
      <c r="B5" s="15" t="inlineStr">
        <is>
          <t>Canal</t>
        </is>
      </c>
      <c r="C5" s="15" t="inlineStr">
        <is>
          <t>Cas</t>
        </is>
      </c>
      <c r="D5" s="15" t="inlineStr">
        <is>
          <t>Message ou question</t>
        </is>
      </c>
    </row>
    <row r="6" ht="48" customHeight="1">
      <c r="A6" s="16" t="inlineStr">
        <is>
          <t>Jour 0</t>
        </is>
      </c>
      <c r="B6" s="16" t="inlineStr">
        <is>
          <t>WhatsApp du commercial</t>
        </is>
      </c>
      <c r="C6" s="16" t="inlineStr">
        <is>
          <t>Décroché</t>
        </is>
      </c>
      <c r="D6" s="16" t="inlineStr">
        <is>
          <t>Bonjour {civ}, c'est {com} de Djoli. Ça fait {sem} semaines qu'on ne vous a pas livré au {etab}, je voulais simplement prendre de vos nouvelles. Est-ce que quelque chose ne vous a pas convenu de notre côté ? Même deux mots m'aident vraiment.</t>
        </is>
      </c>
    </row>
    <row r="7" ht="48" customHeight="1">
      <c r="A7" s="20" t="inlineStr">
        <is>
          <t>Jour 0</t>
        </is>
      </c>
      <c r="B7" s="20" t="inlineStr">
        <is>
          <t>WhatsApp du commercial</t>
        </is>
      </c>
      <c r="C7" s="20" t="inlineStr">
        <is>
          <t>Incident non soldé</t>
        </is>
      </c>
      <c r="D7" s="20" t="inlineStr">
        <is>
          <t>Bonjour {civ}, c'est {com} de Djoli. Je reviens vers vous au sujet de la livraison du {date_inc} ({inc}). Je voulais savoir si cela a été réglé correctement pour vous, et sinon le reprendre avec vous. Est-ce que je peux vous appeler cinq minutes cette semaine ?</t>
        </is>
      </c>
    </row>
    <row r="8" ht="48" customHeight="1">
      <c r="A8" s="16" t="inlineStr">
        <is>
          <t>Jour 0</t>
        </is>
      </c>
      <c r="B8" s="16" t="inlineStr">
        <is>
          <t>WhatsApp du commercial</t>
        </is>
      </c>
      <c r="C8" s="16" t="inlineStr">
        <is>
          <t>Rythme lent / occasionnel</t>
        </is>
      </c>
      <c r="D8" s="16" t="inlineStr">
        <is>
          <t>Bonjour {civ}, c'est {com} de Djoli. J'espère que tout va bien au {etab}. Vous avez un événement ou un gros service en vue ces prochaines semaines ? Je peux vous préparer la liste habituelle à l'avance pour que vous n'ayez qu'à valider.</t>
        </is>
      </c>
    </row>
    <row r="9" ht="48" customHeight="1">
      <c r="A9" s="20" t="inlineStr">
        <is>
          <t>Jour 0</t>
        </is>
      </c>
      <c r="B9" s="20" t="inlineStr">
        <is>
          <t>WhatsApp du commercial</t>
        </is>
      </c>
      <c r="C9" s="20" t="inlineStr">
        <is>
          <t>Perdu probable</t>
        </is>
      </c>
      <c r="D9" s="20" t="inlineStr">
        <is>
          <t>Bonjour {civ}, c'est {com} de Djoli. Ça fait un moment qu'on ne s'est pas parlé. Si le {etab} a changé d'organisation ou de fournisseur, aucun souci : j'aimerais juste comprendre ce qui vous a fait partir, pour nous améliorer. Vous auriez deux minutes pour me répondre ?</t>
        </is>
      </c>
    </row>
    <row r="10" ht="48" customHeight="1">
      <c r="A10" s="16" t="inlineStr">
        <is>
          <t>Jour 3</t>
        </is>
      </c>
      <c r="B10" s="16" t="inlineStr">
        <is>
          <t>Appel (ou visite P1)</t>
        </is>
      </c>
      <c r="C10" s="16" t="inlineStr">
        <is>
          <t>Questions à poser</t>
        </is>
      </c>
      <c r="D10" s="16" t="inlineStr">
        <is>
          <t>Comment se passe l'activité en ce moment ? (fréquentation, saison, travaux)</t>
        </is>
      </c>
    </row>
    <row r="11" ht="48" customHeight="1">
      <c r="A11" s="20" t="inlineStr">
        <is>
          <t>Jour 3</t>
        </is>
      </c>
      <c r="B11" s="20" t="inlineStr">
        <is>
          <t>Appel (ou visite P1)</t>
        </is>
      </c>
      <c r="C11" s="20" t="inlineStr">
        <is>
          <t>Questions à poser</t>
        </is>
      </c>
      <c r="D11" s="20" t="inlineStr">
        <is>
          <t>Pour vos produits frais, vous passez par qui aujourd'hui ? (marché, autre plateforme, grossiste)</t>
        </is>
      </c>
    </row>
    <row r="12" ht="48" customHeight="1">
      <c r="A12" s="16" t="inlineStr">
        <is>
          <t>Jour 3</t>
        </is>
      </c>
      <c r="B12" s="16" t="inlineStr">
        <is>
          <t>Appel (ou visite P1)</t>
        </is>
      </c>
      <c r="C12" s="16" t="inlineStr">
        <is>
          <t>Questions à poser</t>
        </is>
      </c>
      <c r="D12" s="16" t="inlineStr">
        <is>
          <t>Qu'est-ce qui a fait que vous avez arrêté de commander chez nous ? (laisser parler, noter les mots exacts)</t>
        </is>
      </c>
    </row>
    <row r="13" ht="48" customHeight="1">
      <c r="A13" s="20" t="inlineStr">
        <is>
          <t>Jour 3</t>
        </is>
      </c>
      <c r="B13" s="20" t="inlineStr">
        <is>
          <t>Appel (ou visite P1)</t>
        </is>
      </c>
      <c r="C13" s="20" t="inlineStr">
        <is>
          <t>Questions à poser</t>
        </is>
      </c>
      <c r="D13" s="20" t="inlineStr">
        <is>
          <t>Qu'est-ce qu'il faudrait pour que vous repassiez une commande ?</t>
        </is>
      </c>
    </row>
    <row r="14" ht="48" customHeight="1">
      <c r="A14" s="16" t="inlineStr">
        <is>
          <t>Jour 3</t>
        </is>
      </c>
      <c r="B14" s="16" t="inlineStr">
        <is>
          <t>Appel (ou visite P1)</t>
        </is>
      </c>
      <c r="C14" s="16" t="inlineStr">
        <is>
          <t>Questions à poser</t>
        </is>
      </c>
      <c r="D14" s="16" t="inlineStr">
        <is>
          <t>Qui décide des achats en cuisine aujourd'hui ? (si nouvel acheteur : demander son contact)</t>
        </is>
      </c>
    </row>
    <row r="15" ht="48" customHeight="1">
      <c r="A15" s="20" t="inlineStr">
        <is>
          <t>Jour 7</t>
        </is>
      </c>
      <c r="B15" s="20" t="inlineStr">
        <is>
          <t>WhatsApp</t>
        </is>
      </c>
      <c r="C15" s="20" t="inlineStr">
        <is>
          <t>Raison : Prix</t>
        </is>
      </c>
      <c r="D15" s="20" t="inlineStr">
        <is>
          <t>{civ}, comme promis : votre panier habituel ({produits}) revient cette semaine à ⟦montant réel au prix du jour⟧ chez Djoli, livré et trié. Au marché, il faut compter le transport, le temps d'achat et la part jetée. Je vous fais une commande test sur ces produits pour comparer ?</t>
        </is>
      </c>
    </row>
    <row r="16" ht="48" customHeight="1">
      <c r="A16" s="16" t="inlineStr">
        <is>
          <t>Jour 7</t>
        </is>
      </c>
      <c r="B16" s="16" t="inlineStr">
        <is>
          <t>WhatsApp</t>
        </is>
      </c>
      <c r="C16" s="16" t="inlineStr">
        <is>
          <t>Raison : Concurrence / marché</t>
        </is>
      </c>
      <c r="D16" s="16" t="inlineStr">
        <is>
          <t>{civ}, je vous propose un essai simple : une commande test sur vos {produits}, livrée avant votre service, pour comparer avec ce que vous avez aujourd'hui. Vous me dites le jour qui vous arrange ?</t>
        </is>
      </c>
    </row>
    <row r="17" ht="48" customHeight="1">
      <c r="A17" s="20" t="inlineStr">
        <is>
          <t>Jour 7</t>
        </is>
      </c>
      <c r="B17" s="20" t="inlineStr">
        <is>
          <t>WhatsApp</t>
        </is>
      </c>
      <c r="C17" s="20" t="inlineStr">
        <is>
          <t>Raison : Qualité</t>
        </is>
      </c>
      <c r="D17" s="20" t="inlineStr">
        <is>
          <t>{civ}, suite à votre retour sur la qualité, voici ce qui a changé : ⟦mesure réelle prise par Djoli, à confirmer⟧. Je vous propose de juger sur une prochaine commande, et je suis là à la réception pour vérifier avec vous.</t>
        </is>
      </c>
    </row>
    <row r="18" ht="48" customHeight="1">
      <c r="A18" s="16" t="inlineStr">
        <is>
          <t>Jour 7</t>
        </is>
      </c>
      <c r="B18" s="16" t="inlineStr">
        <is>
          <t>WhatsApp</t>
        </is>
      </c>
      <c r="C18" s="16" t="inlineStr">
        <is>
          <t>Raison : Service (livraison, erreur)</t>
        </is>
      </c>
      <c r="D18" s="16" t="inlineStr">
        <is>
          <t>{civ}, sur le problème de livraison que vous avez eu : ⟦mesure réelle prise par Djoli, à confirmer⟧. Je peux vous réserver un créneau de livraison fixe ⟦créneau à confirmer par la logistique⟧ pour votre prochaine commande.</t>
        </is>
      </c>
    </row>
    <row r="19" ht="48" customHeight="1">
      <c r="A19" s="20" t="inlineStr">
        <is>
          <t>Jour 7</t>
        </is>
      </c>
      <c r="B19" s="20" t="inlineStr">
        <is>
          <t>WhatsApp</t>
        </is>
      </c>
      <c r="C19" s="20" t="inlineStr">
        <is>
          <t>Raison : Changement d'interlocuteur</t>
        </is>
      </c>
      <c r="D19" s="20" t="inlineStr">
        <is>
          <t>{civ}, merci de m'avoir mis en contact avec la personne qui gère les achats. Je lui présente Djoli en cinq minutes, au moment qui l'arrange, avec quelques produits à goûter ⟦échantillon : à décider⟧.</t>
        </is>
      </c>
    </row>
    <row r="20" ht="48" customHeight="1">
      <c r="A20" s="16" t="inlineStr">
        <is>
          <t>Jour 7</t>
        </is>
      </c>
      <c r="B20" s="16" t="inlineStr">
        <is>
          <t>WhatsApp</t>
        </is>
      </c>
      <c r="C20" s="16" t="inlineStr">
        <is>
          <t>Raison : Paiement</t>
        </is>
      </c>
      <c r="D20" s="16" t="inlineStr">
        <is>
          <t>(Pas de relance commerciale tant que l'encours n'est pas réglé : le dossier passe d'abord au recouvrement.)</t>
        </is>
      </c>
    </row>
    <row r="21" ht="48" customHeight="1">
      <c r="A21" s="20" t="inlineStr">
        <is>
          <t>Jour 7</t>
        </is>
      </c>
      <c r="B21" s="20" t="inlineStr">
        <is>
          <t>WhatsApp</t>
        </is>
      </c>
      <c r="C21" s="20" t="inlineStr">
        <is>
          <t>Raison : Activité du client</t>
        </is>
      </c>
      <c r="D21" s="20" t="inlineStr">
        <is>
          <t>{civ}, je note que l'activité reprend vers ⟦date donnée par le client⟧. Je vous recontacte une semaine avant pour préparer la première commande.</t>
        </is>
      </c>
    </row>
    <row r="22" ht="48" customHeight="1">
      <c r="A22" s="16" t="inlineStr">
        <is>
          <t>Jour 14</t>
        </is>
      </c>
      <c r="B22" s="16" t="inlineStr">
        <is>
          <t>WhatsApp ou appel</t>
        </is>
      </c>
      <c r="C22" s="16" t="inlineStr">
        <is>
          <t>Offre de retour validée</t>
        </is>
      </c>
      <c r="D22" s="16" t="inlineStr">
        <is>
          <t>{civ}, pour vous donner envie de revenir : ⟦offre de retour validée par la direction de Djoli⟧, valable jusqu'au ⟦date de fin⟧. Je vous prépare la commande ?</t>
        </is>
      </c>
    </row>
    <row r="23" ht="48" customHeight="1">
      <c r="A23" s="20" t="inlineStr">
        <is>
          <t>Jour 14</t>
        </is>
      </c>
      <c r="B23" s="20" t="inlineStr">
        <is>
          <t>WhatsApp</t>
        </is>
      </c>
      <c r="C23" s="20" t="inlineStr">
        <is>
          <t>Pas de réponse : clôture</t>
        </is>
      </c>
      <c r="D23" s="20" t="inlineStr">
        <is>
          <t>{civ}, je ne veux pas vous encombrer : je referme le sujet de mon côté. Si le moment change, un simple mot suffit et je reviens vers vous. Bonne continuation au {etab}.</t>
        </is>
      </c>
    </row>
    <row r="24" ht="48" customHeight="1">
      <c r="A24" s="16" t="inlineStr">
        <is>
          <t>Toujours</t>
        </is>
      </c>
      <c r="B24" s="16" t="inlineStr"/>
      <c r="C24" s="16" t="inlineStr">
        <is>
          <t>Arrêt immédiat</t>
        </is>
      </c>
      <c r="D24" s="16" t="inlineStr">
        <is>
          <t>Le client répond « non », « STOP » ou demande qu'on ne le contacte plus : on arrête et on note la raison. Un client parti chez un concurrent est rappelé dans 60 jours, pas avant.</t>
        </is>
      </c>
    </row>
  </sheetData>
  <pageMargins left="0.75" right="0.75" top="1" bottom="1" header="0.5" footer="0.5"/>
</worksheet>
</file>

<file path=xl/worksheets/sheet6.xml><?xml version="1.0" encoding="utf-8"?>
<worksheet xmlns="http://schemas.openxmlformats.org/spreadsheetml/2006/main">
  <sheetPr>
    <tabColor rgb="00255C40"/>
    <outlinePr summaryBelow="1" summaryRight="1"/>
    <pageSetUpPr/>
  </sheetPr>
  <dimension ref="A1:D28"/>
  <sheetViews>
    <sheetView workbookViewId="0">
      <selection activeCell="A1" sqref="A1"/>
    </sheetView>
  </sheetViews>
  <sheetFormatPr baseColWidth="8" defaultRowHeight="15"/>
  <cols>
    <col width="46" customWidth="1" min="1" max="1"/>
    <col width="20" customWidth="1" min="2" max="2"/>
    <col width="20" customWidth="1" min="3" max="3"/>
    <col width="50" customWidth="1" min="4" max="4"/>
  </cols>
  <sheetData>
    <row r="1" ht="34" customHeight="1">
      <c r="A1" s="1" t="inlineStr">
        <is>
          <t>djoli</t>
        </is>
      </c>
      <c r="B1" s="2" t="inlineStr">
        <is>
          <t>Suivi de la campagne</t>
        </is>
      </c>
      <c r="C1" s="3" t="n"/>
      <c r="D1" s="3" t="n"/>
    </row>
    <row r="2">
      <c r="A2" s="4" t="inlineStr">
        <is>
          <t>FICTIF : données inventées pour illustrer la méthode. Aucun nom, chiffre ou date ne vient de Djoli.</t>
        </is>
      </c>
      <c r="B2" s="5" t="n"/>
      <c r="C2" s="5" t="n"/>
      <c r="D2" s="5" t="n"/>
    </row>
    <row r="3">
      <c r="A3" s="14" t="inlineStr">
        <is>
          <t>Se remplit seul à partir du plan de relance.</t>
        </is>
      </c>
    </row>
    <row r="5">
      <c r="A5" s="28" t="inlineStr">
        <is>
          <t>Indicateur</t>
        </is>
      </c>
      <c r="B5" s="28" t="inlineStr">
        <is>
          <t>Valeur</t>
        </is>
      </c>
      <c r="C5" s="3" t="n"/>
      <c r="D5" s="28" t="inlineStr">
        <is>
          <t>Note</t>
        </is>
      </c>
    </row>
    <row r="6">
      <c r="A6" s="9" t="inlineStr">
        <is>
          <t>Clients dans la campagne</t>
        </is>
      </c>
      <c r="B6" s="29">
        <f>COUNTA('Plan de relance'!A6:A35)</f>
        <v/>
      </c>
      <c r="D6" s="11" t="inlineStr"/>
    </row>
    <row r="7">
      <c r="A7" s="9" t="inlineStr">
        <is>
          <t>Messages validés</t>
        </is>
      </c>
      <c r="B7" s="29">
        <f>COUNTA('Plan de relance'!L6:L35)</f>
        <v/>
      </c>
      <c r="D7" s="11" t="inlineStr">
        <is>
          <t>Colonne « Validé par » remplie</t>
        </is>
      </c>
    </row>
    <row r="8">
      <c r="A8" s="9" t="inlineStr">
        <is>
          <t>Clients qui ont répondu</t>
        </is>
      </c>
      <c r="B8" s="29">
        <f>COUNTIF('Plan de relance'!M6:M35,"Répondu")+COUNTIF('Plan de relance'!M6:M35,"Rappel prévu")+COUNTIF('Plan de relance'!M6:M35,"Recommande")+COUNTIF('Plan de relance'!M6:M35,"Ne revient pas")</f>
        <v/>
      </c>
      <c r="D8" s="11" t="inlineStr"/>
    </row>
    <row r="9">
      <c r="A9" s="9" t="inlineStr">
        <is>
          <t>Taux de réponse</t>
        </is>
      </c>
      <c r="B9" s="30">
        <f>IFERROR(B8/B6,0)</f>
        <v/>
      </c>
      <c r="D9" s="11" t="inlineStr"/>
    </row>
    <row r="10">
      <c r="A10" s="9" t="inlineStr">
        <is>
          <t>Clients qui ont recommandé</t>
        </is>
      </c>
      <c r="B10" s="29">
        <f>COUNTIF('Plan de relance'!M6:M35,"Recommande")</f>
        <v/>
      </c>
      <c r="D10" s="11" t="inlineStr"/>
    </row>
    <row r="11">
      <c r="A11" s="9" t="inlineStr">
        <is>
          <t>Taux de retour</t>
        </is>
      </c>
      <c r="B11" s="30">
        <f>IFERROR(B10/B6,0)</f>
        <v/>
      </c>
      <c r="D11" s="11" t="inlineStr">
        <is>
          <t>Objectif : ⟦à fixer par Djoli⟧</t>
        </is>
      </c>
    </row>
    <row r="12">
      <c r="A12" s="9" t="inlineStr">
        <is>
          <t>Montant des premières commandes retour</t>
        </is>
      </c>
      <c r="B12" s="31">
        <f>SUM('Plan de relance'!R6:R35)</f>
        <v/>
      </c>
      <c r="D12" s="11" t="inlineStr"/>
    </row>
    <row r="13">
      <c r="A13" s="9" t="inlineStr">
        <is>
          <t>Valeur habituelle par mois des clients revenus</t>
        </is>
      </c>
      <c r="B13" s="31">
        <f>SUMIF('Plan de relance'!M6:M35,"Recommande",'Clients inactifs'!N6:N35)</f>
        <v/>
      </c>
      <c r="D13" s="11" t="inlineStr">
        <is>
          <t>Ce que ces clients achetaient en rythme normal</t>
        </is>
      </c>
    </row>
    <row r="14">
      <c r="A14" s="9" t="inlineStr">
        <is>
          <t>Valeur habituelle par mois en jeu (30 clients)</t>
        </is>
      </c>
      <c r="B14" s="31">
        <f>SUM('Clients inactifs'!N6:N35)</f>
        <v/>
      </c>
      <c r="D14" s="11" t="inlineStr"/>
    </row>
    <row r="17">
      <c r="A17" s="32" t="inlineStr">
        <is>
          <t>Raisons réelles relevées (colonne O du plan)</t>
        </is>
      </c>
    </row>
    <row r="18">
      <c r="A18" s="28" t="inlineStr">
        <is>
          <t>Famille de raison</t>
        </is>
      </c>
      <c r="B18" s="28" t="inlineStr">
        <is>
          <t>Supposée (départ)</t>
        </is>
      </c>
      <c r="C18" s="28" t="inlineStr">
        <is>
          <t>Confirmée</t>
        </is>
      </c>
    </row>
    <row r="19">
      <c r="A19" s="33" t="inlineStr">
        <is>
          <t>Concurrence / marché</t>
        </is>
      </c>
      <c r="B19" s="33">
        <f>COUNTIF('Clients inactifs'!U6:U35,A19)</f>
        <v/>
      </c>
      <c r="C19" s="34">
        <f>COUNTIF('Plan de relance'!O6:O35,A19)</f>
        <v/>
      </c>
    </row>
    <row r="20">
      <c r="A20" s="33" t="inlineStr">
        <is>
          <t>Prix</t>
        </is>
      </c>
      <c r="B20" s="33">
        <f>COUNTIF('Clients inactifs'!U6:U35,A20)</f>
        <v/>
      </c>
      <c r="C20" s="34">
        <f>COUNTIF('Plan de relance'!O6:O35,A20)</f>
        <v/>
      </c>
    </row>
    <row r="21">
      <c r="A21" s="33" t="inlineStr">
        <is>
          <t>Qualité</t>
        </is>
      </c>
      <c r="B21" s="33">
        <f>COUNTIF('Clients inactifs'!U6:U35,A21)</f>
        <v/>
      </c>
      <c r="C21" s="34">
        <f>COUNTIF('Plan de relance'!O6:O35,A21)</f>
        <v/>
      </c>
    </row>
    <row r="22">
      <c r="A22" s="33" t="inlineStr">
        <is>
          <t>Service (livraison, erreur)</t>
        </is>
      </c>
      <c r="B22" s="33">
        <f>COUNTIF('Clients inactifs'!U6:U35,A22)</f>
        <v/>
      </c>
      <c r="C22" s="34">
        <f>COUNTIF('Plan de relance'!O6:O35,A22)</f>
        <v/>
      </c>
    </row>
    <row r="23">
      <c r="A23" s="33" t="inlineStr">
        <is>
          <t>Paiement</t>
        </is>
      </c>
      <c r="B23" s="33">
        <f>COUNTIF('Clients inactifs'!U6:U35,A23)</f>
        <v/>
      </c>
      <c r="C23" s="34">
        <f>COUNTIF('Plan de relance'!O6:O35,A23)</f>
        <v/>
      </c>
    </row>
    <row r="24">
      <c r="A24" s="33" t="inlineStr">
        <is>
          <t>Changement d'interlocuteur</t>
        </is>
      </c>
      <c r="B24" s="33">
        <f>COUNTIF('Clients inactifs'!U6:U35,A24)</f>
        <v/>
      </c>
      <c r="C24" s="34">
        <f>COUNTIF('Plan de relance'!O6:O35,A24)</f>
        <v/>
      </c>
    </row>
    <row r="25">
      <c r="A25" s="33" t="inlineStr">
        <is>
          <t>Activité du client</t>
        </is>
      </c>
      <c r="B25" s="33">
        <f>COUNTIF('Clients inactifs'!U6:U35,A25)</f>
        <v/>
      </c>
      <c r="C25" s="34">
        <f>COUNTIF('Plan de relance'!O6:O35,A25)</f>
        <v/>
      </c>
    </row>
    <row r="26">
      <c r="A26" s="33" t="inlineStr">
        <is>
          <t>Autre</t>
        </is>
      </c>
      <c r="B26" s="33">
        <f>COUNTIF('Clients inactifs'!U6:U35,A26)</f>
        <v/>
      </c>
      <c r="C26" s="34">
        <f>COUNTIF('Plan de relance'!O6:O35,A26)</f>
        <v/>
      </c>
    </row>
    <row r="28">
      <c r="A28" s="35" t="inlineStr">
        <is>
          <t>Si une même raison confirmée revient chez plus d'un client sur cinq, c'est un sujet d'offre ou d'opérations à remonter à la direction : la relance ne le réglera pas.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2026-10-21T19:39:13Z</dcterms:created>
  <dcterms:modified xmlns:dcterms="http://purl.org/dc/terms/" xmlns:xsi="http://www.w3.org/2001/XMLSchema-instance" xsi:type="dcterms:W3CDTF">2026-10-21T19:39:13Z</dcterms:modified>
</cp:coreProperties>
</file>