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Prospects" sheetId="1" state="visible" r:id="rId1"/>
    <sheet xmlns:r="http://schemas.openxmlformats.org/officeDocument/2006/relationships" name="📈 Suivi des affaires" sheetId="2" state="visible" r:id="rId2"/>
    <sheet xmlns:r="http://schemas.openxmlformats.org/officeDocument/2006/relationships" name="🧾 Modèle de devis" sheetId="3" state="visible" r:id="rId3"/>
  </sheets>
  <definedNames>
    <definedName name="_xlnm._FilterDatabase" localSheetId="0" hidden="1">'🎯 Prospects'!$A$3:$K$33</definedName>
    <definedName name="_xlnm._FilterDatabase" localSheetId="1" hidden="1">'📈 Suivi des affaires'!$A$3:$M$43</definedName>
  </definedNames>
  <calcPr calcId="124519" fullCalcOnLoad="1"/>
</workbook>
</file>

<file path=xl/styles.xml><?xml version="1.0" encoding="utf-8"?>
<styleSheet xmlns="http://schemas.openxmlformats.org/spreadsheetml/2006/main">
  <numFmts count="1">
    <numFmt numFmtId="164" formatCode="DD/MM/YYYY"/>
  </numFmts>
  <fonts count="11">
    <font>
      <name val="Calibri"/>
      <family val="2"/>
      <color theme="1"/>
      <sz val="11"/>
      <scheme val="minor"/>
    </font>
    <font>
      <name val="Nunito Sans"/>
      <b val="1"/>
      <color rgb="00E07000"/>
      <sz val="15"/>
    </font>
    <font>
      <name val="Nunito Sans"/>
      <i val="1"/>
      <color rgb="00666666"/>
      <sz val="9"/>
    </font>
    <font>
      <name val="Nunito Sans"/>
      <b val="1"/>
      <color rgb="00FFFFFF"/>
      <sz val="10"/>
    </font>
    <font>
      <name val="Nunito Sans"/>
      <sz val="9"/>
    </font>
    <font>
      <name val="Nunito Sans"/>
      <b val="1"/>
      <sz val="9"/>
    </font>
    <font>
      <name val="Nunito Sans"/>
      <color rgb="001F5FA8"/>
      <sz val="8"/>
      <u val="single"/>
    </font>
    <font>
      <name val="Nunito Sans"/>
      <b val="1"/>
      <color rgb="00E07000"/>
      <sz val="12"/>
    </font>
    <font>
      <name val="Nunito Sans"/>
      <b val="1"/>
      <color rgb="00E07000"/>
      <sz val="10"/>
    </font>
    <font>
      <name val="Nunito Sans"/>
      <i val="1"/>
      <color rgb="00888888"/>
      <sz val="9"/>
    </font>
    <font>
      <name val="Nunito Sans"/>
      <b val="1"/>
      <sz val="10"/>
    </font>
  </fonts>
  <fills count="7">
    <fill>
      <patternFill/>
    </fill>
    <fill>
      <patternFill patternType="gray125"/>
    </fill>
    <fill>
      <patternFill patternType="solid">
        <fgColor rgb="00E07000"/>
      </patternFill>
    </fill>
    <fill>
      <patternFill patternType="solid">
        <fgColor rgb="00F9D0C4"/>
      </patternFill>
    </fill>
    <fill>
      <patternFill patternType="solid">
        <fgColor rgb="00FFF8F0"/>
      </patternFill>
    </fill>
    <fill>
      <patternFill patternType="solid">
        <fgColor rgb="00FDEBD0"/>
      </patternFill>
    </fill>
    <fill>
      <patternFill patternType="solid">
        <fgColor rgb="00EDEDED"/>
      </patternFill>
    </fill>
  </fills>
  <borders count="2">
    <border>
      <left/>
      <right/>
      <top/>
      <bottom/>
      <diagonal/>
    </border>
    <border>
      <left style="thin">
        <color rgb="00D8D8D8"/>
      </left>
      <right style="thin">
        <color rgb="00D8D8D8"/>
      </right>
      <top style="thin">
        <color rgb="00D8D8D8"/>
      </top>
      <bottom style="thin">
        <color rgb="00D8D8D8"/>
      </bottom>
    </border>
  </borders>
  <cellStyleXfs count="1">
    <xf numFmtId="0" fontId="0" fillId="0" borderId="0"/>
  </cellStyleXfs>
  <cellXfs count="35">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3" borderId="1" applyAlignment="1" pivotButton="0" quotePrefix="0" xfId="0">
      <alignment horizontal="center" vertical="top" wrapText="1"/>
    </xf>
    <xf numFmtId="0" fontId="6" fillId="0" borderId="1" applyAlignment="1" pivotButton="0" quotePrefix="0" xfId="0">
      <alignment horizontal="left" vertical="top"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4" fillId="4" borderId="1" applyAlignment="1" pivotButton="0" quotePrefix="0" xfId="0">
      <alignment horizontal="left" vertical="top" wrapText="1"/>
    </xf>
    <xf numFmtId="0" fontId="6" fillId="4" borderId="1" applyAlignment="1" pivotButton="0" quotePrefix="0" xfId="0">
      <alignment horizontal="left"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7" fillId="0" borderId="0" pivotButton="0" quotePrefix="0" xfId="0"/>
    <xf numFmtId="0" fontId="5" fillId="0" borderId="0" pivotButton="0" quotePrefix="0" xfId="0"/>
    <xf numFmtId="0" fontId="4" fillId="0" borderId="0" pivotButton="0" quotePrefix="0" xfId="0"/>
    <xf numFmtId="164" fontId="4" fillId="0" borderId="1" applyAlignment="1" pivotButton="0" quotePrefix="0" xfId="0">
      <alignment horizontal="center" vertical="top" wrapText="1"/>
    </xf>
    <xf numFmtId="3" fontId="4" fillId="0" borderId="1" applyAlignment="1" pivotButton="0" quotePrefix="0" xfId="0">
      <alignment horizontal="left" vertical="top" wrapText="1"/>
    </xf>
    <xf numFmtId="164" fontId="4" fillId="4" borderId="1" applyAlignment="1" pivotButton="0" quotePrefix="0" xfId="0">
      <alignment horizontal="center" vertical="top" wrapText="1"/>
    </xf>
    <xf numFmtId="3" fontId="4" fillId="4" borderId="1" applyAlignment="1" pivotButton="0" quotePrefix="0" xfId="0">
      <alignment horizontal="left" vertical="top" wrapText="1"/>
    </xf>
    <xf numFmtId="0" fontId="3" fillId="0" borderId="1" applyAlignment="1" pivotButton="0" quotePrefix="0" xfId="0">
      <alignment horizontal="center" vertical="center" wrapText="1"/>
    </xf>
    <xf numFmtId="0" fontId="3" fillId="2" borderId="1" pivotButton="0" quotePrefix="0" xfId="0"/>
    <xf numFmtId="3" fontId="3" fillId="2" borderId="1" pivotButton="0" quotePrefix="0" xfId="0"/>
    <xf numFmtId="0" fontId="8" fillId="0" borderId="1" pivotButton="0" quotePrefix="0" xfId="0"/>
    <xf numFmtId="0" fontId="0" fillId="0" borderId="1" pivotButton="0" quotePrefix="0" xfId="0"/>
    <xf numFmtId="0" fontId="9" fillId="0" borderId="1" applyAlignment="1" pivotButton="0" quotePrefix="0" xfId="0">
      <alignment horizontal="left" vertical="top" wrapText="1"/>
    </xf>
    <xf numFmtId="3" fontId="4" fillId="0" borderId="1" applyAlignment="1" pivotButton="0" quotePrefix="0" xfId="0">
      <alignment horizontal="center" vertical="top" wrapText="1"/>
    </xf>
    <xf numFmtId="9" fontId="4" fillId="0" borderId="1" applyAlignment="1" pivotButton="0" quotePrefix="0" xfId="0">
      <alignment horizontal="center" vertical="top" wrapText="1"/>
    </xf>
    <xf numFmtId="3" fontId="4" fillId="4" borderId="1" applyAlignment="1" pivotButton="0" quotePrefix="0" xfId="0">
      <alignment horizontal="center" vertical="top" wrapText="1"/>
    </xf>
    <xf numFmtId="9" fontId="4" fillId="4" borderId="1" applyAlignment="1" pivotButton="0" quotePrefix="0" xfId="0">
      <alignment horizontal="center" vertical="top" wrapText="1"/>
    </xf>
    <xf numFmtId="3" fontId="10" fillId="0" borderId="1" pivotButton="0" quotePrefix="0" xfId="0"/>
    <xf numFmtId="0" fontId="5" fillId="0" borderId="1" pivotButton="0" quotePrefix="0" xfId="0"/>
    <xf numFmtId="0" fontId="9" fillId="0" borderId="1" pivotButton="0" quotePrefix="0" xfId="0"/>
  </cellXfs>
  <cellStyles count="1">
    <cellStyle name="Normal" xfId="0" builtinId="0" hidden="0"/>
  </cellStyles>
  <dxfs count="3">
    <dxf>
      <fill>
        <patternFill patternType="solid">
          <fgColor rgb="00CDEFD8"/>
        </patternFill>
      </fill>
    </dxf>
    <dxf>
      <fill>
        <patternFill patternType="solid">
          <fgColor rgb="00E6E6E6"/>
        </patternFill>
      </fill>
    </dxf>
    <dxf>
      <fill>
        <patternFill patternType="solid">
          <fgColor rgb="00FAD4D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0</colOff>
      <row>0</row>
      <rowOff>0</rowOff>
    </from>
    <ext cx="666750" cy="466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666750" cy="466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666750" cy="466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africaonline.com/ci/62911-gma-farine-minoterie-abidjan-cote-ivoire" TargetMode="External" Id="rId1"/><Relationship Type="http://schemas.openxmlformats.org/officeDocument/2006/relationships/hyperlink" Target="https://lesmoulins.ci" TargetMode="External" Id="rId2"/><Relationship Type="http://schemas.openxmlformats.org/officeDocument/2006/relationships/hyperlink" Target="https://lesmoulins.ci/nos-farines" TargetMode="External" Id="rId3"/><Relationship Type="http://schemas.openxmlformats.org/officeDocument/2006/relationships/hyperlink" Target="https://groupesifca.com/sucrivoire/" TargetMode="External" Id="rId4"/><Relationship Type="http://schemas.openxmlformats.org/officeDocument/2006/relationships/hyperlink" Target="https://groupesifca.com/sucrivoire/" TargetMode="External" Id="rId5"/><Relationship Type="http://schemas.openxmlformats.org/officeDocument/2006/relationships/hyperlink" Target="https://groupe-somdia.com" TargetMode="External" Id="rId6"/><Relationship Type="http://schemas.openxmlformats.org/officeDocument/2006/relationships/hyperlink" Target="https://www.koaci.com/article/2026/05/07/cote-divoire/politique/cote-divoire-ferke-bruno-kone-inaugure-une-distillerie-strategique-pour-lagro-industrie-ivoirienne_196472.html" TargetMode="External" Id="rId7"/><Relationship Type="http://schemas.openxmlformats.org/officeDocument/2006/relationships/hyperlink" Target="https://maggi.ci/sites/default/files/2025-08/R%C3%88GLEMENT%20PROMO%20RETOUR%20EMBALLAGES%20MAGGI%20YA%20PAS%20POTEAU-final%20%281%29.pdf" TargetMode="External" Id="rId8"/><Relationship Type="http://schemas.openxmlformats.org/officeDocument/2006/relationships/hyperlink" Target="https://www.sania.ci" TargetMode="External" Id="rId9"/><Relationship Type="http://schemas.openxmlformats.org/officeDocument/2006/relationships/hyperlink" Target="https://www.sania.ci/entreprise.html" TargetMode="External" Id="rId10"/><Relationship Type="http://schemas.openxmlformats.org/officeDocument/2006/relationships/hyperlink" Target="https://unifood.info" TargetMode="External" Id="rId11"/><Relationship Type="http://schemas.openxmlformats.org/officeDocument/2006/relationships/hyperlink" Target="https://unifood.info/qui-sommes-nous" TargetMode="External" Id="rId12"/><Relationship Type="http://schemas.openxmlformats.org/officeDocument/2006/relationships/hyperlink" Target="https://www.rizo-ci.com" TargetMode="External" Id="rId13"/><Relationship Type="http://schemas.openxmlformats.org/officeDocument/2006/relationships/hyperlink" Target="https://www.rizo-ci.com/" TargetMode="External" Id="rId14"/><Relationship Type="http://schemas.openxmlformats.org/officeDocument/2006/relationships/hyperlink" Target="https://fanmilk.danone.com/fr_ZA/our-footprint/cote-d-ivoire.html" TargetMode="External" Id="rId15"/><Relationship Type="http://schemas.openxmlformats.org/officeDocument/2006/relationships/hyperlink" Target="https://fanmilk.danone.com/fr_ZA/our-footprint/cote-d-ivoire.html" TargetMode="External" Id="rId16"/><Relationship Type="http://schemas.openxmlformats.org/officeDocument/2006/relationships/hyperlink" Target="https://amethis.com/en/amethis-invests-in-afriwara-west-africa-3" TargetMode="External" Id="rId17"/><Relationship Type="http://schemas.openxmlformats.org/officeDocument/2006/relationships/hyperlink" Target="https://en.empresaexterior.com/gbfoods-consolida-su-presencia-en-costa-de-marfil" TargetMode="External" Id="rId18"/><Relationship Type="http://schemas.openxmlformats.org/officeDocument/2006/relationships/hyperlink" Target="https://annuaireci.com/en/entreprises/pfi-professional-foods-industry-abidjan-cote-divoire/" TargetMode="External" Id="rId19"/><Relationship Type="http://schemas.openxmlformats.org/officeDocument/2006/relationships/hyperlink" Target="https://group.cemoi.fr" TargetMode="External" Id="rId20"/><Relationship Type="http://schemas.openxmlformats.org/officeDocument/2006/relationships/hyperlink" Target="https://jeuneafrique.com/1364468/economie-entreprises/quel-bilan-pour-lusine-cemoi-petit-poucet-de-lor-brun-ivoirien" TargetMode="External" Id="rId21"/><Relationship Type="http://schemas.openxmlformats.org/officeDocument/2006/relationships/hyperlink" Target="https://foani.ci" TargetMode="External" Id="rId22"/><Relationship Type="http://schemas.openxmlformats.org/officeDocument/2006/relationships/hyperlink" Target="https://foani.ci/" TargetMode="External" Id="rId23"/><Relationship Type="http://schemas.openxmlformats.org/officeDocument/2006/relationships/hyperlink" Target="https://www.lafargeholcim.ci" TargetMode="External" Id="rId24"/><Relationship Type="http://schemas.openxmlformats.org/officeDocument/2006/relationships/hyperlink" Target="https://www.lafargeholcim.ci/contact" TargetMode="External" Id="rId25"/><Relationship Type="http://schemas.openxmlformats.org/officeDocument/2006/relationships/hyperlink" Target="https://www.cimentsafrique.com/fr/implantations/cote-divoire" TargetMode="External" Id="rId26"/><Relationship Type="http://schemas.openxmlformats.org/officeDocument/2006/relationships/hyperlink" Target="https://annuaireci.com/entreprises/cimaf-ciment-de-lafrique-sa-abidjan-cote-divoire" TargetMode="External" Id="rId27"/><Relationship Type="http://schemas.openxmlformats.org/officeDocument/2006/relationships/hyperlink" Target="https://solevogroup.com" TargetMode="External" Id="rId28"/><Relationship Type="http://schemas.openxmlformats.org/officeDocument/2006/relationships/hyperlink" Target="https://solevogroup.com/our-network" TargetMode="External" Id="rId29"/><Relationship Type="http://schemas.openxmlformats.org/officeDocument/2006/relationships/hyperlink" Target="https://www.cargill.com/worldwide/cote-d-ivoire-fr" TargetMode="External" Id="rId30"/><Relationship Type="http://schemas.openxmlformats.org/officeDocument/2006/relationships/hyperlink" Target="https://www.cargill.com/worldwide/cote-d-ivoire-fr" TargetMode="External" Id="rId31"/><Relationship Type="http://schemas.openxmlformats.org/officeDocument/2006/relationships/hyperlink" Target="https://www.barry-callebaut.com" TargetMode="External" Id="rId32"/><Relationship Type="http://schemas.openxmlformats.org/officeDocument/2006/relationships/hyperlink" Target="https://barry-callebaut.com/en-US/group/media/news-stories/barry-callebaut-expands-its-cocoa-processing-capacities-cote-divoire" TargetMode="External" Id="rId33"/><Relationship Type="http://schemas.openxmlformats.org/officeDocument/2006/relationships/hyperlink" Target="https://www.fratmat.info/article/228760/economie/anacarde-une-usine-de-transformation-de-50-tonnes-par-jour-ouverte-a-anyama" TargetMode="External" Id="rId34"/><Relationship Type="http://schemas.openxmlformats.org/officeDocument/2006/relationships/hyperlink" Target="https://www.solibra.ci" TargetMode="External" Id="rId35"/><Relationship Type="http://schemas.openxmlformats.org/officeDocument/2006/relationships/hyperlink" Target="https://www.solibra.ci/contacts/nous-contacter-46.html" TargetMode="External" Id="rId36"/><Relationship Type="http://schemas.openxmlformats.org/officeDocument/2006/relationships/hyperlink" Target="https://brassivoire.ci" TargetMode="External" Id="rId37"/><Relationship Type="http://schemas.openxmlformats.org/officeDocument/2006/relationships/hyperlink" Target="https://brassivoire.ci/notre-entreprise/" TargetMode="External" Id="rId38"/><Relationship Type="http://schemas.openxmlformats.org/officeDocument/2006/relationships/hyperlink" Target="https://www.agroci.ci" TargetMode="External" Id="rId39"/><Relationship Type="http://schemas.openxmlformats.org/officeDocument/2006/relationships/hyperlink" Target="https://www.agroci.ci/contact" TargetMode="External" Id="rId40"/><Relationship Type="http://schemas.openxmlformats.org/officeDocument/2006/relationships/hyperlink" Target="https://www.carredor.org" TargetMode="External" Id="rId41"/><Relationship Type="http://schemas.openxmlformats.org/officeDocument/2006/relationships/hyperlink" Target="https://www.pulse.ci/article/coca-cola-x-bgfibank-financement-dune-usine-dembouteillage-coca-cola-a-30-milliards-2024092612053165223" TargetMode="External" Id="rId42"/><Relationship Type="http://schemas.openxmlformats.org/officeDocument/2006/relationships/hyperlink" Target="https://www.goafricaonline.com/ci/584776-stgci-eau-production-distribution-abidjan-cote-ivoire" TargetMode="External" Id="rId43"/><Relationship Type="http://schemas.openxmlformats.org/officeDocument/2006/relationships/hyperlink" Target="https://sivop.com" TargetMode="External" Id="rId44"/><Relationship Type="http://schemas.openxmlformats.org/officeDocument/2006/relationships/hyperlink" Target="https://sivop.com/plan-acces" TargetMode="External" Id="rId45"/><Relationship Type="http://schemas.openxmlformats.org/officeDocument/2006/relationships/hyperlink" Target="https://siavom.ci" TargetMode="External" Id="rId46"/><Relationship Type="http://schemas.openxmlformats.org/officeDocument/2006/relationships/hyperlink" Target="https://siavom.ci/a-propos/" TargetMode="External" Id="rId47"/><Relationship Type="http://schemas.openxmlformats.org/officeDocument/2006/relationships/hyperlink" Target="https://siprochim.com" TargetMode="External" Id="rId48"/><Relationship Type="http://schemas.openxmlformats.org/officeDocument/2006/relationships/hyperlink" Target="https://siprochim.com/detergent/qui-sommes-nous/" TargetMode="External" Id="rId49"/><Relationship Type="http://schemas.openxmlformats.org/officeDocument/2006/relationships/hyperlink" Target="https://erca-arcc.org/decision-the-acquisition-of-unilever-cote-divoire-by-the-societe-de-distribution-de-toutes-marchandises?lang=fr" TargetMode="External" Id="rId50"/><Relationship Type="http://schemas.openxmlformats.org/officeDocument/2006/relationships/hyperlink" Target="https://www.uplcorp.com/ci/callivoire" TargetMode="External" Id="rId51"/><Relationship Type="http://schemas.openxmlformats.org/officeDocument/2006/relationships/hyperlink" Target="https://www.uplcorp.com/ci/capacit%C3%A9-industrielle" TargetMode="External" Id="rId52"/><Relationship Type="http://schemas.openxmlformats.org/officeDocument/2006/relationships/drawing" Target="/xl/drawings/drawing1.xml" Id="rId53"/></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K41"/>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28" customWidth="1" min="2" max="2"/>
    <col width="20" customWidth="1" min="3" max="3"/>
    <col width="26" customWidth="1" min="4" max="4"/>
    <col width="24" customWidth="1" min="5" max="5"/>
    <col width="34" customWidth="1" min="6" max="6"/>
    <col width="44" customWidth="1" min="7" max="7"/>
    <col width="12" customWidth="1" min="8" max="8"/>
    <col width="24" customWidth="1" min="9" max="9"/>
    <col width="24" customWidth="1" min="10" max="10"/>
    <col width="14" customWidth="1" min="11" max="11"/>
  </cols>
  <sheetData>
    <row r="1" ht="52" customHeight="1">
      <c r="C1" s="1" t="inlineStr">
        <is>
          <t>🎯 COTIPLAST · 30 industriels à démarcher</t>
        </is>
      </c>
    </row>
    <row r="2" ht="30" customHeight="1">
      <c r="A2" s="2" t="inlineStr">
        <is>
          <t>Entreprises réelles installées en Côte d'Ivoire, chacune avec sa source, relevées le 28/10/2026. « Non publié » = aucun contact public trouvé, rien n'est inventé. Triées par famille, puis par priorité.</t>
        </is>
      </c>
    </row>
    <row r="3" ht="30" customHeight="1">
      <c r="A3" s="3" t="inlineStr">
        <is>
          <t>N°</t>
        </is>
      </c>
      <c r="B3" s="3" t="inlineStr">
        <is>
          <t>🏢 Entreprise</t>
        </is>
      </c>
      <c r="C3" s="3" t="inlineStr">
        <is>
          <t>🏷️ Famille</t>
        </is>
      </c>
      <c r="D3" s="3" t="inlineStr">
        <is>
          <t>🏭 Activité</t>
        </is>
      </c>
      <c r="E3" s="3" t="inlineStr">
        <is>
          <t>📍 Localisation</t>
        </is>
      </c>
      <c r="F3" s="3" t="inlineStr">
        <is>
          <t>📦 Ce qu'on leur vend</t>
        </is>
      </c>
      <c r="G3" s="3" t="inlineStr">
        <is>
          <t>💬 Accroche</t>
        </is>
      </c>
      <c r="H3" s="3" t="inlineStr">
        <is>
          <t>🎯 Priorité</t>
        </is>
      </c>
      <c r="I3" s="3" t="inlineStr">
        <is>
          <t>📞 Contact publié</t>
        </is>
      </c>
      <c r="J3" s="3" t="inlineStr">
        <is>
          <t>🌐 Site</t>
        </is>
      </c>
      <c r="K3" s="3" t="inlineStr">
        <is>
          <t>🔗 Source</t>
        </is>
      </c>
    </row>
    <row r="4">
      <c r="A4" s="4" t="n">
        <v>1</v>
      </c>
      <c r="B4" s="5" t="inlineStr">
        <is>
          <t>Les Grands Moulins d'Abidjan (GMA)</t>
        </is>
      </c>
      <c r="C4" s="6" t="inlineStr">
        <is>
          <t>🥫 Agroalimentaire</t>
        </is>
      </c>
      <c r="D4" s="6" t="inlineStr">
        <is>
          <t>Minoterie : farines de blé</t>
        </is>
      </c>
      <c r="E4" s="6" t="inlineStr">
        <is>
          <t>Abidjan, zone portuaire de Treichville (rue du Havre)</t>
        </is>
      </c>
      <c r="F4" s="6" t="inlineStr">
        <is>
          <t>Sacs PP tissés imprimés pour farine et films/sachets PE pour petits formats.</t>
        </is>
      </c>
      <c r="G4" s="6" t="inlineStr">
        <is>
          <t>Votre minoterie est au port d'Abidjan : un fournisseur de sacs fabriqués à Yopougon raccourcit vos délais d'approvisionnement.</t>
        </is>
      </c>
      <c r="H4" s="7" t="inlineStr">
        <is>
          <t>🔴 Haute</t>
        </is>
      </c>
      <c r="I4" s="6" t="inlineStr">
        <is>
          <t>+225 27 21 21 74 00</t>
        </is>
      </c>
      <c r="J4" s="6" t="inlineStr"/>
      <c r="K4" s="8" t="inlineStr">
        <is>
          <t>🔗 Voir la source</t>
        </is>
      </c>
    </row>
    <row r="5">
      <c r="A5" s="9" t="n">
        <v>2</v>
      </c>
      <c r="B5" s="10" t="inlineStr">
        <is>
          <t>Les Moulins de Côte d'Ivoire (LMCI)</t>
        </is>
      </c>
      <c r="C5" s="11" t="inlineStr">
        <is>
          <t>🥫 Agroalimentaire</t>
        </is>
      </c>
      <c r="D5" s="11" t="inlineStr">
        <is>
          <t>Minoterie : farine 100 % blé tendre</t>
        </is>
      </c>
      <c r="E5" s="11" t="inlineStr">
        <is>
          <t>Abidjan</t>
        </is>
      </c>
      <c r="F5" s="11" t="inlineStr">
        <is>
          <t>Sacs PP tissés imprimés et sachets souples imprimés pour la farine grand public.</t>
        </is>
      </c>
      <c r="G5" s="11" t="inlineStr">
        <is>
          <t>Votre farine 100 % blé tendre se conserve six mois au sec : un sac ou sachet barrière bien choisi protège cette promesse jusqu'au client.</t>
        </is>
      </c>
      <c r="H5" s="7" t="inlineStr">
        <is>
          <t>🔴 Haute</t>
        </is>
      </c>
      <c r="I5" s="11" t="inlineStr">
        <is>
          <t>Non publié</t>
        </is>
      </c>
      <c r="J5" s="12" t="inlineStr">
        <is>
          <t>https://lesmoulins.ci</t>
        </is>
      </c>
      <c r="K5" s="12" t="inlineStr">
        <is>
          <t>🔗 Voir la source</t>
        </is>
      </c>
    </row>
    <row r="6">
      <c r="A6" s="4" t="n">
        <v>3</v>
      </c>
      <c r="B6" s="5" t="inlineStr">
        <is>
          <t>SUCRIVOIRE (groupe SIFCA)</t>
        </is>
      </c>
      <c r="C6" s="6" t="inlineStr">
        <is>
          <t>🥫 Agroalimentaire</t>
        </is>
      </c>
      <c r="D6" s="6" t="inlineStr">
        <is>
          <t>Sucre granulé (roux, blond, blanc) et en morceaux</t>
        </is>
      </c>
      <c r="E6" s="6" t="inlineStr">
        <is>
          <t>Côte d'Ivoire (complexes sucriers), siège Abidjan</t>
        </is>
      </c>
      <c r="F6" s="6" t="inlineStr">
        <is>
          <t>Sachets souples imprimés pour le sucre en détail et sacs PP / big bags pour le vrac.</t>
        </is>
      </c>
      <c r="G6" s="6" t="inlineStr">
        <is>
          <t>Producteur de sucre granulé et en morceaux, filiale SIFCA cotée à la BRVM : vos formats détail comme vos sacs industriels peuvent venir d'un même fabricant local.</t>
        </is>
      </c>
      <c r="H6" s="7" t="inlineStr">
        <is>
          <t>🔴 Haute</t>
        </is>
      </c>
      <c r="I6" s="6" t="inlineStr">
        <is>
          <t>Non publié</t>
        </is>
      </c>
      <c r="J6" s="8" t="inlineStr">
        <is>
          <t>https://groupesifca.com/sucrivoire/</t>
        </is>
      </c>
      <c r="K6" s="8" t="inlineStr">
        <is>
          <t>🔗 Voir la source</t>
        </is>
      </c>
    </row>
    <row r="7">
      <c r="A7" s="9" t="n">
        <v>4</v>
      </c>
      <c r="B7" s="10" t="inlineStr">
        <is>
          <t>SUCAF CI (Sucrerie Africaine Côte d'Ivoire, groupe Somdia)</t>
        </is>
      </c>
      <c r="C7" s="11" t="inlineStr">
        <is>
          <t>🥫 Agroalimentaire</t>
        </is>
      </c>
      <c r="D7" s="11" t="inlineStr">
        <is>
          <t>Sucre de canne ; distillerie inaugurée le 7 mai 2026 à Ferké 2</t>
        </is>
      </c>
      <c r="E7" s="11" t="inlineStr">
        <is>
          <t>Ferkessédougou (usine), bureau Abidjan Treichville</t>
        </is>
      </c>
      <c r="F7" s="11" t="inlineStr">
        <is>
          <t>Sacs PP tissés et big bags pour le sucre, sachets PE imprimés pour le détail.</t>
        </is>
      </c>
      <c r="G7" s="11" t="inlineStr">
        <is>
          <t>Félicitations pour la distillerie inaugurée le 7 mai 2026 à Ferké 2 : c'est le bon moment pour sécuriser aussi vos sacs et emballages sucre.</t>
        </is>
      </c>
      <c r="H7" s="7" t="inlineStr">
        <is>
          <t>🔴 Haute</t>
        </is>
      </c>
      <c r="I7" s="11" t="inlineStr">
        <is>
          <t>Non publié</t>
        </is>
      </c>
      <c r="J7" s="12" t="inlineStr">
        <is>
          <t>https://groupe-somdia.com</t>
        </is>
      </c>
      <c r="K7" s="12" t="inlineStr">
        <is>
          <t>🔗 Voir la source</t>
        </is>
      </c>
    </row>
    <row r="8">
      <c r="A8" s="4" t="n">
        <v>5</v>
      </c>
      <c r="B8" s="5" t="inlineStr">
        <is>
          <t>Nestlé Côte d'Ivoire</t>
        </is>
      </c>
      <c r="C8" s="6" t="inlineStr">
        <is>
          <t>🥫 Agroalimentaire</t>
        </is>
      </c>
      <c r="D8" s="6" t="inlineStr">
        <is>
          <t>Bouillons Maggi, produits alimentaires</t>
        </is>
      </c>
      <c r="E8" s="6" t="inlineStr">
        <is>
          <t>Abidjan, Yopougon zone industrielle (usine et siège social)</t>
        </is>
      </c>
      <c r="F8" s="6" t="inlineStr">
        <is>
          <t>Films multicouches imprimés pour sachets et films de suremballage PE.</t>
        </is>
      </c>
      <c r="G8" s="6" t="inlineStr">
        <is>
          <t>Votre usine est dans la même zone industrielle de Yopougon que la nôtre : un fournisseur de films imprimés à quelques minutes de vos lignes Maggi.</t>
        </is>
      </c>
      <c r="H8" s="7" t="inlineStr">
        <is>
          <t>🔴 Haute</t>
        </is>
      </c>
      <c r="I8" s="6" t="inlineStr">
        <is>
          <t>Non publié</t>
        </is>
      </c>
      <c r="J8" s="6" t="inlineStr"/>
      <c r="K8" s="8" t="inlineStr">
        <is>
          <t>🔗 Voir la source</t>
        </is>
      </c>
    </row>
    <row r="9">
      <c r="A9" s="9" t="n">
        <v>6</v>
      </c>
      <c r="B9" s="10" t="inlineStr">
        <is>
          <t>Sania Cie (groupe SIFCA)</t>
        </is>
      </c>
      <c r="C9" s="11" t="inlineStr">
        <is>
          <t>🥫 Agroalimentaire</t>
        </is>
      </c>
      <c r="D9" s="11" t="inlineStr">
        <is>
          <t>Huiles alimentaires raffinées (marque Dinor), dérivés</t>
        </is>
      </c>
      <c r="E9" s="11" t="inlineStr">
        <is>
          <t>Abidjan, zone de Vridi</t>
        </is>
      </c>
      <c r="F9" s="11" t="inlineStr">
        <is>
          <t>Films PE et sachets imprimés pour huile en petits formats, films rétractables de fardelage.</t>
        </is>
      </c>
      <c r="G9" s="11" t="inlineStr">
        <is>
          <t>Dinor est vendue jusque dans les plus petits formats : un film imprimé local et solide limite les fuites et les pertes en rayon.</t>
        </is>
      </c>
      <c r="H9" s="7" t="inlineStr">
        <is>
          <t>🔴 Haute</t>
        </is>
      </c>
      <c r="I9" s="11" t="inlineStr">
        <is>
          <t>infos@sifca-ci.com</t>
        </is>
      </c>
      <c r="J9" s="12" t="inlineStr">
        <is>
          <t>https://www.sania.ci</t>
        </is>
      </c>
      <c r="K9" s="12" t="inlineStr">
        <is>
          <t>🔗 Voir la source</t>
        </is>
      </c>
    </row>
    <row r="10">
      <c r="A10" s="4" t="n">
        <v>7</v>
      </c>
      <c r="B10" s="5" t="inlineStr">
        <is>
          <t>Unifood</t>
        </is>
      </c>
      <c r="C10" s="6" t="inlineStr">
        <is>
          <t>🥫 Agroalimentaire</t>
        </is>
      </c>
      <c r="D10" s="6" t="inlineStr">
        <is>
          <t>Biscuits fourrés et secs, gaufrettes (Coupe du Monde), bonbons et chewing-gums (Super Mint)</t>
        </is>
      </c>
      <c r="E10" s="6" t="inlineStr">
        <is>
          <t>Abidjan</t>
        </is>
      </c>
      <c r="F10" s="6" t="inlineStr">
        <is>
          <t>Films multicouches imprimés (flow-pack) pour biscuits, gaufrettes et confiseries.</t>
        </is>
      </c>
      <c r="G10" s="6" t="inlineStr">
        <is>
          <t>Depuis 1994, la gaufrette Coupe du Monde et Super Mint sont dans tous les foyers : un film imprimé fabriqué à Abidjan garde leurs couleurs nettes en rayon.</t>
        </is>
      </c>
      <c r="H10" s="7" t="inlineStr">
        <is>
          <t>🔴 Haute</t>
        </is>
      </c>
      <c r="I10" s="6" t="inlineStr">
        <is>
          <t>Non publié</t>
        </is>
      </c>
      <c r="J10" s="8" t="inlineStr">
        <is>
          <t>https://unifood.info</t>
        </is>
      </c>
      <c r="K10" s="8" t="inlineStr">
        <is>
          <t>🔗 Voir la source</t>
        </is>
      </c>
    </row>
    <row r="11">
      <c r="A11" s="9" t="n">
        <v>8</v>
      </c>
      <c r="B11" s="10" t="inlineStr">
        <is>
          <t>Tropical Foods (riz RIZO)</t>
        </is>
      </c>
      <c r="C11" s="11" t="inlineStr">
        <is>
          <t>🥫 Agroalimentaire</t>
        </is>
      </c>
      <c r="D11" s="11" t="inlineStr">
        <is>
          <t>Riz local transformé (RIZO, sacs de 25 kg), attiéké</t>
        </is>
      </c>
      <c r="E11" s="11" t="inlineStr">
        <is>
          <t>Côte d'Ivoire</t>
        </is>
      </c>
      <c r="F11" s="11" t="inlineStr">
        <is>
          <t>Sacs PP tissés imprimés 25 kg et sachets PE imprimés pour petits formats de riz.</t>
        </is>
      </c>
      <c r="G11" s="11" t="inlineStr">
        <is>
          <t>RIZO se vend comme le riz premium 100 % ivoirien : un sac imprimé localement renforce ce message « made in Côte d'Ivoire ».</t>
        </is>
      </c>
      <c r="H11" s="7" t="inlineStr">
        <is>
          <t>🔴 Haute</t>
        </is>
      </c>
      <c r="I11" s="11" t="inlineStr">
        <is>
          <t>+225 01 41 37 25 38
info@tropicalfoods-ci.com</t>
        </is>
      </c>
      <c r="J11" s="12" t="inlineStr">
        <is>
          <t>https://www.rizo-ci.com</t>
        </is>
      </c>
      <c r="K11" s="12" t="inlineStr">
        <is>
          <t>🔗 Voir la source</t>
        </is>
      </c>
    </row>
    <row r="12">
      <c r="A12" s="4" t="n">
        <v>9</v>
      </c>
      <c r="B12" s="5" t="inlineStr">
        <is>
          <t>Fan Milk Côte d'Ivoire (groupe Danone)</t>
        </is>
      </c>
      <c r="C12" s="6" t="inlineStr">
        <is>
          <t>🥫 Agroalimentaire</t>
        </is>
      </c>
      <c r="D12" s="6" t="inlineStr">
        <is>
          <t>Glaces, boissons lactées surgelées, yaourts à boire (Fanyogo, Fanchoco, Fandango)</t>
        </is>
      </c>
      <c r="E12" s="6" t="inlineStr">
        <is>
          <t>Abidjan</t>
        </is>
      </c>
      <c r="F12" s="6" t="inlineStr">
        <is>
          <t>Sachets souples imprimés adaptés au froid pour glaces et boissons lactées.</t>
        </is>
      </c>
      <c r="G12" s="6" t="inlineStr">
        <is>
          <t>Glaces, Fanyogo, Fanchoco et Fandango demandent des sachets qui tiennent au froid : un film fabriqué à Abidjan, livré sans délai d'importation.</t>
        </is>
      </c>
      <c r="H12" s="7" t="inlineStr">
        <is>
          <t>🔴 Haute</t>
        </is>
      </c>
      <c r="I12" s="6" t="inlineStr">
        <is>
          <t>Non publié</t>
        </is>
      </c>
      <c r="J12" s="8" t="inlineStr">
        <is>
          <t>https://fanmilk.danone.com/fr_ZA/our-footprint/cote-d-ivoire.html</t>
        </is>
      </c>
      <c r="K12" s="8" t="inlineStr">
        <is>
          <t>🔗 Voir la source</t>
        </is>
      </c>
    </row>
    <row r="13">
      <c r="A13" s="9" t="n">
        <v>10</v>
      </c>
      <c r="B13" s="10" t="inlineStr">
        <is>
          <t>SNCV – Société Nouvelle de Confiserie de Vridi (groupe Afriwara)</t>
        </is>
      </c>
      <c r="C13" s="11" t="inlineStr">
        <is>
          <t>🥫 Agroalimentaire</t>
        </is>
      </c>
      <c r="D13" s="11" t="inlineStr">
        <is>
          <t>Confiserie et biscuits</t>
        </is>
      </c>
      <c r="E13" s="11" t="inlineStr">
        <is>
          <t>Abidjan, Vridi</t>
        </is>
      </c>
      <c r="F13" s="11" t="inlineStr">
        <is>
          <t>Films imprimés pour emballage individuel de bonbons et flow-pack de biscuits.</t>
        </is>
      </c>
      <c r="G13" s="11" t="inlineStr">
        <is>
          <t>Présente en Côte d'Ivoire depuis 1973 et adossée à un groupe en expansion régionale : vos volumes de films confiserie méritent un fournisseur de proximité.</t>
        </is>
      </c>
      <c r="H13" s="13" t="inlineStr">
        <is>
          <t>🟠 Moyenne</t>
        </is>
      </c>
      <c r="I13" s="11" t="inlineStr">
        <is>
          <t>Non publié</t>
        </is>
      </c>
      <c r="J13" s="11" t="inlineStr"/>
      <c r="K13" s="12" t="inlineStr">
        <is>
          <t>🔗 Voir la source</t>
        </is>
      </c>
    </row>
    <row r="14">
      <c r="A14" s="4" t="n">
        <v>11</v>
      </c>
      <c r="B14" s="5" t="inlineStr">
        <is>
          <t>Jumbo Côte d'Ivoire Industry (GBfoods)</t>
        </is>
      </c>
      <c r="C14" s="6" t="inlineStr">
        <is>
          <t>🥫 Agroalimentaire</t>
        </is>
      </c>
      <c r="D14" s="6" t="inlineStr">
        <is>
          <t>Assaisonnements et bouillons (marque Jumbo)</t>
        </is>
      </c>
      <c r="E14" s="6" t="inlineStr">
        <is>
          <t>Abidjan</t>
        </is>
      </c>
      <c r="F14" s="6" t="inlineStr">
        <is>
          <t>Films multicouches imprimés pour cubes et sachets d'assaisonnement.</t>
        </is>
      </c>
      <c r="G14" s="6" t="inlineStr">
        <is>
          <t>Jumbo est désormais porté par une filiale ivoirienne de GBfoods : des films imprimés fabriqués sur place réduisent la dépendance aux importations.</t>
        </is>
      </c>
      <c r="H14" s="13" t="inlineStr">
        <is>
          <t>🟠 Moyenne</t>
        </is>
      </c>
      <c r="I14" s="6" t="inlineStr">
        <is>
          <t>Non publié</t>
        </is>
      </c>
      <c r="J14" s="6" t="inlineStr"/>
      <c r="K14" s="8" t="inlineStr">
        <is>
          <t>🔗 Voir la source</t>
        </is>
      </c>
    </row>
    <row r="15">
      <c r="A15" s="9" t="n">
        <v>12</v>
      </c>
      <c r="B15" s="10" t="inlineStr">
        <is>
          <t>Professional Foods Industry (PFI, groupe Satoci)</t>
        </is>
      </c>
      <c r="C15" s="11" t="inlineStr">
        <is>
          <t>🥫 Agroalimentaire</t>
        </is>
      </c>
      <c r="D15" s="11" t="inlineStr">
        <is>
          <t>Chocolat et produits finis à base de cacao</t>
        </is>
      </c>
      <c r="E15" s="11" t="inlineStr">
        <is>
          <t>Abidjan, zone industrielle de Yopougon</t>
        </is>
      </c>
      <c r="F15" s="11" t="inlineStr">
        <is>
          <t>Films imprimés pour tablettes et confiseries chocolatées, étiquettes adhésives.</t>
        </is>
      </c>
      <c r="G15" s="11" t="inlineStr">
        <is>
          <t>L'un des deux seuls acteurs à fabriquer du chocolat fini en Côte d'Ivoire, et notre voisin à Yopougon.</t>
        </is>
      </c>
      <c r="H15" s="13" t="inlineStr">
        <is>
          <t>🟠 Moyenne</t>
        </is>
      </c>
      <c r="I15" s="11" t="inlineStr">
        <is>
          <t>+225 27 23 46 78 15</t>
        </is>
      </c>
      <c r="J15" s="11" t="inlineStr"/>
      <c r="K15" s="12" t="inlineStr">
        <is>
          <t>🔗 Voir la source</t>
        </is>
      </c>
    </row>
    <row r="16">
      <c r="A16" s="4" t="n">
        <v>13</v>
      </c>
      <c r="B16" s="5" t="inlineStr">
        <is>
          <t>Cémoi Côte d'Ivoire</t>
        </is>
      </c>
      <c r="C16" s="6" t="inlineStr">
        <is>
          <t>🥫 Agroalimentaire</t>
        </is>
      </c>
      <c r="D16" s="6" t="inlineStr">
        <is>
          <t>Chocolat, pâtes à tartiner, poudres cacaotées</t>
        </is>
      </c>
      <c r="E16" s="6" t="inlineStr">
        <is>
          <t>Abidjan</t>
        </is>
      </c>
      <c r="F16" s="6" t="inlineStr">
        <is>
          <t>Films multicouches imprimés et sachets pour poudres et confiseries chocolatées.</t>
        </is>
      </c>
      <c r="G16" s="6" t="inlineStr">
        <is>
          <t>Usine de chocolat « made in Côte d'Ivoire » depuis 2015 : un emballage aussi produit localement prolonge cette promesse.</t>
        </is>
      </c>
      <c r="H16" s="13" t="inlineStr">
        <is>
          <t>🟠 Moyenne</t>
        </is>
      </c>
      <c r="I16" s="6" t="inlineStr">
        <is>
          <t>Non publié</t>
        </is>
      </c>
      <c r="J16" s="8" t="inlineStr">
        <is>
          <t>https://group.cemoi.fr</t>
        </is>
      </c>
      <c r="K16" s="8" t="inlineStr">
        <is>
          <t>🔗 Voir la source</t>
        </is>
      </c>
    </row>
    <row r="17">
      <c r="A17" s="9" t="n">
        <v>14</v>
      </c>
      <c r="B17" s="10" t="inlineStr">
        <is>
          <t>FOANI &amp; Services</t>
        </is>
      </c>
      <c r="C17" s="11" t="inlineStr">
        <is>
          <t>🥫 Agroalimentaire</t>
        </is>
      </c>
      <c r="D17" s="11" t="inlineStr">
        <is>
          <t>Volailles, découpes, œufs et poussins (depuis 1975)</t>
        </is>
      </c>
      <c r="E17" s="11" t="inlineStr">
        <is>
          <t>Abidjan et fermes en Côte d'Ivoire, 60+ points de vente</t>
        </is>
      </c>
      <c r="F17" s="11" t="inlineStr">
        <is>
          <t>Sachets et films PE alimentaires pour poulets et découpes, sacs pour aliments de volaille.</t>
        </is>
      </c>
      <c r="G17" s="11" t="inlineStr">
        <is>
          <t>Avec plus de 60 points de vente, chaque poulet et chaque découpe passe par un sachet : un film alimentaire local et régulier vous simplifie la tâche.</t>
        </is>
      </c>
      <c r="H17" s="13" t="inlineStr">
        <is>
          <t>🟠 Moyenne</t>
        </is>
      </c>
      <c r="I17" s="11" t="inlineStr">
        <is>
          <t>+225 05 05 96 96 25</t>
        </is>
      </c>
      <c r="J17" s="12" t="inlineStr">
        <is>
          <t>https://foani.ci</t>
        </is>
      </c>
      <c r="K17" s="12" t="inlineStr">
        <is>
          <t>🔗 Voir la source</t>
        </is>
      </c>
    </row>
    <row r="18">
      <c r="A18" s="4" t="n">
        <v>15</v>
      </c>
      <c r="B18" s="5" t="inlineStr">
        <is>
          <t>LafargeHolcim Côte d'Ivoire</t>
        </is>
      </c>
      <c r="C18" s="6" t="inlineStr">
        <is>
          <t>🏗️ Vrac et big bags</t>
        </is>
      </c>
      <c r="D18" s="6" t="inlineStr">
        <is>
          <t>Ciment (marque Ciment Bélier)</t>
        </is>
      </c>
      <c r="E18" s="6" t="inlineStr">
        <is>
          <t>Abidjan, usine boulevard du Port</t>
        </is>
      </c>
      <c r="F18" s="6" t="inlineStr">
        <is>
          <t>Sacs PP tissés pour ciment et big bags pour matières premières.</t>
        </is>
      </c>
      <c r="G18" s="6" t="inlineStr">
        <is>
          <t>Ciment Bélier sort de votre usine du port d'Abidjan : des sacs PP tissés fabriqués à Yopougon, livrés sans passage portuaire.</t>
        </is>
      </c>
      <c r="H18" s="7" t="inlineStr">
        <is>
          <t>🔴 Haute</t>
        </is>
      </c>
      <c r="I18" s="6" t="inlineStr">
        <is>
          <t>+225 27 21 75 51 00
serviceClients-civ@lafargeholcim.com</t>
        </is>
      </c>
      <c r="J18" s="8" t="inlineStr">
        <is>
          <t>https://www.lafargeholcim.ci</t>
        </is>
      </c>
      <c r="K18" s="8" t="inlineStr">
        <is>
          <t>🔗 Voir la source</t>
        </is>
      </c>
    </row>
    <row r="19">
      <c r="A19" s="9" t="n">
        <v>16</v>
      </c>
      <c r="B19" s="10" t="inlineStr">
        <is>
          <t>CIMAF Côte d'Ivoire (Ciments de l'Afrique)</t>
        </is>
      </c>
      <c r="C19" s="11" t="inlineStr">
        <is>
          <t>🏗️ Vrac et big bags</t>
        </is>
      </c>
      <c r="D19" s="11" t="inlineStr">
        <is>
          <t>Ciment</t>
        </is>
      </c>
      <c r="E19" s="11" t="inlineStr">
        <is>
          <t>Abidjan, zone industrielle de Yopougon</t>
        </is>
      </c>
      <c r="F19" s="11" t="inlineStr">
        <is>
          <t>Sacs PP tissés imprimés pour ciment et big bags pour le vrac.</t>
        </is>
      </c>
      <c r="G19" s="11" t="inlineStr">
        <is>
          <t>Votre usine est dans la zone industrielle de Yopougon, comme la nôtre : des sacs ciment livrés en quelques heures.</t>
        </is>
      </c>
      <c r="H19" s="7" t="inlineStr">
        <is>
          <t>🔴 Haute</t>
        </is>
      </c>
      <c r="I19" s="11" t="inlineStr">
        <is>
          <t>+225 27 23 53 00 61</t>
        </is>
      </c>
      <c r="J19" s="12" t="inlineStr">
        <is>
          <t>https://www.cimentsafrique.com/fr/implantations/cote-divoire</t>
        </is>
      </c>
      <c r="K19" s="12" t="inlineStr">
        <is>
          <t>🔗 Voir la source</t>
        </is>
      </c>
    </row>
    <row r="20">
      <c r="A20" s="4" t="n">
        <v>17</v>
      </c>
      <c r="B20" s="5" t="inlineStr">
        <is>
          <t>Solevo Côte d'Ivoire (ex-STEPC)</t>
        </is>
      </c>
      <c r="C20" s="6" t="inlineStr">
        <is>
          <t>🏗️ Vrac et big bags</t>
        </is>
      </c>
      <c r="D20" s="6" t="inlineStr">
        <is>
          <t>Engrais et nutrition des cultures</t>
        </is>
      </c>
      <c r="E20" s="6" t="inlineStr">
        <is>
          <t>Abidjan</t>
        </is>
      </c>
      <c r="F20" s="6" t="inlineStr">
        <is>
          <t>Sacs PP tissés avec liner pour engrais et big bags de 500 à 2 000 kg.</t>
        </is>
      </c>
      <c r="G20" s="6" t="inlineStr">
        <is>
          <t>Présents en Côte d'Ivoire depuis 1948 avec la STEPC : vos engrais méritent des sacs tissés et big bags résistants, produits sur place.</t>
        </is>
      </c>
      <c r="H20" s="7" t="inlineStr">
        <is>
          <t>🔴 Haute</t>
        </is>
      </c>
      <c r="I20" s="6" t="inlineStr">
        <is>
          <t>Non publié</t>
        </is>
      </c>
      <c r="J20" s="8" t="inlineStr">
        <is>
          <t>https://solevogroup.com</t>
        </is>
      </c>
      <c r="K20" s="8" t="inlineStr">
        <is>
          <t>🔗 Voir la source</t>
        </is>
      </c>
    </row>
    <row r="21">
      <c r="A21" s="9" t="n">
        <v>18</v>
      </c>
      <c r="B21" s="10" t="inlineStr">
        <is>
          <t>Cargill Côte d'Ivoire</t>
        </is>
      </c>
      <c r="C21" s="11" t="inlineStr">
        <is>
          <t>🏗️ Vrac et big bags</t>
        </is>
      </c>
      <c r="D21" s="11" t="inlineStr">
        <is>
          <t>Achat et transformation de fèves de cacao (produits à base de cacao)</t>
        </is>
      </c>
      <c r="E21" s="11" t="inlineStr">
        <is>
          <t>Abidjan, San Pedro et Daloa</t>
        </is>
      </c>
      <c r="F21" s="11" t="inlineStr">
        <is>
          <t>Big bags et liner bags pour fèves et produits cacao, sacs PP tissés.</t>
        </is>
      </c>
      <c r="G21" s="11" t="inlineStr">
        <is>
          <t>Présent depuis 1997 sur trois sites (Abidjan, Daloa, San Pedro) avec une usine de transformation : des big bags et liners locaux sécurisent vos flux.</t>
        </is>
      </c>
      <c r="H21" s="13" t="inlineStr">
        <is>
          <t>🟠 Moyenne</t>
        </is>
      </c>
      <c r="I21" s="11" t="inlineStr">
        <is>
          <t>Non publié</t>
        </is>
      </c>
      <c r="J21" s="12" t="inlineStr">
        <is>
          <t>https://www.cargill.com/worldwide/cote-d-ivoire-fr</t>
        </is>
      </c>
      <c r="K21" s="12" t="inlineStr">
        <is>
          <t>🔗 Voir la source</t>
        </is>
      </c>
    </row>
    <row r="22">
      <c r="A22" s="4" t="n">
        <v>19</v>
      </c>
      <c r="B22" s="5" t="inlineStr">
        <is>
          <t>Barry Callebaut – SACO (Société Africaine de Cacao)</t>
        </is>
      </c>
      <c r="C22" s="6" t="inlineStr">
        <is>
          <t>🏗️ Vrac et big bags</t>
        </is>
      </c>
      <c r="D22" s="6" t="inlineStr">
        <is>
          <t>Transformation de cacao (masse, beurre, poudre)</t>
        </is>
      </c>
      <c r="E22" s="6" t="inlineStr">
        <is>
          <t>Abidjan, Zone 4C</t>
        </is>
      </c>
      <c r="F22" s="6" t="inlineStr">
        <is>
          <t>Big bags et liner bags pour poudre et produits cacao, sacs PP tissés.</t>
        </is>
      </c>
      <c r="G22" s="6" t="inlineStr">
        <is>
          <t>Votre unité de broyage de Zone 4C, inaugurée en mars 2019, tourne à plein : des big bags et liners fabriqués à Abidjan.</t>
        </is>
      </c>
      <c r="H22" s="13" t="inlineStr">
        <is>
          <t>🟠 Moyenne</t>
        </is>
      </c>
      <c r="I22" s="6" t="inlineStr">
        <is>
          <t>Non publié</t>
        </is>
      </c>
      <c r="J22" s="8" t="inlineStr">
        <is>
          <t>https://www.barry-callebaut.com</t>
        </is>
      </c>
      <c r="K22" s="8" t="inlineStr">
        <is>
          <t>🔗 Voir la source</t>
        </is>
      </c>
    </row>
    <row r="23">
      <c r="A23" s="9" t="n">
        <v>20</v>
      </c>
      <c r="B23" s="10" t="inlineStr">
        <is>
          <t>ofi (Olam Food Ingredients) – usine d'anacarde d'Anyama</t>
        </is>
      </c>
      <c r="C23" s="11" t="inlineStr">
        <is>
          <t>🏗️ Vrac et big bags</t>
        </is>
      </c>
      <c r="D23" s="11" t="inlineStr">
        <is>
          <t>Transformation et conditionnement de noix de cajou (50 t/jour)</t>
        </is>
      </c>
      <c r="E23" s="11" t="inlineStr">
        <is>
          <t>Anyama (Abidjan)</t>
        </is>
      </c>
      <c r="F23" s="11" t="inlineStr">
        <is>
          <t>Big bags et sacs PP tissés pour noix brutes, liners et films barrière pour amandes conditionnées.</t>
        </is>
      </c>
      <c r="G23" s="11" t="inlineStr">
        <is>
          <t>Votre usine d'Anyama traite 50 tonnes de cajou par jour : du sac de noix brutes au sachet d'amandes, un seul fournisseur local.</t>
        </is>
      </c>
      <c r="H23" s="13" t="inlineStr">
        <is>
          <t>🟠 Moyenne</t>
        </is>
      </c>
      <c r="I23" s="11" t="inlineStr">
        <is>
          <t>Non publié</t>
        </is>
      </c>
      <c r="J23" s="11" t="inlineStr"/>
      <c r="K23" s="12" t="inlineStr">
        <is>
          <t>🔗 Voir la source</t>
        </is>
      </c>
    </row>
    <row r="24">
      <c r="A24" s="4" t="n">
        <v>21</v>
      </c>
      <c r="B24" s="5" t="inlineStr">
        <is>
          <t>SOLIBRA (groupe Castel)</t>
        </is>
      </c>
      <c r="C24" s="6" t="inlineStr">
        <is>
          <t>🥤 Boissons et eau</t>
        </is>
      </c>
      <c r="D24" s="6" t="inlineStr">
        <is>
          <t>Bières, boissons gazeuses et rafraîchissantes</t>
        </is>
      </c>
      <c r="E24" s="6" t="inlineStr">
        <is>
          <t>Abidjan, Treichville (35 rue des Brasseurs)</t>
        </is>
      </c>
      <c r="F24" s="6" t="inlineStr">
        <is>
          <t>Manchons rétractables, étiquettes adhésives et films de fardelage.</t>
        </is>
      </c>
      <c r="G24" s="6" t="inlineStr">
        <is>
          <t>Avec un large portefeuille de bières et sodas et des habillages promotionnels fréquents, des manchons imprimés à Abidjan suivent votre rythme.</t>
        </is>
      </c>
      <c r="H24" s="7" t="inlineStr">
        <is>
          <t>🔴 Haute</t>
        </is>
      </c>
      <c r="I24" s="6" t="inlineStr">
        <is>
          <t>+225 27 21 21 12 00
serviceconsommateur@castel-afrique.com</t>
        </is>
      </c>
      <c r="J24" s="8" t="inlineStr">
        <is>
          <t>https://www.solibra.ci</t>
        </is>
      </c>
      <c r="K24" s="8" t="inlineStr">
        <is>
          <t>🔗 Voir la source</t>
        </is>
      </c>
    </row>
    <row r="25">
      <c r="A25" s="9" t="n">
        <v>22</v>
      </c>
      <c r="B25" s="10" t="inlineStr">
        <is>
          <t>Brassivoire (Heineken–CFAO)</t>
        </is>
      </c>
      <c r="C25" s="11" t="inlineStr">
        <is>
          <t>🥤 Boissons et eau</t>
        </is>
      </c>
      <c r="D25" s="11" t="inlineStr">
        <is>
          <t>Bières (Ivoire) et boissons non alcoolisées</t>
        </is>
      </c>
      <c r="E25" s="11" t="inlineStr">
        <is>
          <t>Abidjan, PK 24 zone industrielle nord</t>
        </is>
      </c>
      <c r="F25" s="11" t="inlineStr">
        <is>
          <t>Étiquettes adhésives, manchons rétractables et films de fardelage.</t>
        </is>
      </c>
      <c r="G25" s="11" t="inlineStr">
        <is>
          <t>Votre usine de PK 24 brasse la bière Ivoire depuis 2016 : des étiquettes et manchons produits à quelques kilomètres.</t>
        </is>
      </c>
      <c r="H25" s="7" t="inlineStr">
        <is>
          <t>🔴 Haute</t>
        </is>
      </c>
      <c r="I25" s="11" t="inlineStr">
        <is>
          <t>+225 25 23 00 30 40
contact@brassivoire.ci</t>
        </is>
      </c>
      <c r="J25" s="12" t="inlineStr">
        <is>
          <t>https://brassivoire.ci</t>
        </is>
      </c>
      <c r="K25" s="12" t="inlineStr">
        <is>
          <t>🔗 Voir la source</t>
        </is>
      </c>
    </row>
    <row r="26">
      <c r="A26" s="4" t="n">
        <v>23</v>
      </c>
      <c r="B26" s="5" t="inlineStr">
        <is>
          <t>AGROCI (groupe Kirène)</t>
        </is>
      </c>
      <c r="C26" s="6" t="inlineStr">
        <is>
          <t>🥤 Boissons et eau</t>
        </is>
      </c>
      <c r="D26" s="6" t="inlineStr">
        <is>
          <t>Eau minérale Kirène, jus Présséa, Fresh, Pepsi (embouteilleur)</t>
        </is>
      </c>
      <c r="E26" s="6" t="inlineStr">
        <is>
          <t>Côte d'Ivoire (usine), siège Marcory Abidjan</t>
        </is>
      </c>
      <c r="F26" s="6" t="inlineStr">
        <is>
          <t>Manchons rétractables et étiquettes pour bouteilles, films de fardelage pour packs d'eau.</t>
        </is>
      </c>
      <c r="G26" s="6" t="inlineStr">
        <is>
          <t>Avec 250 millions de litres de capacité par an, chaque bouteille Kirène ou Présséa a besoin d'une étiquette et chaque pack d'un film.</t>
        </is>
      </c>
      <c r="H26" s="7" t="inlineStr">
        <is>
          <t>🔴 Haute</t>
        </is>
      </c>
      <c r="I26" s="6" t="inlineStr">
        <is>
          <t>+225 27 21 26 65 08
info@agroci.net</t>
        </is>
      </c>
      <c r="J26" s="8" t="inlineStr">
        <is>
          <t>https://www.agroci.ci</t>
        </is>
      </c>
      <c r="K26" s="8" t="inlineStr">
        <is>
          <t>🔗 Voir la source</t>
        </is>
      </c>
    </row>
    <row r="27">
      <c r="A27" s="9" t="n">
        <v>24</v>
      </c>
      <c r="B27" s="10" t="inlineStr">
        <is>
          <t>Groupe Carré d'Or / SDTM-CI</t>
        </is>
      </c>
      <c r="C27" s="11" t="inlineStr">
        <is>
          <t>🥤 Boissons et eau</t>
        </is>
      </c>
      <c r="D27" s="11" t="inlineStr">
        <is>
          <t>Eaux minérales (dont Awa, rachetée à Castel), boisson Jet 7X, riz, pâtes, produits d'entretien Get ; projet d'usine d'embouteillage Coca-Cola</t>
        </is>
      </c>
      <c r="E27" s="11" t="inlineStr">
        <is>
          <t>Abidjan</t>
        </is>
      </c>
      <c r="F27" s="11" t="inlineStr">
        <is>
          <t>Étiquettes et manchons pour eaux et Jet 7X, films de fardelage, sachets riz et pâtes.</t>
        </is>
      </c>
      <c r="G27" s="11" t="inlineStr">
        <is>
          <t>La reprise de l'activité eaux de Castel (dont Awa) et le projet d'usine Coca-Cola à Abidjan multiplient vos besoins d'étiquettes et de films de fardelage.</t>
        </is>
      </c>
      <c r="H27" s="7" t="inlineStr">
        <is>
          <t>🔴 Haute</t>
        </is>
      </c>
      <c r="I27" s="11" t="inlineStr">
        <is>
          <t>Non publié</t>
        </is>
      </c>
      <c r="J27" s="12" t="inlineStr">
        <is>
          <t>https://www.carredor.org</t>
        </is>
      </c>
      <c r="K27" s="12" t="inlineStr">
        <is>
          <t>🔗 Voir la source</t>
        </is>
      </c>
    </row>
    <row r="28">
      <c r="A28" s="4" t="n">
        <v>25</v>
      </c>
      <c r="B28" s="5" t="inlineStr">
        <is>
          <t>STGCI</t>
        </is>
      </c>
      <c r="C28" s="6" t="inlineStr">
        <is>
          <t>🥤 Boissons et eau</t>
        </is>
      </c>
      <c r="D28" s="6" t="inlineStr">
        <is>
          <t>Eau et boissons énergisantes (Baltic)</t>
        </is>
      </c>
      <c r="E28" s="6" t="inlineStr">
        <is>
          <t>Bonoua, zone industrielle</t>
        </is>
      </c>
      <c r="F28" s="6" t="inlineStr">
        <is>
          <t>Étiquettes adhésives, manchons rétractables et films de fardelage.</t>
        </is>
      </c>
      <c r="G28" s="6" t="inlineStr">
        <is>
          <t>Producteur d'eau et de boisson énergisante à Bonoua : un fournisseur d'étiquettes et de manchons à une heure de route.</t>
        </is>
      </c>
      <c r="H28" s="14" t="inlineStr">
        <is>
          <t>⚪ Basse</t>
        </is>
      </c>
      <c r="I28" s="6" t="inlineStr">
        <is>
          <t>+225 05 04 99 27 61</t>
        </is>
      </c>
      <c r="J28" s="6" t="inlineStr"/>
      <c r="K28" s="8" t="inlineStr">
        <is>
          <t>🔗 Voir la source</t>
        </is>
      </c>
    </row>
    <row r="29">
      <c r="A29" s="9" t="n">
        <v>26</v>
      </c>
      <c r="B29" s="10" t="inlineStr">
        <is>
          <t>SIVOP (Société Ivoirienne de Parfumerie)</t>
        </is>
      </c>
      <c r="C29" s="11" t="inlineStr">
        <is>
          <t>🧴 Hygiène, cosmétique, chimie</t>
        </is>
      </c>
      <c r="D29" s="11" t="inlineStr">
        <is>
          <t>Savons, cosmétiques et parfums (depuis 1985)</t>
        </is>
      </c>
      <c r="E29" s="11" t="inlineStr">
        <is>
          <t>Abidjan, zone industrielle de Yopougon</t>
        </is>
      </c>
      <c r="F29" s="11" t="inlineStr">
        <is>
          <t>Films et sachets imprimés pour savons, étiquettes adhésives pour flacons.</t>
        </is>
      </c>
      <c r="G29" s="11" t="inlineStr">
        <is>
          <t>Votre usine de Yopougon sert toute l'Afrique de l'Ouest : des étiquettes et films produits dans la même zone industrielle.</t>
        </is>
      </c>
      <c r="H29" s="7" t="inlineStr">
        <is>
          <t>🔴 Haute</t>
        </is>
      </c>
      <c r="I29" s="11" t="inlineStr">
        <is>
          <t>Non publié</t>
        </is>
      </c>
      <c r="J29" s="12" t="inlineStr">
        <is>
          <t>https://sivop.com</t>
        </is>
      </c>
      <c r="K29" s="12" t="inlineStr">
        <is>
          <t>🔗 Voir la source</t>
        </is>
      </c>
    </row>
    <row r="30">
      <c r="A30" s="4" t="n">
        <v>27</v>
      </c>
      <c r="B30" s="5" t="inlineStr">
        <is>
          <t>SIAVOM-CI</t>
        </is>
      </c>
      <c r="C30" s="6" t="inlineStr">
        <is>
          <t>🧴 Hygiène, cosmétique, chimie</t>
        </is>
      </c>
      <c r="D30" s="6" t="inlineStr">
        <is>
          <t>Savons et poudres détergentes (Mix, Prime, sachets 12 g à 900 g)</t>
        </is>
      </c>
      <c r="E30" s="6" t="inlineStr">
        <is>
          <t>Abidjan, PK 24 zone industrielle de Yopougon</t>
        </is>
      </c>
      <c r="F30" s="6" t="inlineStr">
        <is>
          <t>Films imprimés pour sachets de lessive (12 g à 900 g).</t>
        </is>
      </c>
      <c r="G30" s="6" t="inlineStr">
        <is>
          <t>La poudre Mix existe en sachets de 15 g à 900 g : autant de formats de films imprimés que nous pouvons produire à Yopougon.</t>
        </is>
      </c>
      <c r="H30" s="7" t="inlineStr">
        <is>
          <t>🔴 Haute</t>
        </is>
      </c>
      <c r="I30" s="6" t="inlineStr">
        <is>
          <t>+225 05 00 51 15 15
info@siavomci.com</t>
        </is>
      </c>
      <c r="J30" s="8" t="inlineStr">
        <is>
          <t>https://siavom.ci</t>
        </is>
      </c>
      <c r="K30" s="8" t="inlineStr">
        <is>
          <t>🔗 Voir la source</t>
        </is>
      </c>
    </row>
    <row r="31">
      <c r="A31" s="9" t="n">
        <v>28</v>
      </c>
      <c r="B31" s="10" t="inlineStr">
        <is>
          <t>SIPROCHIM</t>
        </is>
      </c>
      <c r="C31" s="11" t="inlineStr">
        <is>
          <t>🧴 Hygiène, cosmétique, chimie</t>
        </is>
      </c>
      <c r="D31" s="11" t="inlineStr">
        <is>
          <t>Détergents, poudres à laver, produits d'entretien ; aussi bouillons, condiments, jus</t>
        </is>
      </c>
      <c r="E31" s="11" t="inlineStr">
        <is>
          <t>Abidjan, zone industrielle de Yopougon</t>
        </is>
      </c>
      <c r="F31" s="11" t="inlineStr">
        <is>
          <t>Films imprimés pour sachets de lessive et de condiments, étiquettes.</t>
        </is>
      </c>
      <c r="G31" s="11" t="inlineStr">
        <is>
          <t>Deux usines à Yopougon et plus de 11 marques : un seul fournisseur voisin pour vos films détergents comme alimentaires.</t>
        </is>
      </c>
      <c r="H31" s="7" t="inlineStr">
        <is>
          <t>🔴 Haute</t>
        </is>
      </c>
      <c r="I31" s="11" t="inlineStr">
        <is>
          <t>Non publié</t>
        </is>
      </c>
      <c r="J31" s="12" t="inlineStr">
        <is>
          <t>https://siprochim.com</t>
        </is>
      </c>
      <c r="K31" s="12" t="inlineStr">
        <is>
          <t>🔗 Voir la source</t>
        </is>
      </c>
    </row>
    <row r="32">
      <c r="A32" s="4" t="n">
        <v>29</v>
      </c>
      <c r="B32" s="5" t="inlineStr">
        <is>
          <t>Unilever Côte d'Ivoire</t>
        </is>
      </c>
      <c r="C32" s="6" t="inlineStr">
        <is>
          <t>🧴 Hygiène, cosmétique, chimie</t>
        </is>
      </c>
      <c r="D32" s="6" t="inlineStr">
        <is>
          <t>Savons et produits d'hygiène et d'entretien</t>
        </is>
      </c>
      <c r="E32" s="6" t="inlineStr">
        <is>
          <t>Abidjan</t>
        </is>
      </c>
      <c r="F32" s="6" t="inlineStr">
        <is>
          <t>Films et sachets imprimés pour savons et produits d'entretien, étiquettes.</t>
        </is>
      </c>
      <c r="G32" s="6" t="inlineStr">
        <is>
          <t>Le changement d'actionnaire validé fin 2025 est le bon moment pour revoir vos fournisseurs d'emballages.</t>
        </is>
      </c>
      <c r="H32" s="13" t="inlineStr">
        <is>
          <t>🟠 Moyenne</t>
        </is>
      </c>
      <c r="I32" s="6" t="inlineStr">
        <is>
          <t>Non publié</t>
        </is>
      </c>
      <c r="J32" s="6" t="inlineStr"/>
      <c r="K32" s="8" t="inlineStr">
        <is>
          <t>🔗 Voir la source</t>
        </is>
      </c>
    </row>
    <row r="33">
      <c r="A33" s="9" t="n">
        <v>30</v>
      </c>
      <c r="B33" s="10" t="inlineStr">
        <is>
          <t>Callivoire (groupe UPL)</t>
        </is>
      </c>
      <c r="C33" s="11" t="inlineStr">
        <is>
          <t>🧴 Hygiène, cosmétique, chimie</t>
        </is>
      </c>
      <c r="D33" s="11" t="inlineStr">
        <is>
          <t>Produits phytosanitaires et engrais foliaires (formulation, reconditionnement)</t>
        </is>
      </c>
      <c r="E33" s="11" t="inlineStr">
        <is>
          <t>Abidjan, PK 24 zone industrielle nord</t>
        </is>
      </c>
      <c r="F33" s="11" t="inlineStr">
        <is>
          <t>Sacs et films PE pour produits reconditionnés, étiquettes adhésives résistantes aux produits chimiques.</t>
        </is>
      </c>
      <c r="G33" s="11" t="inlineStr">
        <is>
          <t>Votre site de PK 24 reconditionne herbicides, fongicides et engrais foliaires : des étiquettes et sacs adaptés, fabriqués à Abidjan.</t>
        </is>
      </c>
      <c r="H33" s="13" t="inlineStr">
        <is>
          <t>🟠 Moyenne</t>
        </is>
      </c>
      <c r="I33" s="11" t="inlineStr">
        <is>
          <t>contact.callivoire@upl-ltd.com</t>
        </is>
      </c>
      <c r="J33" s="12" t="inlineStr">
        <is>
          <t>https://www.uplcorp.com/ci/callivoire</t>
        </is>
      </c>
      <c r="K33" s="12" t="inlineStr">
        <is>
          <t>🔗 Voir la source</t>
        </is>
      </c>
    </row>
    <row r="36">
      <c r="B36" s="15" t="inlineStr">
        <is>
          <t>📊 Répartition</t>
        </is>
      </c>
    </row>
    <row r="37" ht="30" customHeight="1">
      <c r="A37" s="3" t="inlineStr"/>
      <c r="B37" s="3" t="inlineStr">
        <is>
          <t>Famille</t>
        </is>
      </c>
      <c r="C37" s="3" t="inlineStr">
        <is>
          <t>Total</t>
        </is>
      </c>
      <c r="D37" s="3" t="inlineStr">
        <is>
          <t>🔴 Haute</t>
        </is>
      </c>
      <c r="E37" s="3" t="inlineStr">
        <is>
          <t>🟠 Moyenne</t>
        </is>
      </c>
      <c r="F37" s="3" t="inlineStr">
        <is>
          <t>⚪ Basse</t>
        </is>
      </c>
    </row>
    <row r="38">
      <c r="B38" s="16" t="inlineStr">
        <is>
          <t>🥫 Agroalimentaire</t>
        </is>
      </c>
      <c r="C38" s="17">
        <f>COUNTIF($C$4:$C$33,B38)</f>
        <v/>
      </c>
      <c r="D38" s="17">
        <f>COUNTIFS($C$4:$C$33,B38,$H$4:$H$33,"🔴 Haute")</f>
        <v/>
      </c>
      <c r="E38" s="17">
        <f>COUNTIFS($C$4:$C$33,B38,$H$4:$H$33,"🟠 Moyenne")</f>
        <v/>
      </c>
      <c r="F38" s="17">
        <f>COUNTIFS($C$4:$C$33,B38,$H$4:$H$33,"⚪ Basse")</f>
        <v/>
      </c>
    </row>
    <row r="39">
      <c r="B39" s="16" t="inlineStr">
        <is>
          <t>🏗️ Vrac et big bags</t>
        </is>
      </c>
      <c r="C39" s="17">
        <f>COUNTIF($C$4:$C$33,B39)</f>
        <v/>
      </c>
      <c r="D39" s="17">
        <f>COUNTIFS($C$4:$C$33,B39,$H$4:$H$33,"🔴 Haute")</f>
        <v/>
      </c>
      <c r="E39" s="17">
        <f>COUNTIFS($C$4:$C$33,B39,$H$4:$H$33,"🟠 Moyenne")</f>
        <v/>
      </c>
      <c r="F39" s="17">
        <f>COUNTIFS($C$4:$C$33,B39,$H$4:$H$33,"⚪ Basse")</f>
        <v/>
      </c>
    </row>
    <row r="40">
      <c r="B40" s="16" t="inlineStr">
        <is>
          <t>🥤 Boissons et eau</t>
        </is>
      </c>
      <c r="C40" s="17">
        <f>COUNTIF($C$4:$C$33,B40)</f>
        <v/>
      </c>
      <c r="D40" s="17">
        <f>COUNTIFS($C$4:$C$33,B40,$H$4:$H$33,"🔴 Haute")</f>
        <v/>
      </c>
      <c r="E40" s="17">
        <f>COUNTIFS($C$4:$C$33,B40,$H$4:$H$33,"🟠 Moyenne")</f>
        <v/>
      </c>
      <c r="F40" s="17">
        <f>COUNTIFS($C$4:$C$33,B40,$H$4:$H$33,"⚪ Basse")</f>
        <v/>
      </c>
    </row>
    <row r="41">
      <c r="B41" s="16" t="inlineStr">
        <is>
          <t>🧴 Hygiène, cosmétique, chimie</t>
        </is>
      </c>
      <c r="C41" s="17">
        <f>COUNTIF($C$4:$C$33,B41)</f>
        <v/>
      </c>
      <c r="D41" s="17">
        <f>COUNTIFS($C$4:$C$33,B41,$H$4:$H$33,"🔴 Haute")</f>
        <v/>
      </c>
      <c r="E41" s="17">
        <f>COUNTIFS($C$4:$C$33,B41,$H$4:$H$33,"🟠 Moyenne")</f>
        <v/>
      </c>
      <c r="F41" s="17">
        <f>COUNTIFS($C$4:$C$33,B41,$H$4:$H$33,"⚪ Basse")</f>
        <v/>
      </c>
    </row>
  </sheetData>
  <autoFilter ref="A3:K33"/>
  <mergeCells count="2">
    <mergeCell ref="A2:K2"/>
    <mergeCell ref="C1:K1"/>
  </mergeCells>
  <hyperlinks>
    <hyperlink xmlns:r="http://schemas.openxmlformats.org/officeDocument/2006/relationships" ref="K4" r:id="rId1"/>
    <hyperlink xmlns:r="http://schemas.openxmlformats.org/officeDocument/2006/relationships" ref="J5" r:id="rId2"/>
    <hyperlink xmlns:r="http://schemas.openxmlformats.org/officeDocument/2006/relationships" ref="K5" r:id="rId3"/>
    <hyperlink xmlns:r="http://schemas.openxmlformats.org/officeDocument/2006/relationships" ref="J6" r:id="rId4"/>
    <hyperlink xmlns:r="http://schemas.openxmlformats.org/officeDocument/2006/relationships" ref="K6" r:id="rId5"/>
    <hyperlink xmlns:r="http://schemas.openxmlformats.org/officeDocument/2006/relationships" ref="J7" r:id="rId6"/>
    <hyperlink xmlns:r="http://schemas.openxmlformats.org/officeDocument/2006/relationships" ref="K7" r:id="rId7"/>
    <hyperlink xmlns:r="http://schemas.openxmlformats.org/officeDocument/2006/relationships" ref="K8" r:id="rId8"/>
    <hyperlink xmlns:r="http://schemas.openxmlformats.org/officeDocument/2006/relationships" ref="J9" r:id="rId9"/>
    <hyperlink xmlns:r="http://schemas.openxmlformats.org/officeDocument/2006/relationships" ref="K9" r:id="rId10"/>
    <hyperlink xmlns:r="http://schemas.openxmlformats.org/officeDocument/2006/relationships" ref="J10" r:id="rId11"/>
    <hyperlink xmlns:r="http://schemas.openxmlformats.org/officeDocument/2006/relationships" ref="K10" r:id="rId12"/>
    <hyperlink xmlns:r="http://schemas.openxmlformats.org/officeDocument/2006/relationships" ref="J11" r:id="rId13"/>
    <hyperlink xmlns:r="http://schemas.openxmlformats.org/officeDocument/2006/relationships" ref="K11" r:id="rId14"/>
    <hyperlink xmlns:r="http://schemas.openxmlformats.org/officeDocument/2006/relationships" ref="J12" r:id="rId15"/>
    <hyperlink xmlns:r="http://schemas.openxmlformats.org/officeDocument/2006/relationships" ref="K12" r:id="rId16"/>
    <hyperlink xmlns:r="http://schemas.openxmlformats.org/officeDocument/2006/relationships" ref="K13" r:id="rId17"/>
    <hyperlink xmlns:r="http://schemas.openxmlformats.org/officeDocument/2006/relationships" ref="K14" r:id="rId18"/>
    <hyperlink xmlns:r="http://schemas.openxmlformats.org/officeDocument/2006/relationships" ref="K15" r:id="rId19"/>
    <hyperlink xmlns:r="http://schemas.openxmlformats.org/officeDocument/2006/relationships" ref="J16" r:id="rId20"/>
    <hyperlink xmlns:r="http://schemas.openxmlformats.org/officeDocument/2006/relationships" ref="K16" r:id="rId21"/>
    <hyperlink xmlns:r="http://schemas.openxmlformats.org/officeDocument/2006/relationships" ref="J17" r:id="rId22"/>
    <hyperlink xmlns:r="http://schemas.openxmlformats.org/officeDocument/2006/relationships" ref="K17" r:id="rId23"/>
    <hyperlink xmlns:r="http://schemas.openxmlformats.org/officeDocument/2006/relationships" ref="J18" r:id="rId24"/>
    <hyperlink xmlns:r="http://schemas.openxmlformats.org/officeDocument/2006/relationships" ref="K18" r:id="rId25"/>
    <hyperlink xmlns:r="http://schemas.openxmlformats.org/officeDocument/2006/relationships" ref="J19" r:id="rId26"/>
    <hyperlink xmlns:r="http://schemas.openxmlformats.org/officeDocument/2006/relationships" ref="K19" r:id="rId27"/>
    <hyperlink xmlns:r="http://schemas.openxmlformats.org/officeDocument/2006/relationships" ref="J20" r:id="rId28"/>
    <hyperlink xmlns:r="http://schemas.openxmlformats.org/officeDocument/2006/relationships" ref="K20" r:id="rId29"/>
    <hyperlink xmlns:r="http://schemas.openxmlformats.org/officeDocument/2006/relationships" ref="J21" r:id="rId30"/>
    <hyperlink xmlns:r="http://schemas.openxmlformats.org/officeDocument/2006/relationships" ref="K21" r:id="rId31"/>
    <hyperlink xmlns:r="http://schemas.openxmlformats.org/officeDocument/2006/relationships" ref="J22" r:id="rId32"/>
    <hyperlink xmlns:r="http://schemas.openxmlformats.org/officeDocument/2006/relationships" ref="K22" r:id="rId33"/>
    <hyperlink xmlns:r="http://schemas.openxmlformats.org/officeDocument/2006/relationships" ref="K23" r:id="rId34"/>
    <hyperlink xmlns:r="http://schemas.openxmlformats.org/officeDocument/2006/relationships" ref="J24" r:id="rId35"/>
    <hyperlink xmlns:r="http://schemas.openxmlformats.org/officeDocument/2006/relationships" ref="K24" r:id="rId36"/>
    <hyperlink xmlns:r="http://schemas.openxmlformats.org/officeDocument/2006/relationships" ref="J25" r:id="rId37"/>
    <hyperlink xmlns:r="http://schemas.openxmlformats.org/officeDocument/2006/relationships" ref="K25" r:id="rId38"/>
    <hyperlink xmlns:r="http://schemas.openxmlformats.org/officeDocument/2006/relationships" ref="J26" r:id="rId39"/>
    <hyperlink xmlns:r="http://schemas.openxmlformats.org/officeDocument/2006/relationships" ref="K26" r:id="rId40"/>
    <hyperlink xmlns:r="http://schemas.openxmlformats.org/officeDocument/2006/relationships" ref="J27" r:id="rId41"/>
    <hyperlink xmlns:r="http://schemas.openxmlformats.org/officeDocument/2006/relationships" ref="K27" r:id="rId42"/>
    <hyperlink xmlns:r="http://schemas.openxmlformats.org/officeDocument/2006/relationships" ref="K28" r:id="rId43"/>
    <hyperlink xmlns:r="http://schemas.openxmlformats.org/officeDocument/2006/relationships" ref="J29" r:id="rId44"/>
    <hyperlink xmlns:r="http://schemas.openxmlformats.org/officeDocument/2006/relationships" ref="K29" r:id="rId45"/>
    <hyperlink xmlns:r="http://schemas.openxmlformats.org/officeDocument/2006/relationships" ref="J30" r:id="rId46"/>
    <hyperlink xmlns:r="http://schemas.openxmlformats.org/officeDocument/2006/relationships" ref="K30" r:id="rId47"/>
    <hyperlink xmlns:r="http://schemas.openxmlformats.org/officeDocument/2006/relationships" ref="J31" r:id="rId48"/>
    <hyperlink xmlns:r="http://schemas.openxmlformats.org/officeDocument/2006/relationships" ref="K31" r:id="rId49"/>
    <hyperlink xmlns:r="http://schemas.openxmlformats.org/officeDocument/2006/relationships" ref="K32" r:id="rId50"/>
    <hyperlink xmlns:r="http://schemas.openxmlformats.org/officeDocument/2006/relationships" ref="J33" r:id="rId51"/>
    <hyperlink xmlns:r="http://schemas.openxmlformats.org/officeDocument/2006/relationships" ref="K33" r:id="rId52"/>
  </hyperlinks>
  <pageMargins left="0.75" right="0.75" top="1" bottom="1" header="0.5" footer="0.5"/>
  <drawing xmlns:r="http://schemas.openxmlformats.org/officeDocument/2006/relationships" r:id="rId53"/>
</worksheet>
</file>

<file path=xl/worksheets/sheet2.xml><?xml version="1.0" encoding="utf-8"?>
<worksheet xmlns="http://schemas.openxmlformats.org/spreadsheetml/2006/main">
  <sheetPr>
    <outlinePr summaryBelow="1" summaryRight="1"/>
    <pageSetUpPr/>
  </sheetPr>
  <dimension ref="A1:M55"/>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5" customWidth="1" min="1" max="1"/>
    <col width="30" customWidth="1" min="2" max="2"/>
    <col width="22" customWidth="1" min="3" max="3"/>
    <col width="18" customWidth="1" min="4" max="4"/>
    <col width="14" customWidth="1" min="5" max="5"/>
    <col width="13" customWidth="1" min="6" max="6"/>
    <col width="24" customWidth="1" min="7" max="7"/>
    <col width="13" customWidth="1" min="8" max="8"/>
    <col width="16" customWidth="1" min="9" max="9"/>
    <col width="11" customWidth="1" min="10" max="10"/>
    <col width="16" customWidth="1" min="11" max="11"/>
    <col width="13" customWidth="1" min="12" max="12"/>
    <col width="30" customWidth="1" min="13" max="13"/>
  </cols>
  <sheetData>
    <row r="1" ht="52" customHeight="1">
      <c r="C1" s="1" t="inlineStr">
        <is>
          <t>📈 Suivi des affaires</t>
        </is>
      </c>
    </row>
    <row r="2" ht="30" customHeight="1">
      <c r="A2" s="2" t="inlineStr">
        <is>
          <t>Une ligne par affaire. Étape et probabilité en liste déroulante ; montant pondéré et alerte de retard calculés. Les montants restent vides tant qu'aucun devis n'est validé.</t>
        </is>
      </c>
    </row>
    <row r="3" ht="30" customHeight="1">
      <c r="A3" s="3" t="inlineStr">
        <is>
          <t>N°</t>
        </is>
      </c>
      <c r="B3" s="3" t="inlineStr">
        <is>
          <t>🏢 Entreprise</t>
        </is>
      </c>
      <c r="C3" s="3" t="inlineStr">
        <is>
          <t>🏷️ Famille</t>
        </is>
      </c>
      <c r="D3" s="3" t="inlineStr">
        <is>
          <t>🚦 Étape</t>
        </is>
      </c>
      <c r="E3" s="3" t="inlineStr">
        <is>
          <t>👤 Commercial</t>
        </is>
      </c>
      <c r="F3" s="3" t="inlineStr">
        <is>
          <t>📅 Dernier contact</t>
        </is>
      </c>
      <c r="G3" s="3" t="inlineStr">
        <is>
          <t>➡️ Prochaine action</t>
        </is>
      </c>
      <c r="H3" s="3" t="inlineStr">
        <is>
          <t>📆 Date prévue</t>
        </is>
      </c>
      <c r="I3" s="3" t="inlineStr">
        <is>
          <t>💰 Montant estimé (F CFA)</t>
        </is>
      </c>
      <c r="J3" s="3" t="inlineStr">
        <is>
          <t>📊 Probabilité</t>
        </is>
      </c>
      <c r="K3" s="3" t="inlineStr">
        <is>
          <t>💵 Montant pondéré</t>
        </is>
      </c>
      <c r="L3" s="3" t="inlineStr">
        <is>
          <t>⏰ Alerte</t>
        </is>
      </c>
      <c r="M3" s="3" t="inlineStr">
        <is>
          <t>📝 Notes</t>
        </is>
      </c>
    </row>
    <row r="4">
      <c r="A4" s="4" t="n">
        <v>1</v>
      </c>
      <c r="B4" s="5" t="inlineStr">
        <is>
          <t>Les Grands Moulins d'Abidjan (GMA)</t>
        </is>
      </c>
      <c r="C4" s="6" t="inlineStr">
        <is>
          <t>🥫 Agroalimentaire</t>
        </is>
      </c>
      <c r="D4" s="4" t="inlineStr">
        <is>
          <t>1. À contacter</t>
        </is>
      </c>
      <c r="E4" s="6" t="inlineStr"/>
      <c r="F4" s="18" t="n"/>
      <c r="G4" s="6" t="inlineStr">
        <is>
          <t>Premier contact</t>
        </is>
      </c>
      <c r="H4" s="18" t="n"/>
      <c r="I4" s="19" t="n"/>
      <c r="J4" s="4" t="inlineStr">
        <is>
          <t>10%</t>
        </is>
      </c>
      <c r="K4" s="19">
        <f>IF(I4="","",I4*VALUE(SUBSTITUTE(J4,"%",""))/100)</f>
        <v/>
      </c>
      <c r="L4" s="4">
        <f>IF(AND(H4&lt;&gt;"",H4&lt;TODAY(),LEFT(D4,1)&lt;&gt;"7",LEFT(D4,1)&lt;&gt;"8"),"⚠️ En retard","")</f>
        <v/>
      </c>
      <c r="M4" s="6" t="inlineStr"/>
    </row>
    <row r="5">
      <c r="A5" s="9" t="n">
        <v>2</v>
      </c>
      <c r="B5" s="10" t="inlineStr">
        <is>
          <t>Les Moulins de Côte d'Ivoire (LMCI)</t>
        </is>
      </c>
      <c r="C5" s="11" t="inlineStr">
        <is>
          <t>🥫 Agroalimentaire</t>
        </is>
      </c>
      <c r="D5" s="9" t="inlineStr">
        <is>
          <t>1. À contacter</t>
        </is>
      </c>
      <c r="E5" s="11" t="inlineStr"/>
      <c r="F5" s="20" t="n"/>
      <c r="G5" s="11" t="inlineStr">
        <is>
          <t>Premier contact</t>
        </is>
      </c>
      <c r="H5" s="20" t="n"/>
      <c r="I5" s="21" t="n"/>
      <c r="J5" s="9" t="inlineStr">
        <is>
          <t>10%</t>
        </is>
      </c>
      <c r="K5" s="21">
        <f>IF(I5="","",I5*VALUE(SUBSTITUTE(J5,"%",""))/100)</f>
        <v/>
      </c>
      <c r="L5" s="9">
        <f>IF(AND(H5&lt;&gt;"",H5&lt;TODAY(),LEFT(D5,1)&lt;&gt;"7",LEFT(D5,1)&lt;&gt;"8"),"⚠️ En retard","")</f>
        <v/>
      </c>
      <c r="M5" s="11" t="inlineStr"/>
    </row>
    <row r="6">
      <c r="A6" s="4" t="n">
        <v>3</v>
      </c>
      <c r="B6" s="5" t="inlineStr">
        <is>
          <t>SUCRIVOIRE (groupe SIFCA)</t>
        </is>
      </c>
      <c r="C6" s="6" t="inlineStr">
        <is>
          <t>🥫 Agroalimentaire</t>
        </is>
      </c>
      <c r="D6" s="4" t="inlineStr">
        <is>
          <t>1. À contacter</t>
        </is>
      </c>
      <c r="E6" s="6" t="inlineStr"/>
      <c r="F6" s="18" t="n"/>
      <c r="G6" s="6" t="inlineStr">
        <is>
          <t>Premier contact</t>
        </is>
      </c>
      <c r="H6" s="18" t="n"/>
      <c r="I6" s="19" t="n"/>
      <c r="J6" s="4" t="inlineStr">
        <is>
          <t>10%</t>
        </is>
      </c>
      <c r="K6" s="19">
        <f>IF(I6="","",I6*VALUE(SUBSTITUTE(J6,"%",""))/100)</f>
        <v/>
      </c>
      <c r="L6" s="4">
        <f>IF(AND(H6&lt;&gt;"",H6&lt;TODAY(),LEFT(D6,1)&lt;&gt;"7",LEFT(D6,1)&lt;&gt;"8"),"⚠️ En retard","")</f>
        <v/>
      </c>
      <c r="M6" s="6" t="inlineStr"/>
    </row>
    <row r="7">
      <c r="A7" s="9" t="n">
        <v>4</v>
      </c>
      <c r="B7" s="10" t="inlineStr">
        <is>
          <t>SUCAF CI (Sucrerie Africaine Côte d'Ivoire, groupe Somdia)</t>
        </is>
      </c>
      <c r="C7" s="11" t="inlineStr">
        <is>
          <t>🥫 Agroalimentaire</t>
        </is>
      </c>
      <c r="D7" s="9" t="inlineStr">
        <is>
          <t>1. À contacter</t>
        </is>
      </c>
      <c r="E7" s="11" t="inlineStr"/>
      <c r="F7" s="20" t="n"/>
      <c r="G7" s="11" t="inlineStr">
        <is>
          <t>Premier contact</t>
        </is>
      </c>
      <c r="H7" s="20" t="n"/>
      <c r="I7" s="21" t="n"/>
      <c r="J7" s="9" t="inlineStr">
        <is>
          <t>10%</t>
        </is>
      </c>
      <c r="K7" s="21">
        <f>IF(I7="","",I7*VALUE(SUBSTITUTE(J7,"%",""))/100)</f>
        <v/>
      </c>
      <c r="L7" s="9">
        <f>IF(AND(H7&lt;&gt;"",H7&lt;TODAY(),LEFT(D7,1)&lt;&gt;"7",LEFT(D7,1)&lt;&gt;"8"),"⚠️ En retard","")</f>
        <v/>
      </c>
      <c r="M7" s="11" t="inlineStr"/>
    </row>
    <row r="8">
      <c r="A8" s="4" t="n">
        <v>5</v>
      </c>
      <c r="B8" s="5" t="inlineStr">
        <is>
          <t>Nestlé Côte d'Ivoire</t>
        </is>
      </c>
      <c r="C8" s="6" t="inlineStr">
        <is>
          <t>🥫 Agroalimentaire</t>
        </is>
      </c>
      <c r="D8" s="4" t="inlineStr">
        <is>
          <t>1. À contacter</t>
        </is>
      </c>
      <c r="E8" s="6" t="inlineStr"/>
      <c r="F8" s="18" t="n"/>
      <c r="G8" s="6" t="inlineStr">
        <is>
          <t>Premier contact</t>
        </is>
      </c>
      <c r="H8" s="18" t="n"/>
      <c r="I8" s="19" t="n"/>
      <c r="J8" s="4" t="inlineStr">
        <is>
          <t>10%</t>
        </is>
      </c>
      <c r="K8" s="19">
        <f>IF(I8="","",I8*VALUE(SUBSTITUTE(J8,"%",""))/100)</f>
        <v/>
      </c>
      <c r="L8" s="4">
        <f>IF(AND(H8&lt;&gt;"",H8&lt;TODAY(),LEFT(D8,1)&lt;&gt;"7",LEFT(D8,1)&lt;&gt;"8"),"⚠️ En retard","")</f>
        <v/>
      </c>
      <c r="M8" s="6" t="inlineStr"/>
    </row>
    <row r="9">
      <c r="A9" s="9" t="n">
        <v>6</v>
      </c>
      <c r="B9" s="10" t="inlineStr">
        <is>
          <t>Sania Cie (groupe SIFCA)</t>
        </is>
      </c>
      <c r="C9" s="11" t="inlineStr">
        <is>
          <t>🥫 Agroalimentaire</t>
        </is>
      </c>
      <c r="D9" s="9" t="inlineStr">
        <is>
          <t>1. À contacter</t>
        </is>
      </c>
      <c r="E9" s="11" t="inlineStr"/>
      <c r="F9" s="20" t="n"/>
      <c r="G9" s="11" t="inlineStr">
        <is>
          <t>Premier contact</t>
        </is>
      </c>
      <c r="H9" s="20" t="n"/>
      <c r="I9" s="21" t="n"/>
      <c r="J9" s="9" t="inlineStr">
        <is>
          <t>10%</t>
        </is>
      </c>
      <c r="K9" s="21">
        <f>IF(I9="","",I9*VALUE(SUBSTITUTE(J9,"%",""))/100)</f>
        <v/>
      </c>
      <c r="L9" s="9">
        <f>IF(AND(H9&lt;&gt;"",H9&lt;TODAY(),LEFT(D9,1)&lt;&gt;"7",LEFT(D9,1)&lt;&gt;"8"),"⚠️ En retard","")</f>
        <v/>
      </c>
      <c r="M9" s="11" t="inlineStr"/>
    </row>
    <row r="10">
      <c r="A10" s="4" t="n">
        <v>7</v>
      </c>
      <c r="B10" s="5" t="inlineStr">
        <is>
          <t>Unifood</t>
        </is>
      </c>
      <c r="C10" s="6" t="inlineStr">
        <is>
          <t>🥫 Agroalimentaire</t>
        </is>
      </c>
      <c r="D10" s="4" t="inlineStr">
        <is>
          <t>1. À contacter</t>
        </is>
      </c>
      <c r="E10" s="6" t="inlineStr"/>
      <c r="F10" s="18" t="n"/>
      <c r="G10" s="6" t="inlineStr">
        <is>
          <t>Premier contact</t>
        </is>
      </c>
      <c r="H10" s="18" t="n"/>
      <c r="I10" s="19" t="n"/>
      <c r="J10" s="4" t="inlineStr">
        <is>
          <t>10%</t>
        </is>
      </c>
      <c r="K10" s="19">
        <f>IF(I10="","",I10*VALUE(SUBSTITUTE(J10,"%",""))/100)</f>
        <v/>
      </c>
      <c r="L10" s="4">
        <f>IF(AND(H10&lt;&gt;"",H10&lt;TODAY(),LEFT(D10,1)&lt;&gt;"7",LEFT(D10,1)&lt;&gt;"8"),"⚠️ En retard","")</f>
        <v/>
      </c>
      <c r="M10" s="6" t="inlineStr"/>
    </row>
    <row r="11">
      <c r="A11" s="9" t="n">
        <v>8</v>
      </c>
      <c r="B11" s="10" t="inlineStr">
        <is>
          <t>Tropical Foods (riz RIZO)</t>
        </is>
      </c>
      <c r="C11" s="11" t="inlineStr">
        <is>
          <t>🥫 Agroalimentaire</t>
        </is>
      </c>
      <c r="D11" s="9" t="inlineStr">
        <is>
          <t>1. À contacter</t>
        </is>
      </c>
      <c r="E11" s="11" t="inlineStr"/>
      <c r="F11" s="20" t="n"/>
      <c r="G11" s="11" t="inlineStr">
        <is>
          <t>Premier contact</t>
        </is>
      </c>
      <c r="H11" s="20" t="n"/>
      <c r="I11" s="21" t="n"/>
      <c r="J11" s="9" t="inlineStr">
        <is>
          <t>10%</t>
        </is>
      </c>
      <c r="K11" s="21">
        <f>IF(I11="","",I11*VALUE(SUBSTITUTE(J11,"%",""))/100)</f>
        <v/>
      </c>
      <c r="L11" s="9">
        <f>IF(AND(H11&lt;&gt;"",H11&lt;TODAY(),LEFT(D11,1)&lt;&gt;"7",LEFT(D11,1)&lt;&gt;"8"),"⚠️ En retard","")</f>
        <v/>
      </c>
      <c r="M11" s="11" t="inlineStr"/>
    </row>
    <row r="12">
      <c r="A12" s="4" t="n">
        <v>9</v>
      </c>
      <c r="B12" s="5" t="inlineStr">
        <is>
          <t>Fan Milk Côte d'Ivoire (groupe Danone)</t>
        </is>
      </c>
      <c r="C12" s="6" t="inlineStr">
        <is>
          <t>🥫 Agroalimentaire</t>
        </is>
      </c>
      <c r="D12" s="4" t="inlineStr">
        <is>
          <t>1. À contacter</t>
        </is>
      </c>
      <c r="E12" s="6" t="inlineStr"/>
      <c r="F12" s="18" t="n"/>
      <c r="G12" s="6" t="inlineStr">
        <is>
          <t>Premier contact</t>
        </is>
      </c>
      <c r="H12" s="18" t="n"/>
      <c r="I12" s="19" t="n"/>
      <c r="J12" s="4" t="inlineStr">
        <is>
          <t>10%</t>
        </is>
      </c>
      <c r="K12" s="19">
        <f>IF(I12="","",I12*VALUE(SUBSTITUTE(J12,"%",""))/100)</f>
        <v/>
      </c>
      <c r="L12" s="4">
        <f>IF(AND(H12&lt;&gt;"",H12&lt;TODAY(),LEFT(D12,1)&lt;&gt;"7",LEFT(D12,1)&lt;&gt;"8"),"⚠️ En retard","")</f>
        <v/>
      </c>
      <c r="M12" s="6" t="inlineStr"/>
    </row>
    <row r="13">
      <c r="A13" s="9" t="n">
        <v>10</v>
      </c>
      <c r="B13" s="10" t="inlineStr">
        <is>
          <t>SNCV – Société Nouvelle de Confiserie de Vridi (groupe Afriwara)</t>
        </is>
      </c>
      <c r="C13" s="11" t="inlineStr">
        <is>
          <t>🥫 Agroalimentaire</t>
        </is>
      </c>
      <c r="D13" s="9" t="inlineStr">
        <is>
          <t>1. À contacter</t>
        </is>
      </c>
      <c r="E13" s="11" t="inlineStr"/>
      <c r="F13" s="20" t="n"/>
      <c r="G13" s="11" t="inlineStr">
        <is>
          <t>Premier contact</t>
        </is>
      </c>
      <c r="H13" s="20" t="n"/>
      <c r="I13" s="21" t="n"/>
      <c r="J13" s="9" t="inlineStr">
        <is>
          <t>10%</t>
        </is>
      </c>
      <c r="K13" s="21">
        <f>IF(I13="","",I13*VALUE(SUBSTITUTE(J13,"%",""))/100)</f>
        <v/>
      </c>
      <c r="L13" s="9">
        <f>IF(AND(H13&lt;&gt;"",H13&lt;TODAY(),LEFT(D13,1)&lt;&gt;"7",LEFT(D13,1)&lt;&gt;"8"),"⚠️ En retard","")</f>
        <v/>
      </c>
      <c r="M13" s="11" t="inlineStr"/>
    </row>
    <row r="14">
      <c r="A14" s="4" t="n">
        <v>11</v>
      </c>
      <c r="B14" s="5" t="inlineStr">
        <is>
          <t>Jumbo Côte d'Ivoire Industry (GBfoods)</t>
        </is>
      </c>
      <c r="C14" s="6" t="inlineStr">
        <is>
          <t>🥫 Agroalimentaire</t>
        </is>
      </c>
      <c r="D14" s="4" t="inlineStr">
        <is>
          <t>1. À contacter</t>
        </is>
      </c>
      <c r="E14" s="6" t="inlineStr"/>
      <c r="F14" s="18" t="n"/>
      <c r="G14" s="6" t="inlineStr">
        <is>
          <t>Premier contact</t>
        </is>
      </c>
      <c r="H14" s="18" t="n"/>
      <c r="I14" s="19" t="n"/>
      <c r="J14" s="4" t="inlineStr">
        <is>
          <t>10%</t>
        </is>
      </c>
      <c r="K14" s="19">
        <f>IF(I14="","",I14*VALUE(SUBSTITUTE(J14,"%",""))/100)</f>
        <v/>
      </c>
      <c r="L14" s="4">
        <f>IF(AND(H14&lt;&gt;"",H14&lt;TODAY(),LEFT(D14,1)&lt;&gt;"7",LEFT(D14,1)&lt;&gt;"8"),"⚠️ En retard","")</f>
        <v/>
      </c>
      <c r="M14" s="6" t="inlineStr"/>
    </row>
    <row r="15">
      <c r="A15" s="9" t="n">
        <v>12</v>
      </c>
      <c r="B15" s="10" t="inlineStr">
        <is>
          <t>Professional Foods Industry (PFI, groupe Satoci)</t>
        </is>
      </c>
      <c r="C15" s="11" t="inlineStr">
        <is>
          <t>🥫 Agroalimentaire</t>
        </is>
      </c>
      <c r="D15" s="9" t="inlineStr">
        <is>
          <t>1. À contacter</t>
        </is>
      </c>
      <c r="E15" s="11" t="inlineStr"/>
      <c r="F15" s="20" t="n"/>
      <c r="G15" s="11" t="inlineStr">
        <is>
          <t>Premier contact</t>
        </is>
      </c>
      <c r="H15" s="20" t="n"/>
      <c r="I15" s="21" t="n"/>
      <c r="J15" s="9" t="inlineStr">
        <is>
          <t>10%</t>
        </is>
      </c>
      <c r="K15" s="21">
        <f>IF(I15="","",I15*VALUE(SUBSTITUTE(J15,"%",""))/100)</f>
        <v/>
      </c>
      <c r="L15" s="9">
        <f>IF(AND(H15&lt;&gt;"",H15&lt;TODAY(),LEFT(D15,1)&lt;&gt;"7",LEFT(D15,1)&lt;&gt;"8"),"⚠️ En retard","")</f>
        <v/>
      </c>
      <c r="M15" s="11" t="inlineStr"/>
    </row>
    <row r="16">
      <c r="A16" s="4" t="n">
        <v>13</v>
      </c>
      <c r="B16" s="5" t="inlineStr">
        <is>
          <t>Cémoi Côte d'Ivoire</t>
        </is>
      </c>
      <c r="C16" s="6" t="inlineStr">
        <is>
          <t>🥫 Agroalimentaire</t>
        </is>
      </c>
      <c r="D16" s="4" t="inlineStr">
        <is>
          <t>1. À contacter</t>
        </is>
      </c>
      <c r="E16" s="6" t="inlineStr"/>
      <c r="F16" s="18" t="n"/>
      <c r="G16" s="6" t="inlineStr">
        <is>
          <t>Premier contact</t>
        </is>
      </c>
      <c r="H16" s="18" t="n"/>
      <c r="I16" s="19" t="n"/>
      <c r="J16" s="4" t="inlineStr">
        <is>
          <t>10%</t>
        </is>
      </c>
      <c r="K16" s="19">
        <f>IF(I16="","",I16*VALUE(SUBSTITUTE(J16,"%",""))/100)</f>
        <v/>
      </c>
      <c r="L16" s="4">
        <f>IF(AND(H16&lt;&gt;"",H16&lt;TODAY(),LEFT(D16,1)&lt;&gt;"7",LEFT(D16,1)&lt;&gt;"8"),"⚠️ En retard","")</f>
        <v/>
      </c>
      <c r="M16" s="6" t="inlineStr"/>
    </row>
    <row r="17">
      <c r="A17" s="9" t="n">
        <v>14</v>
      </c>
      <c r="B17" s="10" t="inlineStr">
        <is>
          <t>FOANI &amp; Services</t>
        </is>
      </c>
      <c r="C17" s="11" t="inlineStr">
        <is>
          <t>🥫 Agroalimentaire</t>
        </is>
      </c>
      <c r="D17" s="9" t="inlineStr">
        <is>
          <t>1. À contacter</t>
        </is>
      </c>
      <c r="E17" s="11" t="inlineStr"/>
      <c r="F17" s="20" t="n"/>
      <c r="G17" s="11" t="inlineStr">
        <is>
          <t>Premier contact</t>
        </is>
      </c>
      <c r="H17" s="20" t="n"/>
      <c r="I17" s="21" t="n"/>
      <c r="J17" s="9" t="inlineStr">
        <is>
          <t>10%</t>
        </is>
      </c>
      <c r="K17" s="21">
        <f>IF(I17="","",I17*VALUE(SUBSTITUTE(J17,"%",""))/100)</f>
        <v/>
      </c>
      <c r="L17" s="9">
        <f>IF(AND(H17&lt;&gt;"",H17&lt;TODAY(),LEFT(D17,1)&lt;&gt;"7",LEFT(D17,1)&lt;&gt;"8"),"⚠️ En retard","")</f>
        <v/>
      </c>
      <c r="M17" s="11" t="inlineStr"/>
    </row>
    <row r="18">
      <c r="A18" s="4" t="n">
        <v>15</v>
      </c>
      <c r="B18" s="5" t="inlineStr">
        <is>
          <t>LafargeHolcim Côte d'Ivoire</t>
        </is>
      </c>
      <c r="C18" s="6" t="inlineStr">
        <is>
          <t>🏗️ Vrac et big bags</t>
        </is>
      </c>
      <c r="D18" s="4" t="inlineStr">
        <is>
          <t>1. À contacter</t>
        </is>
      </c>
      <c r="E18" s="6" t="inlineStr"/>
      <c r="F18" s="18" t="n"/>
      <c r="G18" s="6" t="inlineStr">
        <is>
          <t>Premier contact</t>
        </is>
      </c>
      <c r="H18" s="18" t="n"/>
      <c r="I18" s="19" t="n"/>
      <c r="J18" s="4" t="inlineStr">
        <is>
          <t>10%</t>
        </is>
      </c>
      <c r="K18" s="19">
        <f>IF(I18="","",I18*VALUE(SUBSTITUTE(J18,"%",""))/100)</f>
        <v/>
      </c>
      <c r="L18" s="4">
        <f>IF(AND(H18&lt;&gt;"",H18&lt;TODAY(),LEFT(D18,1)&lt;&gt;"7",LEFT(D18,1)&lt;&gt;"8"),"⚠️ En retard","")</f>
        <v/>
      </c>
      <c r="M18" s="6" t="inlineStr"/>
    </row>
    <row r="19">
      <c r="A19" s="9" t="n">
        <v>16</v>
      </c>
      <c r="B19" s="10" t="inlineStr">
        <is>
          <t>CIMAF Côte d'Ivoire (Ciments de l'Afrique)</t>
        </is>
      </c>
      <c r="C19" s="11" t="inlineStr">
        <is>
          <t>🏗️ Vrac et big bags</t>
        </is>
      </c>
      <c r="D19" s="9" t="inlineStr">
        <is>
          <t>1. À contacter</t>
        </is>
      </c>
      <c r="E19" s="11" t="inlineStr"/>
      <c r="F19" s="20" t="n"/>
      <c r="G19" s="11" t="inlineStr">
        <is>
          <t>Premier contact</t>
        </is>
      </c>
      <c r="H19" s="20" t="n"/>
      <c r="I19" s="21" t="n"/>
      <c r="J19" s="9" t="inlineStr">
        <is>
          <t>10%</t>
        </is>
      </c>
      <c r="K19" s="21">
        <f>IF(I19="","",I19*VALUE(SUBSTITUTE(J19,"%",""))/100)</f>
        <v/>
      </c>
      <c r="L19" s="9">
        <f>IF(AND(H19&lt;&gt;"",H19&lt;TODAY(),LEFT(D19,1)&lt;&gt;"7",LEFT(D19,1)&lt;&gt;"8"),"⚠️ En retard","")</f>
        <v/>
      </c>
      <c r="M19" s="11" t="inlineStr"/>
    </row>
    <row r="20">
      <c r="A20" s="4" t="n">
        <v>17</v>
      </c>
      <c r="B20" s="5" t="inlineStr">
        <is>
          <t>Solevo Côte d'Ivoire (ex-STEPC)</t>
        </is>
      </c>
      <c r="C20" s="6" t="inlineStr">
        <is>
          <t>🏗️ Vrac et big bags</t>
        </is>
      </c>
      <c r="D20" s="4" t="inlineStr">
        <is>
          <t>1. À contacter</t>
        </is>
      </c>
      <c r="E20" s="6" t="inlineStr"/>
      <c r="F20" s="18" t="n"/>
      <c r="G20" s="6" t="inlineStr">
        <is>
          <t>Premier contact</t>
        </is>
      </c>
      <c r="H20" s="18" t="n"/>
      <c r="I20" s="19" t="n"/>
      <c r="J20" s="4" t="inlineStr">
        <is>
          <t>10%</t>
        </is>
      </c>
      <c r="K20" s="19">
        <f>IF(I20="","",I20*VALUE(SUBSTITUTE(J20,"%",""))/100)</f>
        <v/>
      </c>
      <c r="L20" s="4">
        <f>IF(AND(H20&lt;&gt;"",H20&lt;TODAY(),LEFT(D20,1)&lt;&gt;"7",LEFT(D20,1)&lt;&gt;"8"),"⚠️ En retard","")</f>
        <v/>
      </c>
      <c r="M20" s="6" t="inlineStr"/>
    </row>
    <row r="21">
      <c r="A21" s="9" t="n">
        <v>18</v>
      </c>
      <c r="B21" s="10" t="inlineStr">
        <is>
          <t>Cargill Côte d'Ivoire</t>
        </is>
      </c>
      <c r="C21" s="11" t="inlineStr">
        <is>
          <t>🏗️ Vrac et big bags</t>
        </is>
      </c>
      <c r="D21" s="9" t="inlineStr">
        <is>
          <t>1. À contacter</t>
        </is>
      </c>
      <c r="E21" s="11" t="inlineStr"/>
      <c r="F21" s="20" t="n"/>
      <c r="G21" s="11" t="inlineStr">
        <is>
          <t>Premier contact</t>
        </is>
      </c>
      <c r="H21" s="20" t="n"/>
      <c r="I21" s="21" t="n"/>
      <c r="J21" s="9" t="inlineStr">
        <is>
          <t>10%</t>
        </is>
      </c>
      <c r="K21" s="21">
        <f>IF(I21="","",I21*VALUE(SUBSTITUTE(J21,"%",""))/100)</f>
        <v/>
      </c>
      <c r="L21" s="9">
        <f>IF(AND(H21&lt;&gt;"",H21&lt;TODAY(),LEFT(D21,1)&lt;&gt;"7",LEFT(D21,1)&lt;&gt;"8"),"⚠️ En retard","")</f>
        <v/>
      </c>
      <c r="M21" s="11" t="inlineStr"/>
    </row>
    <row r="22">
      <c r="A22" s="4" t="n">
        <v>19</v>
      </c>
      <c r="B22" s="5" t="inlineStr">
        <is>
          <t>Barry Callebaut – SACO (Société Africaine de Cacao)</t>
        </is>
      </c>
      <c r="C22" s="6" t="inlineStr">
        <is>
          <t>🏗️ Vrac et big bags</t>
        </is>
      </c>
      <c r="D22" s="4" t="inlineStr">
        <is>
          <t>1. À contacter</t>
        </is>
      </c>
      <c r="E22" s="6" t="inlineStr"/>
      <c r="F22" s="18" t="n"/>
      <c r="G22" s="6" t="inlineStr">
        <is>
          <t>Premier contact</t>
        </is>
      </c>
      <c r="H22" s="18" t="n"/>
      <c r="I22" s="19" t="n"/>
      <c r="J22" s="4" t="inlineStr">
        <is>
          <t>10%</t>
        </is>
      </c>
      <c r="K22" s="19">
        <f>IF(I22="","",I22*VALUE(SUBSTITUTE(J22,"%",""))/100)</f>
        <v/>
      </c>
      <c r="L22" s="4">
        <f>IF(AND(H22&lt;&gt;"",H22&lt;TODAY(),LEFT(D22,1)&lt;&gt;"7",LEFT(D22,1)&lt;&gt;"8"),"⚠️ En retard","")</f>
        <v/>
      </c>
      <c r="M22" s="6" t="inlineStr"/>
    </row>
    <row r="23">
      <c r="A23" s="9" t="n">
        <v>20</v>
      </c>
      <c r="B23" s="10" t="inlineStr">
        <is>
          <t>ofi (Olam Food Ingredients) – usine d'anacarde d'Anyama</t>
        </is>
      </c>
      <c r="C23" s="11" t="inlineStr">
        <is>
          <t>🏗️ Vrac et big bags</t>
        </is>
      </c>
      <c r="D23" s="9" t="inlineStr">
        <is>
          <t>1. À contacter</t>
        </is>
      </c>
      <c r="E23" s="11" t="inlineStr"/>
      <c r="F23" s="20" t="n"/>
      <c r="G23" s="11" t="inlineStr">
        <is>
          <t>Premier contact</t>
        </is>
      </c>
      <c r="H23" s="20" t="n"/>
      <c r="I23" s="21" t="n"/>
      <c r="J23" s="9" t="inlineStr">
        <is>
          <t>10%</t>
        </is>
      </c>
      <c r="K23" s="21">
        <f>IF(I23="","",I23*VALUE(SUBSTITUTE(J23,"%",""))/100)</f>
        <v/>
      </c>
      <c r="L23" s="9">
        <f>IF(AND(H23&lt;&gt;"",H23&lt;TODAY(),LEFT(D23,1)&lt;&gt;"7",LEFT(D23,1)&lt;&gt;"8"),"⚠️ En retard","")</f>
        <v/>
      </c>
      <c r="M23" s="11" t="inlineStr"/>
    </row>
    <row r="24">
      <c r="A24" s="4" t="n">
        <v>21</v>
      </c>
      <c r="B24" s="5" t="inlineStr">
        <is>
          <t>SOLIBRA (groupe Castel)</t>
        </is>
      </c>
      <c r="C24" s="6" t="inlineStr">
        <is>
          <t>🥤 Boissons et eau</t>
        </is>
      </c>
      <c r="D24" s="4" t="inlineStr">
        <is>
          <t>1. À contacter</t>
        </is>
      </c>
      <c r="E24" s="6" t="inlineStr"/>
      <c r="F24" s="18" t="n"/>
      <c r="G24" s="6" t="inlineStr">
        <is>
          <t>Premier contact</t>
        </is>
      </c>
      <c r="H24" s="18" t="n"/>
      <c r="I24" s="19" t="n"/>
      <c r="J24" s="4" t="inlineStr">
        <is>
          <t>10%</t>
        </is>
      </c>
      <c r="K24" s="19">
        <f>IF(I24="","",I24*VALUE(SUBSTITUTE(J24,"%",""))/100)</f>
        <v/>
      </c>
      <c r="L24" s="4">
        <f>IF(AND(H24&lt;&gt;"",H24&lt;TODAY(),LEFT(D24,1)&lt;&gt;"7",LEFT(D24,1)&lt;&gt;"8"),"⚠️ En retard","")</f>
        <v/>
      </c>
      <c r="M24" s="6" t="inlineStr"/>
    </row>
    <row r="25">
      <c r="A25" s="9" t="n">
        <v>22</v>
      </c>
      <c r="B25" s="10" t="inlineStr">
        <is>
          <t>Brassivoire (Heineken–CFAO)</t>
        </is>
      </c>
      <c r="C25" s="11" t="inlineStr">
        <is>
          <t>🥤 Boissons et eau</t>
        </is>
      </c>
      <c r="D25" s="9" t="inlineStr">
        <is>
          <t>1. À contacter</t>
        </is>
      </c>
      <c r="E25" s="11" t="inlineStr"/>
      <c r="F25" s="20" t="n"/>
      <c r="G25" s="11" t="inlineStr">
        <is>
          <t>Premier contact</t>
        </is>
      </c>
      <c r="H25" s="20" t="n"/>
      <c r="I25" s="21" t="n"/>
      <c r="J25" s="9" t="inlineStr">
        <is>
          <t>10%</t>
        </is>
      </c>
      <c r="K25" s="21">
        <f>IF(I25="","",I25*VALUE(SUBSTITUTE(J25,"%",""))/100)</f>
        <v/>
      </c>
      <c r="L25" s="9">
        <f>IF(AND(H25&lt;&gt;"",H25&lt;TODAY(),LEFT(D25,1)&lt;&gt;"7",LEFT(D25,1)&lt;&gt;"8"),"⚠️ En retard","")</f>
        <v/>
      </c>
      <c r="M25" s="11" t="inlineStr"/>
    </row>
    <row r="26">
      <c r="A26" s="4" t="n">
        <v>23</v>
      </c>
      <c r="B26" s="5" t="inlineStr">
        <is>
          <t>AGROCI (groupe Kirène)</t>
        </is>
      </c>
      <c r="C26" s="6" t="inlineStr">
        <is>
          <t>🥤 Boissons et eau</t>
        </is>
      </c>
      <c r="D26" s="4" t="inlineStr">
        <is>
          <t>1. À contacter</t>
        </is>
      </c>
      <c r="E26" s="6" t="inlineStr"/>
      <c r="F26" s="18" t="n"/>
      <c r="G26" s="6" t="inlineStr">
        <is>
          <t>Premier contact</t>
        </is>
      </c>
      <c r="H26" s="18" t="n"/>
      <c r="I26" s="19" t="n"/>
      <c r="J26" s="4" t="inlineStr">
        <is>
          <t>10%</t>
        </is>
      </c>
      <c r="K26" s="19">
        <f>IF(I26="","",I26*VALUE(SUBSTITUTE(J26,"%",""))/100)</f>
        <v/>
      </c>
      <c r="L26" s="4">
        <f>IF(AND(H26&lt;&gt;"",H26&lt;TODAY(),LEFT(D26,1)&lt;&gt;"7",LEFT(D26,1)&lt;&gt;"8"),"⚠️ En retard","")</f>
        <v/>
      </c>
      <c r="M26" s="6" t="inlineStr"/>
    </row>
    <row r="27">
      <c r="A27" s="9" t="n">
        <v>24</v>
      </c>
      <c r="B27" s="10" t="inlineStr">
        <is>
          <t>Groupe Carré d'Or / SDTM-CI</t>
        </is>
      </c>
      <c r="C27" s="11" t="inlineStr">
        <is>
          <t>🥤 Boissons et eau</t>
        </is>
      </c>
      <c r="D27" s="9" t="inlineStr">
        <is>
          <t>1. À contacter</t>
        </is>
      </c>
      <c r="E27" s="11" t="inlineStr"/>
      <c r="F27" s="20" t="n"/>
      <c r="G27" s="11" t="inlineStr">
        <is>
          <t>Premier contact</t>
        </is>
      </c>
      <c r="H27" s="20" t="n"/>
      <c r="I27" s="21" t="n"/>
      <c r="J27" s="9" t="inlineStr">
        <is>
          <t>10%</t>
        </is>
      </c>
      <c r="K27" s="21">
        <f>IF(I27="","",I27*VALUE(SUBSTITUTE(J27,"%",""))/100)</f>
        <v/>
      </c>
      <c r="L27" s="9">
        <f>IF(AND(H27&lt;&gt;"",H27&lt;TODAY(),LEFT(D27,1)&lt;&gt;"7",LEFT(D27,1)&lt;&gt;"8"),"⚠️ En retard","")</f>
        <v/>
      </c>
      <c r="M27" s="11" t="inlineStr"/>
    </row>
    <row r="28">
      <c r="A28" s="4" t="n">
        <v>25</v>
      </c>
      <c r="B28" s="5" t="inlineStr">
        <is>
          <t>STGCI</t>
        </is>
      </c>
      <c r="C28" s="6" t="inlineStr">
        <is>
          <t>🥤 Boissons et eau</t>
        </is>
      </c>
      <c r="D28" s="4" t="inlineStr">
        <is>
          <t>1. À contacter</t>
        </is>
      </c>
      <c r="E28" s="6" t="inlineStr"/>
      <c r="F28" s="18" t="n"/>
      <c r="G28" s="6" t="inlineStr">
        <is>
          <t>Premier contact</t>
        </is>
      </c>
      <c r="H28" s="18" t="n"/>
      <c r="I28" s="19" t="n"/>
      <c r="J28" s="4" t="inlineStr">
        <is>
          <t>10%</t>
        </is>
      </c>
      <c r="K28" s="19">
        <f>IF(I28="","",I28*VALUE(SUBSTITUTE(J28,"%",""))/100)</f>
        <v/>
      </c>
      <c r="L28" s="4">
        <f>IF(AND(H28&lt;&gt;"",H28&lt;TODAY(),LEFT(D28,1)&lt;&gt;"7",LEFT(D28,1)&lt;&gt;"8"),"⚠️ En retard","")</f>
        <v/>
      </c>
      <c r="M28" s="6" t="inlineStr"/>
    </row>
    <row r="29">
      <c r="A29" s="9" t="n">
        <v>26</v>
      </c>
      <c r="B29" s="10" t="inlineStr">
        <is>
          <t>SIVOP (Société Ivoirienne de Parfumerie)</t>
        </is>
      </c>
      <c r="C29" s="11" t="inlineStr">
        <is>
          <t>🧴 Hygiène, cosmétique, chimie</t>
        </is>
      </c>
      <c r="D29" s="9" t="inlineStr">
        <is>
          <t>1. À contacter</t>
        </is>
      </c>
      <c r="E29" s="11" t="inlineStr"/>
      <c r="F29" s="20" t="n"/>
      <c r="G29" s="11" t="inlineStr">
        <is>
          <t>Premier contact</t>
        </is>
      </c>
      <c r="H29" s="20" t="n"/>
      <c r="I29" s="21" t="n"/>
      <c r="J29" s="9" t="inlineStr">
        <is>
          <t>10%</t>
        </is>
      </c>
      <c r="K29" s="21">
        <f>IF(I29="","",I29*VALUE(SUBSTITUTE(J29,"%",""))/100)</f>
        <v/>
      </c>
      <c r="L29" s="9">
        <f>IF(AND(H29&lt;&gt;"",H29&lt;TODAY(),LEFT(D29,1)&lt;&gt;"7",LEFT(D29,1)&lt;&gt;"8"),"⚠️ En retard","")</f>
        <v/>
      </c>
      <c r="M29" s="11" t="inlineStr"/>
    </row>
    <row r="30">
      <c r="A30" s="4" t="n">
        <v>27</v>
      </c>
      <c r="B30" s="5" t="inlineStr">
        <is>
          <t>SIAVOM-CI</t>
        </is>
      </c>
      <c r="C30" s="6" t="inlineStr">
        <is>
          <t>🧴 Hygiène, cosmétique, chimie</t>
        </is>
      </c>
      <c r="D30" s="4" t="inlineStr">
        <is>
          <t>1. À contacter</t>
        </is>
      </c>
      <c r="E30" s="6" t="inlineStr"/>
      <c r="F30" s="18" t="n"/>
      <c r="G30" s="6" t="inlineStr">
        <is>
          <t>Premier contact</t>
        </is>
      </c>
      <c r="H30" s="18" t="n"/>
      <c r="I30" s="19" t="n"/>
      <c r="J30" s="4" t="inlineStr">
        <is>
          <t>10%</t>
        </is>
      </c>
      <c r="K30" s="19">
        <f>IF(I30="","",I30*VALUE(SUBSTITUTE(J30,"%",""))/100)</f>
        <v/>
      </c>
      <c r="L30" s="4">
        <f>IF(AND(H30&lt;&gt;"",H30&lt;TODAY(),LEFT(D30,1)&lt;&gt;"7",LEFT(D30,1)&lt;&gt;"8"),"⚠️ En retard","")</f>
        <v/>
      </c>
      <c r="M30" s="6" t="inlineStr"/>
    </row>
    <row r="31">
      <c r="A31" s="9" t="n">
        <v>28</v>
      </c>
      <c r="B31" s="10" t="inlineStr">
        <is>
          <t>SIPROCHIM</t>
        </is>
      </c>
      <c r="C31" s="11" t="inlineStr">
        <is>
          <t>🧴 Hygiène, cosmétique, chimie</t>
        </is>
      </c>
      <c r="D31" s="9" t="inlineStr">
        <is>
          <t>1. À contacter</t>
        </is>
      </c>
      <c r="E31" s="11" t="inlineStr"/>
      <c r="F31" s="20" t="n"/>
      <c r="G31" s="11" t="inlineStr">
        <is>
          <t>Premier contact</t>
        </is>
      </c>
      <c r="H31" s="20" t="n"/>
      <c r="I31" s="21" t="n"/>
      <c r="J31" s="9" t="inlineStr">
        <is>
          <t>10%</t>
        </is>
      </c>
      <c r="K31" s="21">
        <f>IF(I31="","",I31*VALUE(SUBSTITUTE(J31,"%",""))/100)</f>
        <v/>
      </c>
      <c r="L31" s="9">
        <f>IF(AND(H31&lt;&gt;"",H31&lt;TODAY(),LEFT(D31,1)&lt;&gt;"7",LEFT(D31,1)&lt;&gt;"8"),"⚠️ En retard","")</f>
        <v/>
      </c>
      <c r="M31" s="11" t="inlineStr"/>
    </row>
    <row r="32">
      <c r="A32" s="4" t="n">
        <v>29</v>
      </c>
      <c r="B32" s="5" t="inlineStr">
        <is>
          <t>Unilever Côte d'Ivoire</t>
        </is>
      </c>
      <c r="C32" s="6" t="inlineStr">
        <is>
          <t>🧴 Hygiène, cosmétique, chimie</t>
        </is>
      </c>
      <c r="D32" s="4" t="inlineStr">
        <is>
          <t>1. À contacter</t>
        </is>
      </c>
      <c r="E32" s="6" t="inlineStr"/>
      <c r="F32" s="18" t="n"/>
      <c r="G32" s="6" t="inlineStr">
        <is>
          <t>Premier contact</t>
        </is>
      </c>
      <c r="H32" s="18" t="n"/>
      <c r="I32" s="19" t="n"/>
      <c r="J32" s="4" t="inlineStr">
        <is>
          <t>10%</t>
        </is>
      </c>
      <c r="K32" s="19">
        <f>IF(I32="","",I32*VALUE(SUBSTITUTE(J32,"%",""))/100)</f>
        <v/>
      </c>
      <c r="L32" s="4">
        <f>IF(AND(H32&lt;&gt;"",H32&lt;TODAY(),LEFT(D32,1)&lt;&gt;"7",LEFT(D32,1)&lt;&gt;"8"),"⚠️ En retard","")</f>
        <v/>
      </c>
      <c r="M32" s="6" t="inlineStr"/>
    </row>
    <row r="33">
      <c r="A33" s="9" t="n">
        <v>30</v>
      </c>
      <c r="B33" s="10" t="inlineStr">
        <is>
          <t>Callivoire (groupe UPL)</t>
        </is>
      </c>
      <c r="C33" s="11" t="inlineStr">
        <is>
          <t>🧴 Hygiène, cosmétique, chimie</t>
        </is>
      </c>
      <c r="D33" s="9" t="inlineStr">
        <is>
          <t>1. À contacter</t>
        </is>
      </c>
      <c r="E33" s="11" t="inlineStr"/>
      <c r="F33" s="20" t="n"/>
      <c r="G33" s="11" t="inlineStr">
        <is>
          <t>Premier contact</t>
        </is>
      </c>
      <c r="H33" s="20" t="n"/>
      <c r="I33" s="21" t="n"/>
      <c r="J33" s="9" t="inlineStr">
        <is>
          <t>10%</t>
        </is>
      </c>
      <c r="K33" s="21">
        <f>IF(I33="","",I33*VALUE(SUBSTITUTE(J33,"%",""))/100)</f>
        <v/>
      </c>
      <c r="L33" s="9">
        <f>IF(AND(H33&lt;&gt;"",H33&lt;TODAY(),LEFT(D33,1)&lt;&gt;"7",LEFT(D33,1)&lt;&gt;"8"),"⚠️ En retard","")</f>
        <v/>
      </c>
      <c r="M33" s="11" t="inlineStr"/>
    </row>
    <row r="34">
      <c r="A34" s="4" t="n">
        <v>31</v>
      </c>
      <c r="B34" s="5" t="inlineStr"/>
      <c r="C34" s="6" t="inlineStr"/>
      <c r="D34" s="4" t="inlineStr"/>
      <c r="E34" s="6" t="inlineStr"/>
      <c r="F34" s="18" t="n"/>
      <c r="G34" s="6" t="inlineStr"/>
      <c r="H34" s="18" t="n"/>
      <c r="I34" s="19" t="n"/>
      <c r="J34" s="4" t="inlineStr"/>
      <c r="K34" s="19">
        <f>IF(I34="","",I34*VALUE(SUBSTITUTE(J34,"%",""))/100)</f>
        <v/>
      </c>
      <c r="L34" s="4">
        <f>IF(AND(H34&lt;&gt;"",H34&lt;TODAY(),LEFT(D34,1)&lt;&gt;"7",LEFT(D34,1)&lt;&gt;"8"),"⚠️ En retard","")</f>
        <v/>
      </c>
      <c r="M34" s="6" t="inlineStr"/>
    </row>
    <row r="35">
      <c r="A35" s="9" t="n">
        <v>32</v>
      </c>
      <c r="B35" s="10" t="inlineStr"/>
      <c r="C35" s="11" t="inlineStr"/>
      <c r="D35" s="9" t="inlineStr"/>
      <c r="E35" s="11" t="inlineStr"/>
      <c r="F35" s="20" t="n"/>
      <c r="G35" s="11" t="inlineStr"/>
      <c r="H35" s="20" t="n"/>
      <c r="I35" s="21" t="n"/>
      <c r="J35" s="9" t="inlineStr"/>
      <c r="K35" s="21">
        <f>IF(I35="","",I35*VALUE(SUBSTITUTE(J35,"%",""))/100)</f>
        <v/>
      </c>
      <c r="L35" s="9">
        <f>IF(AND(H35&lt;&gt;"",H35&lt;TODAY(),LEFT(D35,1)&lt;&gt;"7",LEFT(D35,1)&lt;&gt;"8"),"⚠️ En retard","")</f>
        <v/>
      </c>
      <c r="M35" s="11" t="inlineStr"/>
    </row>
    <row r="36">
      <c r="A36" s="4" t="n">
        <v>33</v>
      </c>
      <c r="B36" s="5" t="inlineStr"/>
      <c r="C36" s="6" t="inlineStr"/>
      <c r="D36" s="4" t="inlineStr"/>
      <c r="E36" s="6" t="inlineStr"/>
      <c r="F36" s="18" t="n"/>
      <c r="G36" s="6" t="inlineStr"/>
      <c r="H36" s="18" t="n"/>
      <c r="I36" s="19" t="n"/>
      <c r="J36" s="4" t="inlineStr"/>
      <c r="K36" s="19">
        <f>IF(I36="","",I36*VALUE(SUBSTITUTE(J36,"%",""))/100)</f>
        <v/>
      </c>
      <c r="L36" s="4">
        <f>IF(AND(H36&lt;&gt;"",H36&lt;TODAY(),LEFT(D36,1)&lt;&gt;"7",LEFT(D36,1)&lt;&gt;"8"),"⚠️ En retard","")</f>
        <v/>
      </c>
      <c r="M36" s="6" t="inlineStr"/>
    </row>
    <row r="37">
      <c r="A37" s="9" t="n">
        <v>34</v>
      </c>
      <c r="B37" s="10" t="inlineStr"/>
      <c r="C37" s="11" t="inlineStr"/>
      <c r="D37" s="9" t="inlineStr"/>
      <c r="E37" s="11" t="inlineStr"/>
      <c r="F37" s="20" t="n"/>
      <c r="G37" s="11" t="inlineStr"/>
      <c r="H37" s="20" t="n"/>
      <c r="I37" s="21" t="n"/>
      <c r="J37" s="9" t="inlineStr"/>
      <c r="K37" s="21">
        <f>IF(I37="","",I37*VALUE(SUBSTITUTE(J37,"%",""))/100)</f>
        <v/>
      </c>
      <c r="L37" s="9">
        <f>IF(AND(H37&lt;&gt;"",H37&lt;TODAY(),LEFT(D37,1)&lt;&gt;"7",LEFT(D37,1)&lt;&gt;"8"),"⚠️ En retard","")</f>
        <v/>
      </c>
      <c r="M37" s="11" t="inlineStr"/>
    </row>
    <row r="38">
      <c r="A38" s="4" t="n">
        <v>35</v>
      </c>
      <c r="B38" s="5" t="inlineStr"/>
      <c r="C38" s="6" t="inlineStr"/>
      <c r="D38" s="4" t="inlineStr"/>
      <c r="E38" s="6" t="inlineStr"/>
      <c r="F38" s="18" t="n"/>
      <c r="G38" s="6" t="inlineStr"/>
      <c r="H38" s="18" t="n"/>
      <c r="I38" s="19" t="n"/>
      <c r="J38" s="4" t="inlineStr"/>
      <c r="K38" s="19">
        <f>IF(I38="","",I38*VALUE(SUBSTITUTE(J38,"%",""))/100)</f>
        <v/>
      </c>
      <c r="L38" s="4">
        <f>IF(AND(H38&lt;&gt;"",H38&lt;TODAY(),LEFT(D38,1)&lt;&gt;"7",LEFT(D38,1)&lt;&gt;"8"),"⚠️ En retard","")</f>
        <v/>
      </c>
      <c r="M38" s="6" t="inlineStr"/>
    </row>
    <row r="39">
      <c r="A39" s="9" t="n">
        <v>36</v>
      </c>
      <c r="B39" s="10" t="inlineStr"/>
      <c r="C39" s="11" t="inlineStr"/>
      <c r="D39" s="9" t="inlineStr"/>
      <c r="E39" s="11" t="inlineStr"/>
      <c r="F39" s="20" t="n"/>
      <c r="G39" s="11" t="inlineStr"/>
      <c r="H39" s="20" t="n"/>
      <c r="I39" s="21" t="n"/>
      <c r="J39" s="9" t="inlineStr"/>
      <c r="K39" s="21">
        <f>IF(I39="","",I39*VALUE(SUBSTITUTE(J39,"%",""))/100)</f>
        <v/>
      </c>
      <c r="L39" s="9">
        <f>IF(AND(H39&lt;&gt;"",H39&lt;TODAY(),LEFT(D39,1)&lt;&gt;"7",LEFT(D39,1)&lt;&gt;"8"),"⚠️ En retard","")</f>
        <v/>
      </c>
      <c r="M39" s="11" t="inlineStr"/>
    </row>
    <row r="40">
      <c r="A40" s="4" t="n">
        <v>37</v>
      </c>
      <c r="B40" s="5" t="inlineStr"/>
      <c r="C40" s="6" t="inlineStr"/>
      <c r="D40" s="4" t="inlineStr"/>
      <c r="E40" s="6" t="inlineStr"/>
      <c r="F40" s="18" t="n"/>
      <c r="G40" s="6" t="inlineStr"/>
      <c r="H40" s="18" t="n"/>
      <c r="I40" s="19" t="n"/>
      <c r="J40" s="4" t="inlineStr"/>
      <c r="K40" s="19">
        <f>IF(I40="","",I40*VALUE(SUBSTITUTE(J40,"%",""))/100)</f>
        <v/>
      </c>
      <c r="L40" s="4">
        <f>IF(AND(H40&lt;&gt;"",H40&lt;TODAY(),LEFT(D40,1)&lt;&gt;"7",LEFT(D40,1)&lt;&gt;"8"),"⚠️ En retard","")</f>
        <v/>
      </c>
      <c r="M40" s="6" t="inlineStr"/>
    </row>
    <row r="41">
      <c r="A41" s="9" t="n">
        <v>38</v>
      </c>
      <c r="B41" s="10" t="inlineStr"/>
      <c r="C41" s="11" t="inlineStr"/>
      <c r="D41" s="9" t="inlineStr"/>
      <c r="E41" s="11" t="inlineStr"/>
      <c r="F41" s="20" t="n"/>
      <c r="G41" s="11" t="inlineStr"/>
      <c r="H41" s="20" t="n"/>
      <c r="I41" s="21" t="n"/>
      <c r="J41" s="9" t="inlineStr"/>
      <c r="K41" s="21">
        <f>IF(I41="","",I41*VALUE(SUBSTITUTE(J41,"%",""))/100)</f>
        <v/>
      </c>
      <c r="L41" s="9">
        <f>IF(AND(H41&lt;&gt;"",H41&lt;TODAY(),LEFT(D41,1)&lt;&gt;"7",LEFT(D41,1)&lt;&gt;"8"),"⚠️ En retard","")</f>
        <v/>
      </c>
      <c r="M41" s="11" t="inlineStr"/>
    </row>
    <row r="42">
      <c r="A42" s="4" t="n">
        <v>39</v>
      </c>
      <c r="B42" s="5" t="inlineStr"/>
      <c r="C42" s="6" t="inlineStr"/>
      <c r="D42" s="4" t="inlineStr"/>
      <c r="E42" s="6" t="inlineStr"/>
      <c r="F42" s="18" t="n"/>
      <c r="G42" s="6" t="inlineStr"/>
      <c r="H42" s="18" t="n"/>
      <c r="I42" s="19" t="n"/>
      <c r="J42" s="4" t="inlineStr"/>
      <c r="K42" s="19">
        <f>IF(I42="","",I42*VALUE(SUBSTITUTE(J42,"%",""))/100)</f>
        <v/>
      </c>
      <c r="L42" s="4">
        <f>IF(AND(H42&lt;&gt;"",H42&lt;TODAY(),LEFT(D42,1)&lt;&gt;"7",LEFT(D42,1)&lt;&gt;"8"),"⚠️ En retard","")</f>
        <v/>
      </c>
      <c r="M42" s="6" t="inlineStr"/>
    </row>
    <row r="43">
      <c r="A43" s="9" t="n">
        <v>40</v>
      </c>
      <c r="B43" s="10" t="inlineStr"/>
      <c r="C43" s="11" t="inlineStr"/>
      <c r="D43" s="9" t="inlineStr"/>
      <c r="E43" s="11" t="inlineStr"/>
      <c r="F43" s="20" t="n"/>
      <c r="G43" s="11" t="inlineStr"/>
      <c r="H43" s="20" t="n"/>
      <c r="I43" s="21" t="n"/>
      <c r="J43" s="9" t="inlineStr"/>
      <c r="K43" s="21">
        <f>IF(I43="","",I43*VALUE(SUBSTITUTE(J43,"%",""))/100)</f>
        <v/>
      </c>
      <c r="L43" s="9">
        <f>IF(AND(H43&lt;&gt;"",H43&lt;TODAY(),LEFT(D43,1)&lt;&gt;"7",LEFT(D43,1)&lt;&gt;"8"),"⚠️ En retard","")</f>
        <v/>
      </c>
      <c r="M43" s="11" t="inlineStr"/>
    </row>
    <row r="45">
      <c r="B45" s="15" t="inlineStr">
        <is>
          <t>📊 Synthèse du pipeline</t>
        </is>
      </c>
    </row>
    <row r="46" ht="30" customHeight="1">
      <c r="A46" s="22" t="inlineStr"/>
      <c r="B46" s="3" t="inlineStr">
        <is>
          <t>Étape</t>
        </is>
      </c>
      <c r="C46" s="3" t="inlineStr">
        <is>
          <t>Nombre</t>
        </is>
      </c>
      <c r="D46" s="3" t="inlineStr">
        <is>
          <t>Montant estimé</t>
        </is>
      </c>
      <c r="E46" s="3" t="inlineStr">
        <is>
          <t>Montant pondéré</t>
        </is>
      </c>
    </row>
    <row r="47">
      <c r="B47" s="10" t="inlineStr">
        <is>
          <t>1. À contacter</t>
        </is>
      </c>
      <c r="C47" s="9">
        <f>COUNTIF($D$4:$D$43,B47)</f>
        <v/>
      </c>
      <c r="D47" s="21">
        <f>SUMIF($D$4:$D$43,B47,$I$4:$I$43)</f>
        <v/>
      </c>
      <c r="E47" s="21">
        <f>SUMIF($D$4:$D$43,B47,$K$4:$K$43)</f>
        <v/>
      </c>
    </row>
    <row r="48">
      <c r="B48" s="5" t="inlineStr">
        <is>
          <t>2. Contacté</t>
        </is>
      </c>
      <c r="C48" s="4">
        <f>COUNTIF($D$4:$D$43,B48)</f>
        <v/>
      </c>
      <c r="D48" s="19">
        <f>SUMIF($D$4:$D$43,B48,$I$4:$I$43)</f>
        <v/>
      </c>
      <c r="E48" s="19">
        <f>SUMIF($D$4:$D$43,B48,$K$4:$K$43)</f>
        <v/>
      </c>
    </row>
    <row r="49">
      <c r="B49" s="10" t="inlineStr">
        <is>
          <t>3. Rendez-vous</t>
        </is>
      </c>
      <c r="C49" s="9">
        <f>COUNTIF($D$4:$D$43,B49)</f>
        <v/>
      </c>
      <c r="D49" s="21">
        <f>SUMIF($D$4:$D$43,B49,$I$4:$I$43)</f>
        <v/>
      </c>
      <c r="E49" s="21">
        <f>SUMIF($D$4:$D$43,B49,$K$4:$K$43)</f>
        <v/>
      </c>
    </row>
    <row r="50">
      <c r="B50" s="5" t="inlineStr">
        <is>
          <t>4. Essai sur ligne</t>
        </is>
      </c>
      <c r="C50" s="4">
        <f>COUNTIF($D$4:$D$43,B50)</f>
        <v/>
      </c>
      <c r="D50" s="19">
        <f>SUMIF($D$4:$D$43,B50,$I$4:$I$43)</f>
        <v/>
      </c>
      <c r="E50" s="19">
        <f>SUMIF($D$4:$D$43,B50,$K$4:$K$43)</f>
        <v/>
      </c>
    </row>
    <row r="51">
      <c r="B51" s="10" t="inlineStr">
        <is>
          <t>5. Offre remise</t>
        </is>
      </c>
      <c r="C51" s="9">
        <f>COUNTIF($D$4:$D$43,B51)</f>
        <v/>
      </c>
      <c r="D51" s="21">
        <f>SUMIF($D$4:$D$43,B51,$I$4:$I$43)</f>
        <v/>
      </c>
      <c r="E51" s="21">
        <f>SUMIF($D$4:$D$43,B51,$K$4:$K$43)</f>
        <v/>
      </c>
    </row>
    <row r="52">
      <c r="B52" s="5" t="inlineStr">
        <is>
          <t>6. Négociation</t>
        </is>
      </c>
      <c r="C52" s="4">
        <f>COUNTIF($D$4:$D$43,B52)</f>
        <v/>
      </c>
      <c r="D52" s="19">
        <f>SUMIF($D$4:$D$43,B52,$I$4:$I$43)</f>
        <v/>
      </c>
      <c r="E52" s="19">
        <f>SUMIF($D$4:$D$43,B52,$K$4:$K$43)</f>
        <v/>
      </c>
    </row>
    <row r="53">
      <c r="B53" s="10" t="inlineStr">
        <is>
          <t>7. Gagné</t>
        </is>
      </c>
      <c r="C53" s="9">
        <f>COUNTIF($D$4:$D$43,B53)</f>
        <v/>
      </c>
      <c r="D53" s="21">
        <f>SUMIF($D$4:$D$43,B53,$I$4:$I$43)</f>
        <v/>
      </c>
      <c r="E53" s="21">
        <f>SUMIF($D$4:$D$43,B53,$K$4:$K$43)</f>
        <v/>
      </c>
    </row>
    <row r="54">
      <c r="B54" s="5" t="inlineStr">
        <is>
          <t>8. Perdu</t>
        </is>
      </c>
      <c r="C54" s="4">
        <f>COUNTIF($D$4:$D$43,B54)</f>
        <v/>
      </c>
      <c r="D54" s="19">
        <f>SUMIF($D$4:$D$43,B54,$I$4:$I$43)</f>
        <v/>
      </c>
      <c r="E54" s="19">
        <f>SUMIF($D$4:$D$43,B54,$K$4:$K$43)</f>
        <v/>
      </c>
    </row>
    <row r="55">
      <c r="B55" s="23" t="inlineStr">
        <is>
          <t>Total</t>
        </is>
      </c>
      <c r="C55" s="23">
        <f>SUM(C47:C54)</f>
        <v/>
      </c>
      <c r="D55" s="24">
        <f>SUM(D47:D54)</f>
        <v/>
      </c>
      <c r="E55" s="24">
        <f>SUM(E47:E54)</f>
        <v/>
      </c>
    </row>
  </sheetData>
  <autoFilter ref="A3:M43"/>
  <mergeCells count="2">
    <mergeCell ref="A2:M2"/>
    <mergeCell ref="C1:M1"/>
  </mergeCells>
  <conditionalFormatting sqref="D4:D43">
    <cfRule type="expression" priority="1" dxfId="0">
      <formula>LEFT(D4,1)="7"</formula>
    </cfRule>
    <cfRule type="expression" priority="2" dxfId="1">
      <formula>LEFT(D4,1)="8"</formula>
    </cfRule>
  </conditionalFormatting>
  <conditionalFormatting sqref="L4:L43">
    <cfRule type="expression" priority="3" dxfId="2">
      <formula>L4&lt;&gt;""</formula>
    </cfRule>
  </conditionalFormatting>
  <dataValidations count="2">
    <dataValidation sqref="D4 D5 D6 D7 D8 D9 D10 D11 D12 D13 D14 D15 D16 D17 D18 D19 D20 D21 D22 D23 D24 D25 D26 D27 D28 D29 D30 D31 D32 D33 D34 D35 D36 D37 D38 D39 D40 D41 D42 D43" showDropDown="0" showInputMessage="0" showErrorMessage="0" allowBlank="1" type="list">
      <formula1>"1. À contacter,2. Contacté,3. Rendez-vous,4. Essai sur ligne,5. Offre remise,6. Négociation,7. Gagné,8. Perdu"</formula1>
    </dataValidation>
    <dataValidation sqref="J4 J5 J6 J7 J8 J9 J10 J11 J12 J13 J14 J15 J16 J17 J18 J19 J20 J21 J22 J23 J24 J25 J26 J27 J28 J29 J30 J31 J32 J33 J34 J35 J36 J37 J38 J39 J40 J41 J42 J43" showDropDown="0" showInputMessage="0" showErrorMessage="0" allowBlank="1" type="list">
      <formula1>"10%,25%,50%,75%,90%,100%,0%"</formula1>
    </dataValidation>
  </dataValidation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30"/>
  <sheetViews>
    <sheetView showGridLines="0" workbookViewId="0">
      <selection activeCell="A1" sqref="A1"/>
    </sheetView>
  </sheetViews>
  <sheetFormatPr baseColWidth="8" defaultRowHeight="15"/>
  <cols>
    <col width="30" customWidth="1" min="1" max="1"/>
    <col width="22" customWidth="1" min="2" max="2"/>
    <col width="16" customWidth="1" min="3" max="3"/>
    <col width="12" customWidth="1" min="4" max="4"/>
    <col width="20" customWidth="1" min="5" max="5"/>
    <col width="10" customWidth="1" min="6" max="6"/>
    <col width="20" customWidth="1" min="7" max="7"/>
  </cols>
  <sheetData>
    <row r="1" ht="52" customHeight="1">
      <c r="C1" s="1" t="inlineStr">
        <is>
          <t>🧾 Proposition commerciale · modèle</t>
        </is>
      </c>
    </row>
    <row r="2" ht="30" customHeight="1">
      <c r="A2" s="2" t="inlineStr">
        <is>
          <t>Modèle à compléter par le commercial. Les prix, remises, délais et conditions de paiement se remplissent seulement après validation de la direction.</t>
        </is>
      </c>
    </row>
    <row r="4">
      <c r="A4" s="25" t="inlineStr">
        <is>
          <t>Client</t>
        </is>
      </c>
      <c r="B4" s="26" t="n"/>
      <c r="C4" s="26" t="n"/>
      <c r="D4" s="26" t="n"/>
    </row>
    <row r="5">
      <c r="A5" s="25" t="inlineStr">
        <is>
          <t>Interlocuteur</t>
        </is>
      </c>
      <c r="B5" s="26" t="n"/>
      <c r="C5" s="26" t="n"/>
      <c r="D5" s="26" t="n"/>
    </row>
    <row r="6">
      <c r="A6" s="25" t="inlineStr">
        <is>
          <t>Date</t>
        </is>
      </c>
      <c r="B6" s="26" t="n"/>
      <c r="C6" s="26" t="n"/>
      <c r="D6" s="26" t="n"/>
    </row>
    <row r="7">
      <c r="A7" s="25" t="inlineStr">
        <is>
          <t>Référence de la proposition</t>
        </is>
      </c>
      <c r="B7" s="26" t="n"/>
      <c r="C7" s="26" t="n"/>
      <c r="D7" s="26" t="n"/>
    </row>
    <row r="8">
      <c r="A8" s="25" t="inlineStr">
        <is>
          <t>Validité de l'offre</t>
        </is>
      </c>
      <c r="B8" s="26" t="n"/>
      <c r="C8" s="26" t="n"/>
      <c r="D8" s="26" t="n"/>
    </row>
    <row r="9">
      <c r="A9" s="25" t="inlineStr">
        <is>
          <t>Essai réalisé le</t>
        </is>
      </c>
      <c r="B9" s="26" t="n"/>
      <c r="C9" s="26" t="n"/>
      <c r="D9" s="26" t="n"/>
    </row>
    <row r="11" ht="30" customHeight="1">
      <c r="A11" s="3" t="inlineStr">
        <is>
          <t>Désignation</t>
        </is>
      </c>
      <c r="B11" s="3" t="inlineStr">
        <is>
          <t>Format et dimensions</t>
        </is>
      </c>
      <c r="C11" s="3" t="inlineStr">
        <is>
          <t>Impression</t>
        </is>
      </c>
      <c r="D11" s="3" t="inlineStr">
        <is>
          <t>Quantité</t>
        </is>
      </c>
      <c r="E11" s="3" t="inlineStr">
        <is>
          <t>Prix unitaire HT (F CFA)</t>
        </is>
      </c>
      <c r="F11" s="3" t="inlineStr">
        <is>
          <t>Remise</t>
        </is>
      </c>
      <c r="G11" s="3" t="inlineStr">
        <is>
          <t>Total HT (F CFA)</t>
        </is>
      </c>
    </row>
    <row r="12">
      <c r="A12" s="27" t="inlineStr">
        <is>
          <t>Exemple : sac PP tissé imprimé pour farine</t>
        </is>
      </c>
      <c r="B12" s="27" t="inlineStr">
        <is>
          <t>50 kg, laminé</t>
        </is>
      </c>
      <c r="C12" s="27" t="inlineStr">
        <is>
          <t>2 couleurs</t>
        </is>
      </c>
      <c r="D12" s="28" t="n"/>
      <c r="E12" s="28" t="n"/>
      <c r="F12" s="29" t="n"/>
      <c r="G12" s="28">
        <f>IF(OR(D12="",E12=""),"",D12*E12*(1-IF(F12="",0,F12)))</f>
        <v/>
      </c>
    </row>
    <row r="13">
      <c r="A13" s="11" t="n"/>
      <c r="B13" s="11" t="n"/>
      <c r="C13" s="11" t="n"/>
      <c r="D13" s="30" t="n"/>
      <c r="E13" s="30" t="n"/>
      <c r="F13" s="31" t="n"/>
      <c r="G13" s="30">
        <f>IF(OR(D13="",E13=""),"",D13*E13*(1-IF(F13="",0,F13)))</f>
        <v/>
      </c>
    </row>
    <row r="14">
      <c r="A14" s="6" t="n"/>
      <c r="B14" s="6" t="n"/>
      <c r="C14" s="6" t="n"/>
      <c r="D14" s="28" t="n"/>
      <c r="E14" s="28" t="n"/>
      <c r="F14" s="29" t="n"/>
      <c r="G14" s="28">
        <f>IF(OR(D14="",E14=""),"",D14*E14*(1-IF(F14="",0,F14)))</f>
        <v/>
      </c>
    </row>
    <row r="15">
      <c r="A15" s="11" t="n"/>
      <c r="B15" s="11" t="n"/>
      <c r="C15" s="11" t="n"/>
      <c r="D15" s="30" t="n"/>
      <c r="E15" s="30" t="n"/>
      <c r="F15" s="31" t="n"/>
      <c r="G15" s="30">
        <f>IF(OR(D15="",E15=""),"",D15*E15*(1-IF(F15="",0,F15)))</f>
        <v/>
      </c>
    </row>
    <row r="16">
      <c r="A16" s="6" t="n"/>
      <c r="B16" s="6" t="n"/>
      <c r="C16" s="6" t="n"/>
      <c r="D16" s="28" t="n"/>
      <c r="E16" s="28" t="n"/>
      <c r="F16" s="29" t="n"/>
      <c r="G16" s="28">
        <f>IF(OR(D16="",E16=""),"",D16*E16*(1-IF(F16="",0,F16)))</f>
        <v/>
      </c>
    </row>
    <row r="17">
      <c r="A17" s="11" t="n"/>
      <c r="B17" s="11" t="n"/>
      <c r="C17" s="11" t="n"/>
      <c r="D17" s="30" t="n"/>
      <c r="E17" s="30" t="n"/>
      <c r="F17" s="31" t="n"/>
      <c r="G17" s="30">
        <f>IF(OR(D17="",E17=""),"",D17*E17*(1-IF(F17="",0,F17)))</f>
        <v/>
      </c>
    </row>
    <row r="18">
      <c r="A18" s="6" t="n"/>
      <c r="B18" s="6" t="n"/>
      <c r="C18" s="6" t="n"/>
      <c r="D18" s="28" t="n"/>
      <c r="E18" s="28" t="n"/>
      <c r="F18" s="29" t="n"/>
      <c r="G18" s="28">
        <f>IF(OR(D18="",E18=""),"",D18*E18*(1-IF(F18="",0,F18)))</f>
        <v/>
      </c>
    </row>
    <row r="19">
      <c r="A19" s="11" t="n"/>
      <c r="B19" s="11" t="n"/>
      <c r="C19" s="11" t="n"/>
      <c r="D19" s="30" t="n"/>
      <c r="E19" s="30" t="n"/>
      <c r="F19" s="31" t="n"/>
      <c r="G19" s="30">
        <f>IF(OR(D19="",E19=""),"",D19*E19*(1-IF(F19="",0,F19)))</f>
        <v/>
      </c>
    </row>
    <row r="21">
      <c r="F21" s="23" t="inlineStr">
        <is>
          <t>Total HT</t>
        </is>
      </c>
      <c r="G21" s="32">
        <f>SUM(G12:G19)</f>
        <v/>
      </c>
    </row>
    <row r="22">
      <c r="F22" s="23" t="inlineStr">
        <is>
          <t>TVA (18 %)</t>
        </is>
      </c>
      <c r="G22" s="32">
        <f>G21*0.18</f>
        <v/>
      </c>
    </row>
    <row r="23">
      <c r="F23" s="23" t="inlineStr">
        <is>
          <t>Total TTC</t>
        </is>
      </c>
      <c r="G23" s="32">
        <f>G21+G22</f>
        <v/>
      </c>
    </row>
    <row r="25">
      <c r="A25" s="15" t="inlineStr">
        <is>
          <t>📋 Conditions</t>
        </is>
      </c>
    </row>
    <row r="26">
      <c r="A26" s="33" t="inlineStr">
        <is>
          <t>Délai de livraison</t>
        </is>
      </c>
      <c r="B26" s="34" t="inlineStr">
        <is>
          <t>Confirmé par la production</t>
        </is>
      </c>
    </row>
    <row r="27">
      <c r="A27" s="33" t="inlineStr">
        <is>
          <t>Conditions de paiement</t>
        </is>
      </c>
      <c r="B27" s="34" t="inlineStr">
        <is>
          <t>Validées par la direction financière</t>
        </is>
      </c>
    </row>
    <row r="28">
      <c r="A28" s="33" t="inlineStr">
        <is>
          <t>Lieu de livraison</t>
        </is>
      </c>
      <c r="B28" s="34" t="inlineStr">
        <is>
          <t>Usine du client</t>
        </is>
      </c>
    </row>
    <row r="29">
      <c r="A29" s="33" t="inlineStr">
        <is>
          <t>Documents fournis</t>
        </is>
      </c>
      <c r="B29" s="34" t="inlineStr">
        <is>
          <t>Fiche technique, attestation de contact alimentaire, certificat ISO 9001</t>
        </is>
      </c>
    </row>
    <row r="30">
      <c r="A30" s="33" t="inlineStr">
        <is>
          <t>Quantité minimale</t>
        </is>
      </c>
      <c r="B30" s="34" t="inlineStr">
        <is>
          <t>Confirmée par la production</t>
        </is>
      </c>
    </row>
  </sheetData>
  <mergeCells count="13">
    <mergeCell ref="B5:D5"/>
    <mergeCell ref="B28:G28"/>
    <mergeCell ref="B30:G30"/>
    <mergeCell ref="B8:D8"/>
    <mergeCell ref="C1:G1"/>
    <mergeCell ref="B4:D4"/>
    <mergeCell ref="B27:G27"/>
    <mergeCell ref="B9:D9"/>
    <mergeCell ref="A2:G2"/>
    <mergeCell ref="B26:G26"/>
    <mergeCell ref="B7:D7"/>
    <mergeCell ref="B6:D6"/>
    <mergeCell ref="B29:G29"/>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2026-10-28T22:32:37Z</dcterms:created>
  <dcterms:modified xmlns:dcterms="http://purl.org/dc/terms/" xmlns:xsi="http://www.w3.org/2001/XMLSchema-instance" xsi:type="dcterms:W3CDTF">2026-10-28T22:32:37Z</dcterms:modified>
</cp:coreProperties>
</file>