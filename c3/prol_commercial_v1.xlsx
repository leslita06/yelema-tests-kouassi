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rospects Abidjan" sheetId="1" state="visible" r:id="rId1"/>
    <sheet xmlns:r="http://schemas.openxmlformats.org/officeDocument/2006/relationships" name="🚚 San-Pédro et Korhogo" sheetId="2" state="visible" r:id="rId2"/>
    <sheet xmlns:r="http://schemas.openxmlformats.org/officeDocument/2006/relationships" name="📈 Suivi des affaires" sheetId="3" state="visible" r:id="rId3"/>
  </sheets>
  <definedNames>
    <definedName name="_xlnm._FilterDatabase" localSheetId="0" hidden="1">'🎯 Prospects Abidjan'!$A$3:$L$33</definedName>
    <definedName name="_xlnm._FilterDatabase" localSheetId="1" hidden="1">'🚚 San-Pédro et Korhogo'!$A$3:$K$23</definedName>
    <definedName name="_xlnm._FilterDatabase" localSheetId="2" hidden="1">'📈 Suivi des affaires'!$A$3:$M$63</definedName>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name val="Inter"/>
      <b val="1"/>
      <color rgb="00D9501C"/>
      <sz val="15"/>
    </font>
    <font>
      <name val="Inter"/>
      <i val="1"/>
      <color rgb="00666666"/>
      <sz val="9"/>
    </font>
    <font>
      <name val="Inter"/>
      <b val="1"/>
      <color rgb="00FFFFFF"/>
      <sz val="10"/>
    </font>
    <font>
      <name val="Inter"/>
      <sz val="9"/>
    </font>
    <font>
      <name val="Inter"/>
      <b val="1"/>
      <sz val="9"/>
    </font>
    <font>
      <name val="Inter"/>
      <color rgb="001F5FA8"/>
      <sz val="8"/>
      <u val="single"/>
    </font>
    <font>
      <name val="Inter"/>
      <b val="1"/>
      <color rgb="00D9501C"/>
      <sz val="12"/>
    </font>
  </fonts>
  <fills count="7">
    <fill>
      <patternFill/>
    </fill>
    <fill>
      <patternFill patternType="gray125"/>
    </fill>
    <fill>
      <patternFill patternType="solid">
        <fgColor rgb="00D9501C"/>
      </patternFill>
    </fill>
    <fill>
      <patternFill patternType="solid">
        <fgColor rgb="00F9D0C4"/>
      </patternFill>
    </fill>
    <fill>
      <patternFill patternType="solid">
        <fgColor rgb="00F6F8FA"/>
      </patternFill>
    </fill>
    <fill>
      <patternFill patternType="solid">
        <fgColor rgb="00FDEBD0"/>
      </patternFill>
    </fill>
    <fill>
      <patternFill patternType="solid">
        <fgColor rgb="00EDEDED"/>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top" wrapText="1"/>
    </xf>
    <xf numFmtId="0" fontId="6" fillId="0"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164" fontId="4" fillId="0" borderId="1" applyAlignment="1" pivotButton="0" quotePrefix="0" xfId="0">
      <alignment horizontal="center" vertical="top" wrapText="1"/>
    </xf>
    <xf numFmtId="3" fontId="4" fillId="0" borderId="1" applyAlignment="1" pivotButton="0" quotePrefix="0" xfId="0">
      <alignment horizontal="left" vertical="top" wrapText="1"/>
    </xf>
    <xf numFmtId="164" fontId="4" fillId="4" borderId="1" applyAlignment="1" pivotButton="0" quotePrefix="0" xfId="0">
      <alignment horizontal="center" vertical="top" wrapText="1"/>
    </xf>
    <xf numFmtId="3" fontId="4" fillId="4" borderId="1" applyAlignment="1" pivotButton="0" quotePrefix="0" xfId="0">
      <alignment horizontal="left" vertical="top" wrapText="1"/>
    </xf>
    <xf numFmtId="0" fontId="7" fillId="0" borderId="0" pivotButton="0" quotePrefix="0" xfId="0"/>
    <xf numFmtId="0" fontId="3" fillId="0" borderId="1" applyAlignment="1" pivotButton="0" quotePrefix="0" xfId="0">
      <alignment horizontal="center" vertical="center" wrapText="1"/>
    </xf>
    <xf numFmtId="0" fontId="3" fillId="2" borderId="1" pivotButton="0" quotePrefix="0" xfId="0"/>
    <xf numFmtId="3" fontId="3" fillId="2" borderId="1" pivotButton="0" quotePrefix="0" xfId="0"/>
  </cellXfs>
  <cellStyles count="1">
    <cellStyle name="Normal" xfId="0" builtinId="0" hidden="0"/>
  </cellStyles>
  <dxfs count="3">
    <dxf>
      <fill>
        <patternFill patternType="solid">
          <fgColor rgb="00CDEFD8"/>
        </patternFill>
      </fill>
    </dxf>
    <dxf>
      <fill>
        <patternFill patternType="solid">
          <fgColor rgb="00E6E6E6"/>
        </patternFill>
      </fill>
    </dxf>
    <dxf>
      <fill>
        <patternFill patternType="solid">
          <fgColor rgb="00FAD4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0</row>
      <rowOff>0</rowOff>
    </from>
    <ext cx="1143000" cy="409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143000" cy="409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143000" cy="409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olamgroup.com" TargetMode="External" Id="rId1"/><Relationship Type="http://schemas.openxmlformats.org/officeDocument/2006/relationships/hyperlink" Target="https://showroomafrica.com/annuaire/agriculture/agro-industrie-1/olam-cote-divoire" TargetMode="External" Id="rId2"/><Relationship Type="http://schemas.openxmlformats.org/officeDocument/2006/relationships/hyperlink" Target="https://www.barry-callebaut.com" TargetMode="External" Id="rId3"/><Relationship Type="http://schemas.openxmlformats.org/officeDocument/2006/relationships/hyperlink" Target="https://barry-callebaut.com/en-US/group/media/news-stories/barry-callebaut-expands-its-cocoa-processing-capacities-cote-divoire" TargetMode="External" Id="rId4"/><Relationship Type="http://schemas.openxmlformats.org/officeDocument/2006/relationships/hyperlink" Target="https://news.abidjan.net/articles/732390/en-visite-a-lusine-cemoi-a-yopougon-le-president-angolais-joao-lourenco-salue-le-processus-de-transformation-locale-du-cacao" TargetMode="External" Id="rId5"/><Relationship Type="http://schemas.openxmlformats.org/officeDocument/2006/relationships/hyperlink" Target="https://seaboardoverseas.com/location/grands-moulins-dabidjan" TargetMode="External" Id="rId6"/><Relationship Type="http://schemas.openxmlformats.org/officeDocument/2006/relationships/hyperlink" Target="https://www.sania.ci" TargetMode="External" Id="rId7"/><Relationship Type="http://schemas.openxmlformats.org/officeDocument/2006/relationships/hyperlink" Target="https://groupesifca.com/nous-contacter" TargetMode="External" Id="rId8"/><Relationship Type="http://schemas.openxmlformats.org/officeDocument/2006/relationships/hyperlink" Target="https://touton.com" TargetMode="External" Id="rId9"/><Relationship Type="http://schemas.openxmlformats.org/officeDocument/2006/relationships/hyperlink" Target="https://touton.com/news/une-nouvelle-plateforme-logistique-touton-a-san-pedro-civ-2" TargetMode="External" Id="rId10"/><Relationship Type="http://schemas.openxmlformats.org/officeDocument/2006/relationships/hyperlink" Target="https://www.solibra.ci" TargetMode="External" Id="rId11"/><Relationship Type="http://schemas.openxmlformats.org/officeDocument/2006/relationships/hyperlink" Target="https://solibra.ci/contacts/nous-contacter-46.html" TargetMode="External" Id="rId12"/><Relationship Type="http://schemas.openxmlformats.org/officeDocument/2006/relationships/hyperlink" Target="http://www.cdci.ci" TargetMode="External" Id="rId13"/><Relationship Type="http://schemas.openxmlformats.org/officeDocument/2006/relationships/hyperlink" Target="https://business.abidjan.net/pages-jaunes/details-14-logistique-1-maritime/10129-compagnie-de-distribution-de-cote-divoire-cdci" TargetMode="External" Id="rId14"/><Relationship Type="http://schemas.openxmlformats.org/officeDocument/2006/relationships/hyperlink" Target="https://groupeprosuma.com" TargetMode="External" Id="rId15"/><Relationship Type="http://schemas.openxmlformats.org/officeDocument/2006/relationships/hyperlink" Target="https://groupeprosuma.com/en/presentation" TargetMode="External" Id="rId16"/><Relationship Type="http://schemas.openxmlformats.org/officeDocument/2006/relationships/hyperlink" Target="https://www.carredor.org" TargetMode="External" Id="rId17"/><Relationship Type="http://schemas.openxmlformats.org/officeDocument/2006/relationships/hyperlink" Target="https://www.carredor.org/filiales/sdtm-ci/" TargetMode="External" Id="rId18"/><Relationship Type="http://schemas.openxmlformats.org/officeDocument/2006/relationships/hyperlink" Target="https://www.sivop.com" TargetMode="External" Id="rId19"/><Relationship Type="http://schemas.openxmlformats.org/officeDocument/2006/relationships/hyperlink" Target="http://www.sivop.com/" TargetMode="External" Id="rId20"/><Relationship Type="http://schemas.openxmlformats.org/officeDocument/2006/relationships/hyperlink" Target="https://www.unilever.com" TargetMode="External" Id="rId21"/><Relationship Type="http://schemas.openxmlformats.org/officeDocument/2006/relationships/hyperlink" Target="https://fr.wikipedia.org/wiki/Unilever_C%C3%B4te_d%27Ivoire" TargetMode="External" Id="rId22"/><Relationship Type="http://schemas.openxmlformats.org/officeDocument/2006/relationships/hyperlink" Target="https://cotedivoire.ubipharm.com" TargetMode="External" Id="rId23"/><Relationship Type="http://schemas.openxmlformats.org/officeDocument/2006/relationships/hyperlink" Target="https://ubipharm.com/fr/Contact" TargetMode="External" Id="rId24"/><Relationship Type="http://schemas.openxmlformats.org/officeDocument/2006/relationships/hyperlink" Target="https://www.copharmed.com" TargetMode="External" Id="rId25"/><Relationship Type="http://schemas.openxmlformats.org/officeDocument/2006/relationships/hyperlink" Target="https://www.copharmed.com/en/who-are-we-cms-qui-sommes-nous" TargetMode="External" Id="rId26"/><Relationship Type="http://schemas.openxmlformats.org/officeDocument/2006/relationships/hyperlink" Target="http://www.dpci.ci" TargetMode="External" Id="rId27"/><Relationship Type="http://schemas.openxmlformats.org/officeDocument/2006/relationships/hyperlink" Target="http://www.dpci.ci/" TargetMode="External" Id="rId28"/><Relationship Type="http://schemas.openxmlformats.org/officeDocument/2006/relationships/hyperlink" Target="https://tedis.fr" TargetMode="External" Id="rId29"/><Relationship Type="http://schemas.openxmlformats.org/officeDocument/2006/relationships/hyperlink" Target="https://tedis.fr/en/filiales/ivory-coast" TargetMode="External" Id="rId30"/><Relationship Type="http://schemas.openxmlformats.org/officeDocument/2006/relationships/hyperlink" Target="https://teriak.com/En/cipharm_11_50" TargetMode="External" Id="rId31"/><Relationship Type="http://schemas.openxmlformats.org/officeDocument/2006/relationships/hyperlink" Target="https://kfnpharma.com" TargetMode="External" Id="rId32"/><Relationship Type="http://schemas.openxmlformats.org/officeDocument/2006/relationships/hyperlink" Target="https://kfnpharma.com/" TargetMode="External" Id="rId33"/><Relationship Type="http://schemas.openxmlformats.org/officeDocument/2006/relationships/hyperlink" Target="https://www.lafargeholcim.ci" TargetMode="External" Id="rId34"/><Relationship Type="http://schemas.openxmlformats.org/officeDocument/2006/relationships/hyperlink" Target="https://www.lafargeholcim.ci/contact" TargetMode="External" Id="rId35"/><Relationship Type="http://schemas.openxmlformats.org/officeDocument/2006/relationships/hyperlink" Target="https://cimentsafrique.com" TargetMode="External" Id="rId36"/><Relationship Type="http://schemas.openxmlformats.org/officeDocument/2006/relationships/hyperlink" Target="https://cimentsafrique.com/en/implantations/cote-divoire" TargetMode="External" Id="rId37"/><Relationship Type="http://schemas.openxmlformats.org/officeDocument/2006/relationships/hyperlink" Target="https://www.neemba.com" TargetMode="External" Id="rId38"/><Relationship Type="http://schemas.openxmlformats.org/officeDocument/2006/relationships/hyperlink" Target="https://gibtp.ci/membres/manutention-africaine-cote-d-ivoire/46" TargetMode="External" Id="rId39"/><Relationship Type="http://schemas.openxmlformats.org/officeDocument/2006/relationships/hyperlink" Target="https://www.sir.ci" TargetMode="External" Id="rId40"/><Relationship Type="http://schemas.openxmlformats.org/officeDocument/2006/relationships/hyperlink" Target="https://www.sir.ci/contact/" TargetMode="External" Id="rId41"/><Relationship Type="http://schemas.openxmlformats.org/officeDocument/2006/relationships/hyperlink" Target="https://www.vivoenergy.com" TargetMode="External" Id="rId42"/><Relationship Type="http://schemas.openxmlformats.org/officeDocument/2006/relationships/hyperlink" Target="https://vivoenergy.com/en/where-we-operate/cote-divoire?tab=commercial" TargetMode="External" Id="rId43"/><Relationship Type="http://schemas.openxmlformats.org/officeDocument/2006/relationships/hyperlink" Target="https://www.yeshigroup.com" TargetMode="External" Id="rId44"/><Relationship Type="http://schemas.openxmlformats.org/officeDocument/2006/relationships/hyperlink" Target="https://www.yeshigroup.com/fr/societes/distribution/bernabe" TargetMode="External" Id="rId45"/><Relationship Type="http://schemas.openxmlformats.org/officeDocument/2006/relationships/hyperlink" Target="https://www.cfaogroup.com" TargetMode="External" Id="rId46"/><Relationship Type="http://schemas.openxmlformats.org/officeDocument/2006/relationships/hyperlink" Target="https://www.cfaogroup.com/en/activities/consumer" TargetMode="External" Id="rId47"/><Relationship Type="http://schemas.openxmlformats.org/officeDocument/2006/relationships/hyperlink" Target="https://www.jumia.ci" TargetMode="External" Id="rId48"/><Relationship Type="http://schemas.openxmlformats.org/officeDocument/2006/relationships/hyperlink" Target="https://group.jumia.com/community-support/e-commerce-in-rural-areas-of-cote-d-ivoire" TargetMode="External" Id="rId49"/><Relationship Type="http://schemas.openxmlformats.org/officeDocument/2006/relationships/hyperlink" Target="https://www.decathlon.ci" TargetMode="External" Id="rId50"/><Relationship Type="http://schemas.openxmlformats.org/officeDocument/2006/relationships/hyperlink" Target="https://adweknow.com/en/decathlon-continues-its-expansion-in-ivory-coast" TargetMode="External" Id="rId51"/><Relationship Type="http://schemas.openxmlformats.org/officeDocument/2006/relationships/hyperlink" Target="https://mr-bricolage.ci" TargetMode="External" Id="rId52"/><Relationship Type="http://schemas.openxmlformats.org/officeDocument/2006/relationships/hyperlink" Target="https://mr-bricolage.ci/static/contact" TargetMode="External" Id="rId53"/><Relationship Type="http://schemas.openxmlformats.org/officeDocument/2006/relationships/hyperlink" Target="https://annuaireci.com/entreprises/orca-deco-abidjan-cote-divoire" TargetMode="External" Id="rId54"/><Relationship Type="http://schemas.openxmlformats.org/officeDocument/2006/relationships/hyperlink" Target="https://deli.yango.com/en-ci" TargetMode="External" Id="rId55"/><Relationship Type="http://schemas.openxmlformats.org/officeDocument/2006/relationships/hyperlink" Target="https://deli.yango.com/en-ci" TargetMode="External" Id="rId56"/><Relationship Type="http://schemas.openxmlformats.org/officeDocument/2006/relationships/drawing" Target="/xl/drawings/drawing1.xml" Id="rId57"/></Relationships>
</file>

<file path=xl/worksheets/_rels/sheet2.xml.rels><Relationships xmlns="http://schemas.openxmlformats.org/package/2006/relationships"><Relationship Type="http://schemas.openxmlformats.org/officeDocument/2006/relationships/hyperlink" Target="https://aprocotci.org/les-societes-membres/" TargetMode="External" Id="rId1"/><Relationship Type="http://schemas.openxmlformats.org/officeDocument/2006/relationships/hyperlink" Target="https://www.ivoire-coton.com" TargetMode="External" Id="rId2"/><Relationship Type="http://schemas.openxmlformats.org/officeDocument/2006/relationships/hyperlink" Target="https://aprocotci.org/les-societes-membres/" TargetMode="External" Id="rId3"/><Relationship Type="http://schemas.openxmlformats.org/officeDocument/2006/relationships/hyperlink" Target="https://dkcajou.com" TargetMode="External" Id="rId4"/><Relationship Type="http://schemas.openxmlformats.org/officeDocument/2006/relationships/hyperlink" Target="https://dkcajou.com/a-propos-dk-cajou" TargetMode="External" Id="rId5"/><Relationship Type="http://schemas.openxmlformats.org/officeDocument/2006/relationships/hyperlink" Target="https://groupe-somdia.com" TargetMode="External" Id="rId6"/><Relationship Type="http://schemas.openxmlformats.org/officeDocument/2006/relationships/hyperlink" Target="https://groupe-somdia.com/en/sucaf-ci-launches-2023-2024-campaign" TargetMode="External" Id="rId7"/><Relationship Type="http://schemas.openxmlformats.org/officeDocument/2006/relationships/hyperlink" Target="https://www.olamagri.com" TargetMode="External" Id="rId8"/><Relationship Type="http://schemas.openxmlformats.org/officeDocument/2006/relationships/hyperlink" Target="https://aprocotci.org/les-societes-membres/" TargetMode="External" Id="rId9"/><Relationship Type="http://schemas.openxmlformats.org/officeDocument/2006/relationships/hyperlink" Target="https://ecofinagency.com/news-industry/1809-59043-cote-d-ivoire-s-tongon-gold-mine-targets-longer-life-nine-months-after-305-million-sale" TargetMode="External" Id="rId10"/><Relationship Type="http://schemas.openxmlformats.org/officeDocument/2006/relationships/hyperlink" Target="https://ivoirematin.com/en/news/5/filiere-mangue-en-cote-divoire-un-plan-de-16-milliard-fcfa-pour-conquerir-2026_n_119146.html" TargetMode="External" Id="rId11"/><Relationship Type="http://schemas.openxmlformats.org/officeDocument/2006/relationships/hyperlink" Target="https://www.tropic-cajou.com" TargetMode="External" Id="rId12"/><Relationship Type="http://schemas.openxmlformats.org/officeDocument/2006/relationships/hyperlink" Target="https://www.tropic-cajou.com/qui-sommes-nous/" TargetMode="External" Id="rId13"/><Relationship Type="http://schemas.openxmlformats.org/officeDocument/2006/relationships/hyperlink" Target="https://touton.com" TargetMode="External" Id="rId14"/><Relationship Type="http://schemas.openxmlformats.org/officeDocument/2006/relationships/hyperlink" Target="https://touton.com/une-nouvelle-plateforme-logistique-touton-a-san-pedro-civ" TargetMode="External" Id="rId15"/><Relationship Type="http://schemas.openxmlformats.org/officeDocument/2006/relationships/hyperlink" Target="https://www.olamgroup.com" TargetMode="External" Id="rId16"/><Relationship Type="http://schemas.openxmlformats.org/officeDocument/2006/relationships/hyperlink" Target="https://www.olamgroup.com/news/all-news/press-release/ouattara-olam-cocoa-processing-facility-cote-divoire.html" TargetMode="External" Id="rId17"/><Relationship Type="http://schemas.openxmlformats.org/officeDocument/2006/relationships/hyperlink" Target="https://www.barry-callebaut.com" TargetMode="External" Id="rId18"/><Relationship Type="http://schemas.openxmlformats.org/officeDocument/2006/relationships/hyperlink" Target="https://www.barry-callebaut.com/en/about-us/media/news-stories/barry-callebaut-expands-its-cocoa-processing-capacities-cote-divoire" TargetMode="External" Id="rId19"/><Relationship Type="http://schemas.openxmlformats.org/officeDocument/2006/relationships/hyperlink" Target="https://cighci.org/cote-divoire-inaugurates-transcao-pk-24-industrial-complex" TargetMode="External" Id="rId20"/><Relationship Type="http://schemas.openxmlformats.org/officeDocument/2006/relationships/hyperlink" Target="https://foodbusinessmea.com/ivory-cocoa-products-secures-us23-23m-working-capital-facility" TargetMode="External" Id="rId21"/><Relationship Type="http://schemas.openxmlformats.org/officeDocument/2006/relationships/hyperlink" Target="https://www.ecomtrading.com" TargetMode="External" Id="rId22"/><Relationship Type="http://schemas.openxmlformats.org/officeDocument/2006/relationships/hyperlink" Target="https://foodbusinessmea.com/ecom-secures-us230m-from-ifc-for-its-activities-in-west-africa" TargetMode="External" Id="rId23"/><Relationship Type="http://schemas.openxmlformats.org/officeDocument/2006/relationships/hyperlink" Target="https://www.cmbafing.com" TargetMode="External" Id="rId24"/><Relationship Type="http://schemas.openxmlformats.org/officeDocument/2006/relationships/hyperlink" Target="https://www.cmbafing.com/" TargetMode="External" Id="rId25"/><Relationship Type="http://schemas.openxmlformats.org/officeDocument/2006/relationships/hyperlink" Target="https://mk.ca/citrac" TargetMode="External" Id="rId26"/><Relationship Type="http://schemas.openxmlformats.org/officeDocument/2006/relationships/hyperlink" Target="https://www.sogbci.com" TargetMode="External" Id="rId27"/><Relationship Type="http://schemas.openxmlformats.org/officeDocument/2006/relationships/hyperlink" Target="https://socfin.com/implantations/sogb/" TargetMode="External" Id="rId28"/><Relationship Type="http://schemas.openxmlformats.org/officeDocument/2006/relationships/hyperlink" Target="https://atlantic-cocoacorporation.net" TargetMode="External" Id="rId29"/><Relationship Type="http://schemas.openxmlformats.org/officeDocument/2006/relationships/hyperlink" Target="https://atlantic-cocoacorporation.net/production-facilities/" TargetMode="External" Id="rId30"/><Relationship Type="http://schemas.openxmlformats.org/officeDocument/2006/relationships/hyperlink" Target="https://cml-ci.com" TargetMode="External" Id="rId31"/><Relationship Type="http://schemas.openxmlformats.org/officeDocument/2006/relationships/hyperlink" Target="https://koaci.com/article/2025/01/10/cote-divoire/societe/cote-divoire-cml-dont-letat-detient-61-des-parts-se-renforce-de-camions-bennes-pour-le-transport-du-manganese-vers-les-ports-strategiques-de-san-pedro-et-abidjan_183661.html" TargetMode="External" Id="rId32"/><Relationship Type="http://schemas.openxmlformats.org/officeDocument/2006/relationships/hyperlink" Target="https://ivoireindustriemag.com/en/articles/san-pedro-quand-les-planteurs-de-cacao-deviennent-industriels-2peenu" TargetMode="External" Id="rId33"/><Relationship Type="http://schemas.openxmlformats.org/officeDocument/2006/relationships/drawing" Target="/xl/drawings/drawing2.xml" Id="rId34"/></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L3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0" customWidth="1" min="3" max="3"/>
    <col width="26" customWidth="1" min="4" max="4"/>
    <col width="24" customWidth="1" min="5" max="5"/>
    <col width="34" customWidth="1" min="6" max="6"/>
    <col width="14" customWidth="1" min="7" max="7"/>
    <col width="44" customWidth="1" min="8" max="8"/>
    <col width="12" customWidth="1" min="9" max="9"/>
    <col width="24" customWidth="1" min="10" max="10"/>
    <col width="22" customWidth="1" min="11" max="11"/>
    <col width="14" customWidth="1" min="12" max="12"/>
  </cols>
  <sheetData>
    <row r="1" ht="52" customHeight="1">
      <c r="C1" s="1" t="inlineStr">
        <is>
          <t>🎯 PROLINE LOGISTICS · 30 entreprises à démarcher à Abidjan</t>
        </is>
      </c>
    </row>
    <row r="2" ht="30" customHeight="1">
      <c r="A2" s="2" t="inlineStr">
        <is>
          <t>Entreprises réelles, chacune avec sa source, relevées le 28/10/2026. Les clients déjà servis et les logisticiens concurrents sont exclus. « Non publié » = aucun contact public trouvé.</t>
        </is>
      </c>
    </row>
    <row r="3" ht="30" customHeight="1">
      <c r="A3" s="3" t="inlineStr">
        <is>
          <t>N°</t>
        </is>
      </c>
      <c r="B3" s="3" t="inlineStr">
        <is>
          <t>🏢 Entreprise</t>
        </is>
      </c>
      <c r="C3" s="3" t="inlineStr">
        <is>
          <t>🏷️ Famille</t>
        </is>
      </c>
      <c r="D3" s="3" t="inlineStr">
        <is>
          <t>🏭 Activité</t>
        </is>
      </c>
      <c r="E3" s="3" t="inlineStr">
        <is>
          <t>📍 Localisation</t>
        </is>
      </c>
      <c r="F3" s="3" t="inlineStr">
        <is>
          <t>📦 Ce qu'on leur vend</t>
        </is>
      </c>
      <c r="G3" s="3" t="inlineStr">
        <is>
          <t>🏬 Parc conseillé</t>
        </is>
      </c>
      <c r="H3" s="3" t="inlineStr">
        <is>
          <t>💬 Accroche</t>
        </is>
      </c>
      <c r="I3" s="3" t="inlineStr">
        <is>
          <t>🎯 Priorité</t>
        </is>
      </c>
      <c r="J3" s="3" t="inlineStr">
        <is>
          <t>📞 Contact publié</t>
        </is>
      </c>
      <c r="K3" s="3" t="inlineStr">
        <is>
          <t>🌐 Site</t>
        </is>
      </c>
      <c r="L3" s="3" t="inlineStr">
        <is>
          <t>🔗 Source</t>
        </is>
      </c>
    </row>
    <row r="4">
      <c r="A4" s="4" t="n">
        <v>1</v>
      </c>
      <c r="B4" s="5" t="inlineStr">
        <is>
          <t>Olam Côte d'Ivoire (ofi)</t>
        </is>
      </c>
      <c r="C4" s="6" t="inlineStr">
        <is>
          <t>🌾 Agro-industrie</t>
        </is>
      </c>
      <c r="D4" s="6" t="inlineStr">
        <is>
          <t>Négoce et transformation de cacao, café, noix de cajou</t>
        </is>
      </c>
      <c r="E4" s="6" t="inlineStr">
        <is>
          <t>Zone industrielle de Vridi, Port-Bouët, Abidjan</t>
        </is>
      </c>
      <c r="F4" s="6" t="inlineStr">
        <is>
          <t>Stockage de fèves et de produits transformés en attente d'export, et transport vers le port.</t>
        </is>
      </c>
      <c r="G4" s="6" t="inlineStr">
        <is>
          <t>⚓ Vridi</t>
        </is>
      </c>
      <c r="H4" s="6" t="inlineStr">
        <is>
          <t>Olam est voisin de notre parc de Vridi : un stock tampon à quelques minutes des quais réduit les rotations de camions avant chaque embarquement.</t>
        </is>
      </c>
      <c r="I4" s="7" t="inlineStr">
        <is>
          <t>🔴 Haute</t>
        </is>
      </c>
      <c r="J4" s="6" t="inlineStr">
        <is>
          <t>+225 27 21 21 41 15 / 27 21 21 96 96</t>
        </is>
      </c>
      <c r="K4" s="8" t="inlineStr">
        <is>
          <t>https://www.olamgroup.com</t>
        </is>
      </c>
      <c r="L4" s="8" t="inlineStr">
        <is>
          <t>🔗 Voir la source</t>
        </is>
      </c>
    </row>
    <row r="5">
      <c r="A5" s="9" t="n">
        <v>2</v>
      </c>
      <c r="B5" s="10" t="inlineStr">
        <is>
          <t>Société Africaine de Cacao (SACO), groupe Barry Callebaut</t>
        </is>
      </c>
      <c r="C5" s="11" t="inlineStr">
        <is>
          <t>🌾 Agro-industrie</t>
        </is>
      </c>
      <c r="D5" s="11" t="inlineStr">
        <is>
          <t>Broyage de cacao : masse, beurre et poudre de cacao</t>
        </is>
      </c>
      <c r="E5" s="11" t="inlineStr">
        <is>
          <t>Zone 4C, Abidjan</t>
        </is>
      </c>
      <c r="F5" s="11" t="inlineStr">
        <is>
          <t>Entreposage de fèves en amont et de produits semi-finis en aval, et navettes vers le port.</t>
        </is>
      </c>
      <c r="G5" s="11" t="inlineStr">
        <is>
          <t>⚓ Vridi</t>
        </is>
      </c>
      <c r="H5" s="11" t="inlineStr">
        <is>
          <t>Avec une capacité de broyage portée de plus de 40 % à Abidjan, vos flux de fèves et de beurre ont grossi : un entrepôt d'appoint près du port absorbe les pics de récolte.</t>
        </is>
      </c>
      <c r="I5" s="7" t="inlineStr">
        <is>
          <t>🔴 Haute</t>
        </is>
      </c>
      <c r="J5" s="11" t="inlineStr">
        <is>
          <t>Non publié</t>
        </is>
      </c>
      <c r="K5" s="12" t="inlineStr">
        <is>
          <t>https://www.barry-callebaut.com</t>
        </is>
      </c>
      <c r="L5" s="12" t="inlineStr">
        <is>
          <t>🔗 Voir la source</t>
        </is>
      </c>
    </row>
    <row r="6">
      <c r="A6" s="4" t="n">
        <v>3</v>
      </c>
      <c r="B6" s="5" t="inlineStr">
        <is>
          <t>Cémoi Côte d'Ivoire</t>
        </is>
      </c>
      <c r="C6" s="6" t="inlineStr">
        <is>
          <t>🌾 Agro-industrie</t>
        </is>
      </c>
      <c r="D6" s="6" t="inlineStr">
        <is>
          <t>Chocolaterie et transformation de cacao</t>
        </is>
      </c>
      <c r="E6" s="6" t="inlineStr">
        <is>
          <t>Zone industrielle de Yopougon, Abidjan</t>
        </is>
      </c>
      <c r="F6" s="6" t="inlineStr">
        <is>
          <t>Stockage de produits finis et semi-finis et distribution des chocolats dans le pays.</t>
        </is>
      </c>
      <c r="G6" s="6" t="inlineStr">
        <is>
          <t>🏭 Yopougon</t>
        </is>
      </c>
      <c r="H6" s="6" t="inlineStr">
        <is>
          <t>Votre usine de Yopougon produit 40 000 tonnes de masse de cacao par an : notre parc de Yopougon, dans la même zone, peut prendre le relais de vos entrepôts.</t>
        </is>
      </c>
      <c r="I6" s="7" t="inlineStr">
        <is>
          <t>🔴 Haute</t>
        </is>
      </c>
      <c r="J6" s="6" t="inlineStr">
        <is>
          <t>Non publié</t>
        </is>
      </c>
      <c r="K6" s="6" t="inlineStr"/>
      <c r="L6" s="8" t="inlineStr">
        <is>
          <t>🔗 Voir la source</t>
        </is>
      </c>
    </row>
    <row r="7">
      <c r="A7" s="9" t="n">
        <v>4</v>
      </c>
      <c r="B7" s="10" t="inlineStr">
        <is>
          <t>Grands Moulins d'Abidjan (GMA)</t>
        </is>
      </c>
      <c r="C7" s="11" t="inlineStr">
        <is>
          <t>🌾 Agro-industrie</t>
        </is>
      </c>
      <c r="D7" s="11" t="inlineStr">
        <is>
          <t>Minoterie : farine de blé et aliments pour bétail</t>
        </is>
      </c>
      <c r="E7" s="11" t="inlineStr">
        <is>
          <t>Abidjan (silos au bord de la lagune Ébrié)</t>
        </is>
      </c>
      <c r="F7" s="11" t="inlineStr">
        <is>
          <t>Stockage de farine et de son en sacs palettisés, et livraison vers les boulangeries et l'intérieur du pays.</t>
        </is>
      </c>
      <c r="G7" s="11" t="inlineStr">
        <is>
          <t>⚓ Vridi</t>
        </is>
      </c>
      <c r="H7" s="11" t="inlineStr">
        <is>
          <t>Premier meunier de l'UEMOA, vous servez aussi les pays voisins : un stock avancé près du port et une flotte de camions en propre facilitent ces livraisons.</t>
        </is>
      </c>
      <c r="I7" s="13" t="inlineStr">
        <is>
          <t>🟠 Moyenne</t>
        </is>
      </c>
      <c r="J7" s="11" t="inlineStr">
        <is>
          <t>Non publié</t>
        </is>
      </c>
      <c r="K7" s="11" t="inlineStr"/>
      <c r="L7" s="12" t="inlineStr">
        <is>
          <t>🔗 Voir la source</t>
        </is>
      </c>
    </row>
    <row r="8">
      <c r="A8" s="4" t="n">
        <v>5</v>
      </c>
      <c r="B8" s="5" t="inlineStr">
        <is>
          <t>Sania Cie</t>
        </is>
      </c>
      <c r="C8" s="6" t="inlineStr">
        <is>
          <t>🌾 Agro-industrie</t>
        </is>
      </c>
      <c r="D8" s="6" t="inlineStr">
        <is>
          <t>Raffinage et transformation d'huile de palme</t>
        </is>
      </c>
      <c r="E8" s="6" t="inlineStr">
        <is>
          <t>Zone de Vridi, Abidjan</t>
        </is>
      </c>
      <c r="F8" s="6" t="inlineStr">
        <is>
          <t>Entreposage d'huiles conditionnées et transport vers les distributeurs.</t>
        </is>
      </c>
      <c r="G8" s="6" t="inlineStr">
        <is>
          <t>⚓ Vridi</t>
        </is>
      </c>
      <c r="H8" s="6" t="inlineStr">
        <is>
          <t>Votre site de Vridi est à proximité immédiate de notre parc : un relais de stock pour vos huiles conditionnées, avec suivi en temps réel.</t>
        </is>
      </c>
      <c r="I8" s="13" t="inlineStr">
        <is>
          <t>🟠 Moyenne</t>
        </is>
      </c>
      <c r="J8" s="6" t="inlineStr">
        <is>
          <t>+225 27 21 75 75 75
communication@sifca.ci</t>
        </is>
      </c>
      <c r="K8" s="8" t="inlineStr">
        <is>
          <t>https://www.sania.ci</t>
        </is>
      </c>
      <c r="L8" s="8" t="inlineStr">
        <is>
          <t>🔗 Voir la source</t>
        </is>
      </c>
    </row>
    <row r="9">
      <c r="A9" s="9" t="n">
        <v>6</v>
      </c>
      <c r="B9" s="10" t="inlineStr">
        <is>
          <t>Touton Négoce Côte d'Ivoire</t>
        </is>
      </c>
      <c r="C9" s="11" t="inlineStr">
        <is>
          <t>🌾 Agro-industrie</t>
        </is>
      </c>
      <c r="D9" s="11" t="inlineStr">
        <is>
          <t>Négoce et export de cacao et café</t>
        </is>
      </c>
      <c r="E9" s="11" t="inlineStr">
        <is>
          <t>Vridi zone industrielle, rue des Pétroliers, Abidjan</t>
        </is>
      </c>
      <c r="F9" s="11" t="inlineStr">
        <is>
          <t>Stockage et empotage de fèves à Abidjan, en complément de la plateforme de San Pedro.</t>
        </is>
      </c>
      <c r="G9" s="11" t="inlineStr">
        <is>
          <t>⚓ Vridi</t>
        </is>
      </c>
      <c r="H9" s="11" t="inlineStr">
        <is>
          <t>Vous avez ouvert en 2023 une plateforme de 25 000 m² à San Pedro ; à Abidjan, notre parc de Vridi peut jouer le même rôle sans investissement de votre part.</t>
        </is>
      </c>
      <c r="I9" s="13" t="inlineStr">
        <is>
          <t>🟠 Moyenne</t>
        </is>
      </c>
      <c r="J9" s="11" t="inlineStr">
        <is>
          <t>+225 27 21 21 90 50</t>
        </is>
      </c>
      <c r="K9" s="12" t="inlineStr">
        <is>
          <t>https://touton.com</t>
        </is>
      </c>
      <c r="L9" s="12" t="inlineStr">
        <is>
          <t>🔗 Voir la source</t>
        </is>
      </c>
    </row>
    <row r="10">
      <c r="A10" s="4" t="n">
        <v>7</v>
      </c>
      <c r="B10" s="5" t="inlineStr">
        <is>
          <t>Solibra</t>
        </is>
      </c>
      <c r="C10" s="6" t="inlineStr">
        <is>
          <t>🛒 Grande consommation</t>
        </is>
      </c>
      <c r="D10" s="6" t="inlineStr">
        <is>
          <t>Brasserie et boissons (groupe Castel)</t>
        </is>
      </c>
      <c r="E10" s="6" t="inlineStr">
        <is>
          <t>35 rue des Brasseurs, Abidjan</t>
        </is>
      </c>
      <c r="F10" s="6" t="inlineStr">
        <is>
          <t>Stockage de boissons palettisées et d'emballages vides, et distribution vers les dépositaires.</t>
        </is>
      </c>
      <c r="G10" s="6" t="inlineStr">
        <is>
          <t>🏭 Yopougon</t>
        </is>
      </c>
      <c r="H10" s="6" t="inlineStr">
        <is>
          <t>Un parc de 43 000 m² rackés et 30 chariots permet d'absorber vos pics de fin d'année sans immobiliser vos propres dépôts.</t>
        </is>
      </c>
      <c r="I10" s="7" t="inlineStr">
        <is>
          <t>🔴 Haute</t>
        </is>
      </c>
      <c r="J10" s="6" t="inlineStr">
        <is>
          <t>+225 27 21 21 12 00
serviceconsommateur@castel-afrique.com</t>
        </is>
      </c>
      <c r="K10" s="8" t="inlineStr">
        <is>
          <t>https://www.solibra.ci</t>
        </is>
      </c>
      <c r="L10" s="8" t="inlineStr">
        <is>
          <t>🔗 Voir la source</t>
        </is>
      </c>
    </row>
    <row r="11">
      <c r="A11" s="9" t="n">
        <v>8</v>
      </c>
      <c r="B11" s="10" t="inlineStr">
        <is>
          <t>Compagnie de Distribution de Côte d'Ivoire (CDCI)</t>
        </is>
      </c>
      <c r="C11" s="11" t="inlineStr">
        <is>
          <t>🛒 Grande consommation</t>
        </is>
      </c>
      <c r="D11" s="11" t="inlineStr">
        <is>
          <t>Distribution de gros, demi-gros et supérettes King Cash</t>
        </is>
      </c>
      <c r="E11" s="11" t="inlineStr">
        <is>
          <t>Zone portuaire, Abidjan</t>
        </is>
      </c>
      <c r="F11" s="11" t="inlineStr">
        <is>
          <t>Entreposage de produits de grande consommation et réapprovisionnement de son réseau de magasins.</t>
        </is>
      </c>
      <c r="G11" s="11" t="inlineStr">
        <is>
          <t>📦 Ndotre</t>
        </is>
      </c>
      <c r="H11" s="11" t="inlineStr">
        <is>
          <t>Avec environ 140 points de vente à Abidjan et à l'intérieur, un entrepôt relais au nord d'Abidjan raccourcit vos tournées de réapprovisionnement.</t>
        </is>
      </c>
      <c r="I11" s="7" t="inlineStr">
        <is>
          <t>🔴 Haute</t>
        </is>
      </c>
      <c r="J11" s="11" t="inlineStr">
        <is>
          <t>+225 27 21 24 01 51 / 27 21 24 26 80</t>
        </is>
      </c>
      <c r="K11" s="12" t="inlineStr">
        <is>
          <t>http://www.cdci.ci</t>
        </is>
      </c>
      <c r="L11" s="12" t="inlineStr">
        <is>
          <t>🔗 Voir la source</t>
        </is>
      </c>
    </row>
    <row r="12">
      <c r="A12" s="4" t="n">
        <v>9</v>
      </c>
      <c r="B12" s="5" t="inlineStr">
        <is>
          <t>Groupe Prosuma</t>
        </is>
      </c>
      <c r="C12" s="6" t="inlineStr">
        <is>
          <t>🛒 Grande consommation</t>
        </is>
      </c>
      <c r="D12" s="6" t="inlineStr">
        <is>
          <t>Grande distribution : supermarchés et centres commerciaux</t>
        </is>
      </c>
      <c r="E12" s="6" t="inlineStr">
        <is>
          <t>Abidjan</t>
        </is>
      </c>
      <c r="F12" s="6" t="inlineStr">
        <is>
          <t>Stockage déporté pour sa centrale d'achats et livraison de ses magasins.</t>
        </is>
      </c>
      <c r="G12" s="6" t="inlineStr">
        <is>
          <t>🏭 Yopougon</t>
        </is>
      </c>
      <c r="H12" s="6" t="inlineStr">
        <is>
          <t>Vous gérez 159 magasins sous 17 enseignes : un entrepôt d'appoint avec suivi de stock en temps réel soulage votre centrale d'achats pendant les fêtes.</t>
        </is>
      </c>
      <c r="I12" s="7" t="inlineStr">
        <is>
          <t>🔴 Haute</t>
        </is>
      </c>
      <c r="J12" s="6" t="inlineStr">
        <is>
          <t>Non publié</t>
        </is>
      </c>
      <c r="K12" s="8" t="inlineStr">
        <is>
          <t>https://groupeprosuma.com</t>
        </is>
      </c>
      <c r="L12" s="8" t="inlineStr">
        <is>
          <t>🔗 Voir la source</t>
        </is>
      </c>
    </row>
    <row r="13">
      <c r="A13" s="9" t="n">
        <v>10</v>
      </c>
      <c r="B13" s="10" t="inlineStr">
        <is>
          <t>SDTM-CI (Groupe Carré d'Or)</t>
        </is>
      </c>
      <c r="C13" s="11" t="inlineStr">
        <is>
          <t>🛒 Grande consommation</t>
        </is>
      </c>
      <c r="D13" s="11" t="inlineStr">
        <is>
          <t>Importation et distribution de riz, lait, eaux et produits de grande consommation</t>
        </is>
      </c>
      <c r="E13" s="11" t="inlineStr">
        <is>
          <t>Rue du Havre, zone portuaire, Treichville, Abidjan</t>
        </is>
      </c>
      <c r="F13" s="11" t="inlineStr">
        <is>
          <t>Stockage de riz et de produits importés à la sortie du port, et transport vers ses représentations.</t>
        </is>
      </c>
      <c r="G13" s="11" t="inlineStr">
        <is>
          <t>⚓ Vridi</t>
        </is>
      </c>
      <c r="H13" s="11" t="inlineStr">
        <is>
          <t>Premier importateur de riz du pays, vous déchargez de gros volumes au port : notre terre-plein de 70 000 m² et nos parcs rackés de Vridi sont à côté.</t>
        </is>
      </c>
      <c r="I13" s="7" t="inlineStr">
        <is>
          <t>🔴 Haute</t>
        </is>
      </c>
      <c r="J13" s="11" t="inlineStr">
        <is>
          <t>+225 27 21 21 90 00
support@carredor.ci</t>
        </is>
      </c>
      <c r="K13" s="12" t="inlineStr">
        <is>
          <t>https://www.carredor.org</t>
        </is>
      </c>
      <c r="L13" s="12" t="inlineStr">
        <is>
          <t>🔗 Voir la source</t>
        </is>
      </c>
    </row>
    <row r="14">
      <c r="A14" s="4" t="n">
        <v>11</v>
      </c>
      <c r="B14" s="5" t="inlineStr">
        <is>
          <t>SIVOP</t>
        </is>
      </c>
      <c r="C14" s="6" t="inlineStr">
        <is>
          <t>🛒 Grande consommation</t>
        </is>
      </c>
      <c r="D14" s="6" t="inlineStr">
        <is>
          <t>Fabrication de cosmétiques et parfums</t>
        </is>
      </c>
      <c r="E14" s="6" t="inlineStr">
        <is>
          <t>Abidjan (zone industrielle de Yopougon)</t>
        </is>
      </c>
      <c r="F14" s="6" t="inlineStr">
        <is>
          <t>Stockage de produits finis et préparation des commandes pour les supermarchés et l'export.</t>
        </is>
      </c>
      <c r="G14" s="6" t="inlineStr">
        <is>
          <t>🏭 Yopougon</t>
        </is>
      </c>
      <c r="H14" s="6" t="inlineStr">
        <is>
          <t>Vous distribuez dans 120 pays à partir de vos usines africaines : nous prenons en charge le stock et l'expédition de vos produits finis depuis Yopougon.</t>
        </is>
      </c>
      <c r="I14" s="13" t="inlineStr">
        <is>
          <t>🟠 Moyenne</t>
        </is>
      </c>
      <c r="J14" s="6" t="inlineStr">
        <is>
          <t>Non publié</t>
        </is>
      </c>
      <c r="K14" s="8" t="inlineStr">
        <is>
          <t>https://www.sivop.com</t>
        </is>
      </c>
      <c r="L14" s="8" t="inlineStr">
        <is>
          <t>🔗 Voir la source</t>
        </is>
      </c>
    </row>
    <row r="15">
      <c r="A15" s="9" t="n">
        <v>12</v>
      </c>
      <c r="B15" s="10" t="inlineStr">
        <is>
          <t>Unilever Côte d'Ivoire</t>
        </is>
      </c>
      <c r="C15" s="11" t="inlineStr">
        <is>
          <t>🛒 Grande consommation</t>
        </is>
      </c>
      <c r="D15" s="11" t="inlineStr">
        <is>
          <t>Fabrication de produits alimentaires et d'hygiène (ex-Blohorn)</t>
        </is>
      </c>
      <c r="E15" s="11" t="inlineStr">
        <is>
          <t>Vridi, Abidjan</t>
        </is>
      </c>
      <c r="F15" s="11" t="inlineStr">
        <is>
          <t>Entreposage de produits finis et distribution vers les grossistes.</t>
        </is>
      </c>
      <c r="G15" s="11" t="inlineStr">
        <is>
          <t>⚓ Vridi</t>
        </is>
      </c>
      <c r="H15" s="11" t="inlineStr">
        <is>
          <t>Installé à Vridi depuis 1973, vous êtes à quelques minutes de notre parc : un stock relais pour vos produits finis, sans construire de nouvel entrepôt.</t>
        </is>
      </c>
      <c r="I15" s="14" t="inlineStr">
        <is>
          <t>⚪ Basse</t>
        </is>
      </c>
      <c r="J15" s="11" t="inlineStr">
        <is>
          <t>Non publié</t>
        </is>
      </c>
      <c r="K15" s="12" t="inlineStr">
        <is>
          <t>https://www.unilever.com</t>
        </is>
      </c>
      <c r="L15" s="12" t="inlineStr">
        <is>
          <t>🔗 Voir la source</t>
        </is>
      </c>
    </row>
    <row r="16">
      <c r="A16" s="4" t="n">
        <v>13</v>
      </c>
      <c r="B16" s="5" t="inlineStr">
        <is>
          <t>Ubipharm Côte d'Ivoire</t>
        </is>
      </c>
      <c r="C16" s="6" t="inlineStr">
        <is>
          <t>💊 Pharmacie et santé</t>
        </is>
      </c>
      <c r="D16" s="6" t="inlineStr">
        <is>
          <t>Grossiste répartiteur de médicaments</t>
        </is>
      </c>
      <c r="E16" s="6" t="inlineStr">
        <is>
          <t>Zone industrielle de Yopougon, Abidjan</t>
        </is>
      </c>
      <c r="F16" s="6" t="inlineStr">
        <is>
          <t>Stockage de débordement et transport de médicaments vers les agences et pharmacies.</t>
        </is>
      </c>
      <c r="G16" s="6" t="inlineStr">
        <is>
          <t>🏭 Yopougon</t>
        </is>
      </c>
      <c r="H16" s="6" t="inlineStr">
        <is>
          <t>Votre siège est dans la zone industrielle de Yopougon, comme notre parc : un stock de débordement à quelques minutes, sans changer vos circuits.</t>
        </is>
      </c>
      <c r="I16" s="7" t="inlineStr">
        <is>
          <t>🔴 Haute</t>
        </is>
      </c>
      <c r="J16" s="6" t="inlineStr">
        <is>
          <t>pourinfo@ubipharm.com</t>
        </is>
      </c>
      <c r="K16" s="8" t="inlineStr">
        <is>
          <t>https://cotedivoire.ubipharm.com</t>
        </is>
      </c>
      <c r="L16" s="8" t="inlineStr">
        <is>
          <t>🔗 Voir la source</t>
        </is>
      </c>
    </row>
    <row r="17">
      <c r="A17" s="9" t="n">
        <v>14</v>
      </c>
      <c r="B17" s="10" t="inlineStr">
        <is>
          <t>Copharmed</t>
        </is>
      </c>
      <c r="C17" s="11" t="inlineStr">
        <is>
          <t>💊 Pharmacie et santé</t>
        </is>
      </c>
      <c r="D17" s="11" t="inlineStr">
        <is>
          <t>Grossiste répartiteur pharmaceutique (CFAO Healthcare)</t>
        </is>
      </c>
      <c r="E17" s="11" t="inlineStr">
        <is>
          <t>Abidjan</t>
        </is>
      </c>
      <c r="F17" s="11" t="inlineStr">
        <is>
          <t>Réception des importations aériennes et stockage tampon avant répartition.</t>
        </is>
      </c>
      <c r="G17" s="11" t="inlineStr">
        <is>
          <t>✈️ AeroHub</t>
        </is>
      </c>
      <c r="H17" s="11" t="inlineStr">
        <is>
          <t>Vous servez plus de 1 300 pharmacies : nos 7 000 places palettes près de l'aéroport peuvent recevoir vos arrivages avant répartition.</t>
        </is>
      </c>
      <c r="I17" s="7" t="inlineStr">
        <is>
          <t>🔴 Haute</t>
        </is>
      </c>
      <c r="J17" s="11" t="inlineStr">
        <is>
          <t>+225 27 22 22 33 00</t>
        </is>
      </c>
      <c r="K17" s="12" t="inlineStr">
        <is>
          <t>https://www.copharmed.com</t>
        </is>
      </c>
      <c r="L17" s="12" t="inlineStr">
        <is>
          <t>🔗 Voir la source</t>
        </is>
      </c>
    </row>
    <row r="18">
      <c r="A18" s="4" t="n">
        <v>15</v>
      </c>
      <c r="B18" s="5" t="inlineStr">
        <is>
          <t>Distribution Pharmaceutique de Côte d'Ivoire (DPCI)</t>
        </is>
      </c>
      <c r="C18" s="6" t="inlineStr">
        <is>
          <t>💊 Pharmacie et santé</t>
        </is>
      </c>
      <c r="D18" s="6" t="inlineStr">
        <is>
          <t>Grossiste répartiteur de médicaments</t>
        </is>
      </c>
      <c r="E18" s="6" t="inlineStr">
        <is>
          <t>Treichville Zone 3, 31 rue des Carrossiers, Abidjan</t>
        </is>
      </c>
      <c r="F18" s="6" t="inlineStr">
        <is>
          <t>Stockage de débordement et transport vers ses agences.</t>
        </is>
      </c>
      <c r="G18" s="6" t="inlineStr">
        <is>
          <t>✈️ AeroHub</t>
        </is>
      </c>
      <c r="H18" s="6" t="inlineStr">
        <is>
          <t>Répartiteur depuis 2000, vous recevez une part de vos produits par avion : un parc à côté de l'aéroport raccourcit le passage entre fret et répartition.</t>
        </is>
      </c>
      <c r="I18" s="13" t="inlineStr">
        <is>
          <t>🟠 Moyenne</t>
        </is>
      </c>
      <c r="J18" s="6" t="inlineStr">
        <is>
          <t>+225 21 75 56 00</t>
        </is>
      </c>
      <c r="K18" s="8" t="inlineStr">
        <is>
          <t>http://www.dpci.ci</t>
        </is>
      </c>
      <c r="L18" s="8" t="inlineStr">
        <is>
          <t>🔗 Voir la source</t>
        </is>
      </c>
    </row>
    <row r="19">
      <c r="A19" s="9" t="n">
        <v>16</v>
      </c>
      <c r="B19" s="10" t="inlineStr">
        <is>
          <t>Tedis Pharma Côte d'Ivoire</t>
        </is>
      </c>
      <c r="C19" s="11" t="inlineStr">
        <is>
          <t>💊 Pharmacie et santé</t>
        </is>
      </c>
      <c r="D19" s="11" t="inlineStr">
        <is>
          <t>Grossiste répartiteur pharmaceutique</t>
        </is>
      </c>
      <c r="E19" s="11" t="inlineStr">
        <is>
          <t>Boulevard de Vridi, Treichville, Abidjan</t>
        </is>
      </c>
      <c r="F19" s="11" t="inlineStr">
        <is>
          <t>Stockage tampon et transport vers ses agences de Gagnoa et Bouaké.</t>
        </is>
      </c>
      <c r="G19" s="11" t="inlineStr">
        <is>
          <t>⚓ Vridi</t>
        </is>
      </c>
      <c r="H19" s="11" t="inlineStr">
        <is>
          <t>Votre agence principale est sur le boulevard de Vridi : notre flotte de camions peut assurer les navettes vers Gagnoa et Bouaké.</t>
        </is>
      </c>
      <c r="I19" s="13" t="inlineStr">
        <is>
          <t>🟠 Moyenne</t>
        </is>
      </c>
      <c r="J19" s="11" t="inlineStr">
        <is>
          <t>+225 27 21 28 38 88
contact@tedispharma-ci.com</t>
        </is>
      </c>
      <c r="K19" s="12" t="inlineStr">
        <is>
          <t>https://tedis.fr</t>
        </is>
      </c>
      <c r="L19" s="12" t="inlineStr">
        <is>
          <t>🔗 Voir la source</t>
        </is>
      </c>
    </row>
    <row r="20">
      <c r="A20" s="4" t="n">
        <v>17</v>
      </c>
      <c r="B20" s="5" t="inlineStr">
        <is>
          <t>Cipharm</t>
        </is>
      </c>
      <c r="C20" s="6" t="inlineStr">
        <is>
          <t>💊 Pharmacie et santé</t>
        </is>
      </c>
      <c r="D20" s="6" t="inlineStr">
        <is>
          <t>Laboratoire de fabrication de médicaments (groupe Kilani)</t>
        </is>
      </c>
      <c r="E20" s="6" t="inlineStr">
        <is>
          <t>Abidjan</t>
        </is>
      </c>
      <c r="F20" s="6" t="inlineStr">
        <is>
          <t>Stockage de matières premières importées et de produits finis.</t>
        </is>
      </c>
      <c r="G20" s="6" t="inlineStr">
        <is>
          <t>🏭 Yopougon</t>
        </is>
      </c>
      <c r="H20" s="6" t="inlineStr">
        <is>
          <t>Depuis l'arrivée du groupe Kilani en 2020, vous élargissez votre gamme : nous prenons le stock de matières et de produits finis pendant cette montée en charge.</t>
        </is>
      </c>
      <c r="I20" s="13" t="inlineStr">
        <is>
          <t>🟠 Moyenne</t>
        </is>
      </c>
      <c r="J20" s="6" t="inlineStr">
        <is>
          <t>+225 22 40 60 05 / 22 43 03 94
cipharm@cipharm.ci</t>
        </is>
      </c>
      <c r="K20" s="6" t="inlineStr"/>
      <c r="L20" s="8" t="inlineStr">
        <is>
          <t>🔗 Voir la source</t>
        </is>
      </c>
    </row>
    <row r="21">
      <c r="A21" s="9" t="n">
        <v>18</v>
      </c>
      <c r="B21" s="10" t="inlineStr">
        <is>
          <t>KFN Pharma</t>
        </is>
      </c>
      <c r="C21" s="11" t="inlineStr">
        <is>
          <t>💊 Pharmacie et santé</t>
        </is>
      </c>
      <c r="D21" s="11" t="inlineStr">
        <is>
          <t>Vente, installation et maintenance de matériel biomédical</t>
        </is>
      </c>
      <c r="E21" s="11" t="inlineStr">
        <is>
          <t>Yopougon, Nouvelle gare UTB, Abidjan</t>
        </is>
      </c>
      <c r="F21" s="11" t="inlineStr">
        <is>
          <t>Stockage d'équipements biomédicaux encombrants et livraison vers les hôpitaux et cliniques.</t>
        </is>
      </c>
      <c r="G21" s="11" t="inlineStr">
        <is>
          <t>🏭 Yopougon</t>
        </is>
      </c>
      <c r="H21" s="11" t="inlineStr">
        <is>
          <t>Vous vendez et installez du matériel biomédical : nous gardons vos équipements et les livrons chez vos clients, prêts à être montés.</t>
        </is>
      </c>
      <c r="I21" s="14" t="inlineStr">
        <is>
          <t>⚪ Basse</t>
        </is>
      </c>
      <c r="J21" s="11" t="inlineStr">
        <is>
          <t>+225 01 43 43 43 19 / 07 08 56 36 57
infos@kfnpharma.com</t>
        </is>
      </c>
      <c r="K21" s="12" t="inlineStr">
        <is>
          <t>https://kfnpharma.com</t>
        </is>
      </c>
      <c r="L21" s="12" t="inlineStr">
        <is>
          <t>🔗 Voir la source</t>
        </is>
      </c>
    </row>
    <row r="22">
      <c r="A22" s="4" t="n">
        <v>19</v>
      </c>
      <c r="B22" s="5" t="inlineStr">
        <is>
          <t>LafargeHolcim Côte d'Ivoire</t>
        </is>
      </c>
      <c r="C22" s="6" t="inlineStr">
        <is>
          <t>🏗️ Industriels et importateurs</t>
        </is>
      </c>
      <c r="D22" s="6" t="inlineStr">
        <is>
          <t>Production de ciment (marque Bélier)</t>
        </is>
      </c>
      <c r="E22" s="6" t="inlineStr">
        <is>
          <t>Boulevard du Port, Treichville, Abidjan</t>
        </is>
      </c>
      <c r="F22" s="6" t="inlineStr">
        <is>
          <t>Stockage de ciment ensaché et de matières, et transport vers les chantiers et revendeurs.</t>
        </is>
      </c>
      <c r="G22" s="6" t="inlineStr">
        <is>
          <t>⚓ Vridi</t>
        </is>
      </c>
      <c r="H22" s="6" t="inlineStr">
        <is>
          <t>Vous avez ajouté 1 million de tonnes de capacité de broyage à Abidjan : notre terre-plein et nos camions absorbent le surplus de ciment ensaché.</t>
        </is>
      </c>
      <c r="I22" s="7" t="inlineStr">
        <is>
          <t>🔴 Haute</t>
        </is>
      </c>
      <c r="J22" s="6" t="inlineStr">
        <is>
          <t>+225 27 20 25 22 50 / 27 21 75 51 00
infos-civ@lafargeholcim.com</t>
        </is>
      </c>
      <c r="K22" s="8" t="inlineStr">
        <is>
          <t>https://www.lafargeholcim.ci</t>
        </is>
      </c>
      <c r="L22" s="8" t="inlineStr">
        <is>
          <t>🔗 Voir la source</t>
        </is>
      </c>
    </row>
    <row r="23">
      <c r="A23" s="9" t="n">
        <v>20</v>
      </c>
      <c r="B23" s="10" t="inlineStr">
        <is>
          <t>CIMAF Côte d'Ivoire</t>
        </is>
      </c>
      <c r="C23" s="11" t="inlineStr">
        <is>
          <t>🏗️ Industriels et importateurs</t>
        </is>
      </c>
      <c r="D23" s="11" t="inlineStr">
        <is>
          <t>Production de ciment (deux centres de broyage)</t>
        </is>
      </c>
      <c r="E23" s="11" t="inlineStr">
        <is>
          <t>Zone industrielle de Yopougon, Abidjan</t>
        </is>
      </c>
      <c r="F23" s="11" t="inlineStr">
        <is>
          <t>Stockage de ciment ensaché et distribution vers les revendeurs.</t>
        </is>
      </c>
      <c r="G23" s="11" t="inlineStr">
        <is>
          <t>🏭 Yopougon</t>
        </is>
      </c>
      <c r="H23" s="11" t="inlineStr">
        <is>
          <t>Votre usine est dans la zone industrielle de Yopougon : notre parc voisin et nos chariots jusqu'à 45 t peuvent servir de dépôt avancé.</t>
        </is>
      </c>
      <c r="I23" s="7" t="inlineStr">
        <is>
          <t>🔴 Haute</t>
        </is>
      </c>
      <c r="J23" s="11" t="inlineStr">
        <is>
          <t>+225 27 23 53 00 60</t>
        </is>
      </c>
      <c r="K23" s="12" t="inlineStr">
        <is>
          <t>https://cimentsafrique.com</t>
        </is>
      </c>
      <c r="L23" s="12" t="inlineStr">
        <is>
          <t>🔗 Voir la source</t>
        </is>
      </c>
    </row>
    <row r="24">
      <c r="A24" s="4" t="n">
        <v>21</v>
      </c>
      <c r="B24" s="5" t="inlineStr">
        <is>
          <t>Neemba Côte d'Ivoire (ex-Manutention Africaine)</t>
        </is>
      </c>
      <c r="C24" s="6" t="inlineStr">
        <is>
          <t>🏗️ Industriels et importateurs</t>
        </is>
      </c>
      <c r="D24" s="6" t="inlineStr">
        <is>
          <t>Vente et location d'engins Caterpillar, pièces de rechange</t>
        </is>
      </c>
      <c r="E24" s="6" t="inlineStr">
        <is>
          <t>Km 12, route de Dabou, Abidjan</t>
        </is>
      </c>
      <c r="F24" s="6" t="inlineStr">
        <is>
          <t>Stockage d'engins neufs ou d'occasion et de pièces lourdes, et transport vers les chantiers.</t>
        </is>
      </c>
      <c r="G24" s="6" t="inlineStr">
        <is>
          <t>🏭 Yopougon</t>
        </is>
      </c>
      <c r="H24" s="6" t="inlineStr">
        <is>
          <t>Vous vendez et louez des engins de chantier : nos 70 000 m² de terre-plein et nos chariots jusqu'à 45 t accueillent les machines en attente de livraison.</t>
        </is>
      </c>
      <c r="I24" s="7" t="inlineStr">
        <is>
          <t>🔴 Haute</t>
        </is>
      </c>
      <c r="J24" s="6" t="inlineStr">
        <is>
          <t>+225 27 23 53 55 80</t>
        </is>
      </c>
      <c r="K24" s="8" t="inlineStr">
        <is>
          <t>https://www.neemba.com</t>
        </is>
      </c>
      <c r="L24" s="8" t="inlineStr">
        <is>
          <t>🔗 Voir la source</t>
        </is>
      </c>
    </row>
    <row r="25">
      <c r="A25" s="9" t="n">
        <v>22</v>
      </c>
      <c r="B25" s="10" t="inlineStr">
        <is>
          <t>Société Ivoirienne de Raffinage (SIR)</t>
        </is>
      </c>
      <c r="C25" s="11" t="inlineStr">
        <is>
          <t>🏗️ Industriels et importateurs</t>
        </is>
      </c>
      <c r="D25" s="11" t="inlineStr">
        <is>
          <t>Raffinage de pétrole</t>
        </is>
      </c>
      <c r="E25" s="11" t="inlineStr">
        <is>
          <t>Vridi zone industrielle, boulevard de Petit-Bassam, Abidjan</t>
        </is>
      </c>
      <c r="F25" s="11" t="inlineStr">
        <is>
          <t>Stockage de pièces de rechange et d'équipements lourds pour la maintenance de la raffinerie.</t>
        </is>
      </c>
      <c r="G25" s="11" t="inlineStr">
        <is>
          <t>⚓ Vridi</t>
        </is>
      </c>
      <c r="H25" s="11" t="inlineStr">
        <is>
          <t>Votre raffinerie est à Vridi : nous gardons vos pièces lourdes et équipements de maintenance à côté, prêts pour vos arrêts techniques.</t>
        </is>
      </c>
      <c r="I25" s="13" t="inlineStr">
        <is>
          <t>🟠 Moyenne</t>
        </is>
      </c>
      <c r="J25" s="11" t="inlineStr">
        <is>
          <t>+225 27 21 23 70 70
info@sir.ci</t>
        </is>
      </c>
      <c r="K25" s="12" t="inlineStr">
        <is>
          <t>https://www.sir.ci</t>
        </is>
      </c>
      <c r="L25" s="12" t="inlineStr">
        <is>
          <t>🔗 Voir la source</t>
        </is>
      </c>
    </row>
    <row r="26">
      <c r="A26" s="4" t="n">
        <v>23</v>
      </c>
      <c r="B26" s="5" t="inlineStr">
        <is>
          <t>Vivo Energy Côte d'Ivoire</t>
        </is>
      </c>
      <c r="C26" s="6" t="inlineStr">
        <is>
          <t>🏗️ Industriels et importateurs</t>
        </is>
      </c>
      <c r="D26" s="6" t="inlineStr">
        <is>
          <t>Distribution de carburants, lubrifiants et gaz (marque Shell)</t>
        </is>
      </c>
      <c r="E26" s="6" t="inlineStr">
        <is>
          <t>Abidjan</t>
        </is>
      </c>
      <c r="F26" s="6" t="inlineStr">
        <is>
          <t>Stockage de lubrifiants conditionnés et livraison vers les stations et clients industriels.</t>
        </is>
      </c>
      <c r="G26" s="6" t="inlineStr">
        <is>
          <t>⚓ Vridi</t>
        </is>
      </c>
      <c r="H26" s="6" t="inlineStr">
        <is>
          <t>Vous distribuez les lubrifiants Shell dans le pays : un stock relais de fûts et cartons, suivi en temps réel, réduit vos ruptures en station.</t>
        </is>
      </c>
      <c r="I26" s="13" t="inlineStr">
        <is>
          <t>🟠 Moyenne</t>
        </is>
      </c>
      <c r="J26" s="6" t="inlineStr">
        <is>
          <t>Non publié</t>
        </is>
      </c>
      <c r="K26" s="8" t="inlineStr">
        <is>
          <t>https://www.vivoenergy.com</t>
        </is>
      </c>
      <c r="L26" s="8" t="inlineStr">
        <is>
          <t>🔗 Voir la source</t>
        </is>
      </c>
    </row>
    <row r="27">
      <c r="A27" s="9" t="n">
        <v>24</v>
      </c>
      <c r="B27" s="10" t="inlineStr">
        <is>
          <t>Bernabé Côte d'Ivoire (groupe Yeshi)</t>
        </is>
      </c>
      <c r="C27" s="11" t="inlineStr">
        <is>
          <t>🏗️ Industriels et importateurs</t>
        </is>
      </c>
      <c r="D27" s="11" t="inlineStr">
        <is>
          <t>Négoce de quincaillerie, outillage, matériel industriel et matériaux</t>
        </is>
      </c>
      <c r="E27" s="11" t="inlineStr">
        <is>
          <t>Abidjan</t>
        </is>
      </c>
      <c r="F27" s="11" t="inlineStr">
        <is>
          <t>Stockage de produits métallurgiques et matériaux, et livraison aux clients professionnels.</t>
        </is>
      </c>
      <c r="G27" s="11" t="inlineStr">
        <is>
          <t>🏭 Yopougon</t>
        </is>
      </c>
      <c r="H27" s="11" t="inlineStr">
        <is>
          <t>Avec plus de 10 000 références et 400 marques, un parc racké avec suivi de stock en temps réel vous aide à garder la main sur vos volumes.</t>
        </is>
      </c>
      <c r="I27" s="13" t="inlineStr">
        <is>
          <t>🟠 Moyenne</t>
        </is>
      </c>
      <c r="J27" s="11" t="inlineStr">
        <is>
          <t>+225 27 21 21 20 20 / 27 21 35 20 92</t>
        </is>
      </c>
      <c r="K27" s="12" t="inlineStr">
        <is>
          <t>https://www.yeshigroup.com</t>
        </is>
      </c>
      <c r="L27" s="12" t="inlineStr">
        <is>
          <t>🔗 Voir la source</t>
        </is>
      </c>
    </row>
    <row r="28">
      <c r="A28" s="4" t="n">
        <v>25</v>
      </c>
      <c r="B28" s="5" t="inlineStr">
        <is>
          <t>CFAO Consumer (Carrefour et PlaYce)</t>
        </is>
      </c>
      <c r="C28" s="6" t="inlineStr">
        <is>
          <t>📱 E-commerce et retail</t>
        </is>
      </c>
      <c r="D28" s="6" t="inlineStr">
        <is>
          <t>Hypermarchés et supermarchés Carrefour, centres commerciaux PlaYce</t>
        </is>
      </c>
      <c r="E28" s="6" t="inlineStr">
        <is>
          <t>Abidjan (Marcory, Cocody Palmeraie)</t>
        </is>
      </c>
      <c r="F28" s="6" t="inlineStr">
        <is>
          <t>Stockage déporté des produits et réapprovisionnement des magasins.</t>
        </is>
      </c>
      <c r="G28" s="6" t="inlineStr">
        <is>
          <t>🏭 Yopougon</t>
        </is>
      </c>
      <c r="H28" s="6" t="inlineStr">
        <is>
          <t>Avec plus de 22 000 références dans vos magasins Carrefour, un entrepôt d'appoint racké avec suivi en temps réel sécurise vos réassorts.</t>
        </is>
      </c>
      <c r="I28" s="7" t="inlineStr">
        <is>
          <t>🔴 Haute</t>
        </is>
      </c>
      <c r="J28" s="6" t="inlineStr">
        <is>
          <t>Non publié</t>
        </is>
      </c>
      <c r="K28" s="8" t="inlineStr">
        <is>
          <t>https://www.cfaogroup.com</t>
        </is>
      </c>
      <c r="L28" s="8" t="inlineStr">
        <is>
          <t>🔗 Voir la source</t>
        </is>
      </c>
    </row>
    <row r="29">
      <c r="A29" s="9" t="n">
        <v>26</v>
      </c>
      <c r="B29" s="10" t="inlineStr">
        <is>
          <t>Jumia Côte d'Ivoire</t>
        </is>
      </c>
      <c r="C29" s="11" t="inlineStr">
        <is>
          <t>📱 E-commerce et retail</t>
        </is>
      </c>
      <c r="D29" s="11" t="inlineStr">
        <is>
          <t>Plateforme de vente en ligne et livraison</t>
        </is>
      </c>
      <c r="E29" s="11" t="inlineStr">
        <is>
          <t>Rond-point Solibra, Abidjan ; entrepôt au PK24</t>
        </is>
      </c>
      <c r="F29" s="11" t="inlineStr">
        <is>
          <t>Capacité d'appoint pendant les pics (soldes, fêtes) et navettes vers l'intérieur.</t>
        </is>
      </c>
      <c r="G29" s="11" t="inlineStr">
        <is>
          <t>📦 Ndotre</t>
        </is>
      </c>
      <c r="H29" s="11" t="inlineStr">
        <is>
          <t>Plus de 67 % de vos commandes 2024 viennent de l'intérieur du pays : notre parc de Ndotre, au nord d'Abidjan, et notre flotte de camions peuvent alimenter vos relais.</t>
        </is>
      </c>
      <c r="I29" s="13" t="inlineStr">
        <is>
          <t>🟠 Moyenne</t>
        </is>
      </c>
      <c r="J29" s="11" t="inlineStr">
        <is>
          <t>Non publié</t>
        </is>
      </c>
      <c r="K29" s="12" t="inlineStr">
        <is>
          <t>https://www.jumia.ci</t>
        </is>
      </c>
      <c r="L29" s="12" t="inlineStr">
        <is>
          <t>🔗 Voir la source</t>
        </is>
      </c>
    </row>
    <row r="30">
      <c r="A30" s="4" t="n">
        <v>27</v>
      </c>
      <c r="B30" s="5" t="inlineStr">
        <is>
          <t>Decathlon Côte d'Ivoire</t>
        </is>
      </c>
      <c r="C30" s="6" t="inlineStr">
        <is>
          <t>📱 E-commerce et retail</t>
        </is>
      </c>
      <c r="D30" s="6" t="inlineStr">
        <is>
          <t>Enseigne d'articles de sport, magasins et vente en ligne</t>
        </is>
      </c>
      <c r="E30" s="6" t="inlineStr">
        <is>
          <t>Abidjan (PlaYce, boulevard Valéry Giscard d'Estaing)</t>
        </is>
      </c>
      <c r="F30" s="6" t="inlineStr">
        <is>
          <t>Stockage de réserve et préparation des commandes en ligne.</t>
        </is>
      </c>
      <c r="G30" s="6" t="inlineStr">
        <is>
          <t>⚓ Vridi</t>
        </is>
      </c>
      <c r="H30" s="6" t="inlineStr">
        <is>
          <t>Vous avez ouvert un deuxième magasin et vendez aussi en ligne : nous gardons votre réserve et préparons vos commandes internet.</t>
        </is>
      </c>
      <c r="I30" s="13" t="inlineStr">
        <is>
          <t>🟠 Moyenne</t>
        </is>
      </c>
      <c r="J30" s="6" t="inlineStr">
        <is>
          <t>Non publié</t>
        </is>
      </c>
      <c r="K30" s="8" t="inlineStr">
        <is>
          <t>https://www.decathlon.ci</t>
        </is>
      </c>
      <c r="L30" s="8" t="inlineStr">
        <is>
          <t>🔗 Voir la source</t>
        </is>
      </c>
    </row>
    <row r="31">
      <c r="A31" s="9" t="n">
        <v>28</v>
      </c>
      <c r="B31" s="10" t="inlineStr">
        <is>
          <t>Mr Bricolage Côte d'Ivoire (groupe Yeshi)</t>
        </is>
      </c>
      <c r="C31" s="11" t="inlineStr">
        <is>
          <t>📱 E-commerce et retail</t>
        </is>
      </c>
      <c r="D31" s="11" t="inlineStr">
        <is>
          <t>Grande surface de bricolage, maison et jardin</t>
        </is>
      </c>
      <c r="E31" s="11" t="inlineStr">
        <is>
          <t>Riviera 3, face Cap Nord, Abidjan</t>
        </is>
      </c>
      <c r="F31" s="11" t="inlineStr">
        <is>
          <t>Stockage de produits volumineux (matériaux, jardin) et livraison à domicile.</t>
        </is>
      </c>
      <c r="G31" s="11" t="inlineStr">
        <is>
          <t>📦 Ndotre</t>
        </is>
      </c>
      <c r="H31" s="11" t="inlineStr">
        <is>
          <t>Votre magasin de 5 600 m² vend beaucoup de produits encombrants : nous gardons la réserve et livrons vos clients avec nos camions.</t>
        </is>
      </c>
      <c r="I31" s="13" t="inlineStr">
        <is>
          <t>🟠 Moyenne</t>
        </is>
      </c>
      <c r="J31" s="11" t="inlineStr">
        <is>
          <t>+225 05 95 99 60 25
support@mrbricolage-ci.com</t>
        </is>
      </c>
      <c r="K31" s="12" t="inlineStr">
        <is>
          <t>https://mr-bricolage.ci</t>
        </is>
      </c>
      <c r="L31" s="12" t="inlineStr">
        <is>
          <t>🔗 Voir la source</t>
        </is>
      </c>
    </row>
    <row r="32">
      <c r="A32" s="4" t="n">
        <v>29</v>
      </c>
      <c r="B32" s="5" t="inlineStr">
        <is>
          <t>Orca Déco</t>
        </is>
      </c>
      <c r="C32" s="6" t="inlineStr">
        <is>
          <t>📱 E-commerce et retail</t>
        </is>
      </c>
      <c r="D32" s="6" t="inlineStr">
        <is>
          <t>Enseigne de décoration et d'équipement de la maison</t>
        </is>
      </c>
      <c r="E32" s="6" t="inlineStr">
        <is>
          <t>Boulevard Valéry Giscard d'Estaing, face Orange, Marcory, Abidjan</t>
        </is>
      </c>
      <c r="F32" s="6" t="inlineStr">
        <is>
          <t>Stockage de meubles et articles importés en conteneurs, et livraison aux clients.</t>
        </is>
      </c>
      <c r="G32" s="6" t="inlineStr">
        <is>
          <t>⚓ Vridi</t>
        </is>
      </c>
      <c r="H32" s="6" t="inlineStr">
        <is>
          <t>Vous importez meubles et décoration en conteneurs : notre parc de Vridi, près du port, peut les recevoir et les livrer chez vos clients.</t>
        </is>
      </c>
      <c r="I32" s="13" t="inlineStr">
        <is>
          <t>🟠 Moyenne</t>
        </is>
      </c>
      <c r="J32" s="6" t="inlineStr">
        <is>
          <t>+225 27 21 21 24 74</t>
        </is>
      </c>
      <c r="K32" s="6" t="inlineStr"/>
      <c r="L32" s="8" t="inlineStr">
        <is>
          <t>🔗 Voir la source</t>
        </is>
      </c>
    </row>
    <row r="33">
      <c r="A33" s="9" t="n">
        <v>30</v>
      </c>
      <c r="B33" s="10" t="inlineStr">
        <is>
          <t>Yango Deli</t>
        </is>
      </c>
      <c r="C33" s="11" t="inlineStr">
        <is>
          <t>📱 E-commerce et retail</t>
        </is>
      </c>
      <c r="D33" s="11" t="inlineStr">
        <is>
          <t>Livraison rapide de courses et de repas</t>
        </is>
      </c>
      <c r="E33" s="11" t="inlineStr">
        <is>
          <t>Abidjan</t>
        </is>
      </c>
      <c r="F33" s="11" t="inlineStr">
        <is>
          <t>Stockage de produits secs pour alimenter ses points de préparation.</t>
        </is>
      </c>
      <c r="G33" s="11" t="inlineStr">
        <is>
          <t>🏭 Yopougon</t>
        </is>
      </c>
      <c r="H33" s="11" t="inlineStr">
        <is>
          <t>Vous promettez des courses livrées vite : un stock central avec suivi en temps réel alimente vos points de préparation sans rupture.</t>
        </is>
      </c>
      <c r="I33" s="14" t="inlineStr">
        <is>
          <t>⚪ Basse</t>
        </is>
      </c>
      <c r="J33" s="11" t="inlineStr">
        <is>
          <t>love-ci@deli.yango.com</t>
        </is>
      </c>
      <c r="K33" s="12" t="inlineStr">
        <is>
          <t>https://deli.yango.com/en-ci</t>
        </is>
      </c>
      <c r="L33" s="12" t="inlineStr">
        <is>
          <t>🔗 Voir la source</t>
        </is>
      </c>
    </row>
  </sheetData>
  <autoFilter ref="A3:L33"/>
  <mergeCells count="2">
    <mergeCell ref="A2:L2"/>
    <mergeCell ref="C1:L1"/>
  </mergeCells>
  <hyperlinks>
    <hyperlink xmlns:r="http://schemas.openxmlformats.org/officeDocument/2006/relationships" ref="K4" r:id="rId1"/>
    <hyperlink xmlns:r="http://schemas.openxmlformats.org/officeDocument/2006/relationships" ref="L4" r:id="rId2"/>
    <hyperlink xmlns:r="http://schemas.openxmlformats.org/officeDocument/2006/relationships" ref="K5"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K8" r:id="rId7"/>
    <hyperlink xmlns:r="http://schemas.openxmlformats.org/officeDocument/2006/relationships" ref="L8" r:id="rId8"/>
    <hyperlink xmlns:r="http://schemas.openxmlformats.org/officeDocument/2006/relationships" ref="K9" r:id="rId9"/>
    <hyperlink xmlns:r="http://schemas.openxmlformats.org/officeDocument/2006/relationships" ref="L9" r:id="rId10"/>
    <hyperlink xmlns:r="http://schemas.openxmlformats.org/officeDocument/2006/relationships" ref="K10" r:id="rId11"/>
    <hyperlink xmlns:r="http://schemas.openxmlformats.org/officeDocument/2006/relationships" ref="L10" r:id="rId12"/>
    <hyperlink xmlns:r="http://schemas.openxmlformats.org/officeDocument/2006/relationships" ref="K11" r:id="rId13"/>
    <hyperlink xmlns:r="http://schemas.openxmlformats.org/officeDocument/2006/relationships" ref="L11" r:id="rId14"/>
    <hyperlink xmlns:r="http://schemas.openxmlformats.org/officeDocument/2006/relationships" ref="K12" r:id="rId15"/>
    <hyperlink xmlns:r="http://schemas.openxmlformats.org/officeDocument/2006/relationships" ref="L12" r:id="rId16"/>
    <hyperlink xmlns:r="http://schemas.openxmlformats.org/officeDocument/2006/relationships" ref="K13" r:id="rId17"/>
    <hyperlink xmlns:r="http://schemas.openxmlformats.org/officeDocument/2006/relationships" ref="L13" r:id="rId18"/>
    <hyperlink xmlns:r="http://schemas.openxmlformats.org/officeDocument/2006/relationships" ref="K14" r:id="rId19"/>
    <hyperlink xmlns:r="http://schemas.openxmlformats.org/officeDocument/2006/relationships" ref="L14" r:id="rId20"/>
    <hyperlink xmlns:r="http://schemas.openxmlformats.org/officeDocument/2006/relationships" ref="K15" r:id="rId21"/>
    <hyperlink xmlns:r="http://schemas.openxmlformats.org/officeDocument/2006/relationships" ref="L15" r:id="rId22"/>
    <hyperlink xmlns:r="http://schemas.openxmlformats.org/officeDocument/2006/relationships" ref="K16" r:id="rId23"/>
    <hyperlink xmlns:r="http://schemas.openxmlformats.org/officeDocument/2006/relationships" ref="L16" r:id="rId24"/>
    <hyperlink xmlns:r="http://schemas.openxmlformats.org/officeDocument/2006/relationships" ref="K17" r:id="rId25"/>
    <hyperlink xmlns:r="http://schemas.openxmlformats.org/officeDocument/2006/relationships" ref="L17" r:id="rId26"/>
    <hyperlink xmlns:r="http://schemas.openxmlformats.org/officeDocument/2006/relationships" ref="K18" r:id="rId27"/>
    <hyperlink xmlns:r="http://schemas.openxmlformats.org/officeDocument/2006/relationships" ref="L18" r:id="rId28"/>
    <hyperlink xmlns:r="http://schemas.openxmlformats.org/officeDocument/2006/relationships" ref="K19" r:id="rId29"/>
    <hyperlink xmlns:r="http://schemas.openxmlformats.org/officeDocument/2006/relationships" ref="L19" r:id="rId30"/>
    <hyperlink xmlns:r="http://schemas.openxmlformats.org/officeDocument/2006/relationships" ref="L20" r:id="rId31"/>
    <hyperlink xmlns:r="http://schemas.openxmlformats.org/officeDocument/2006/relationships" ref="K21" r:id="rId32"/>
    <hyperlink xmlns:r="http://schemas.openxmlformats.org/officeDocument/2006/relationships" ref="L21" r:id="rId33"/>
    <hyperlink xmlns:r="http://schemas.openxmlformats.org/officeDocument/2006/relationships" ref="K22" r:id="rId34"/>
    <hyperlink xmlns:r="http://schemas.openxmlformats.org/officeDocument/2006/relationships" ref="L22" r:id="rId35"/>
    <hyperlink xmlns:r="http://schemas.openxmlformats.org/officeDocument/2006/relationships" ref="K23" r:id="rId36"/>
    <hyperlink xmlns:r="http://schemas.openxmlformats.org/officeDocument/2006/relationships" ref="L23" r:id="rId37"/>
    <hyperlink xmlns:r="http://schemas.openxmlformats.org/officeDocument/2006/relationships" ref="K24" r:id="rId38"/>
    <hyperlink xmlns:r="http://schemas.openxmlformats.org/officeDocument/2006/relationships" ref="L24" r:id="rId39"/>
    <hyperlink xmlns:r="http://schemas.openxmlformats.org/officeDocument/2006/relationships" ref="K25" r:id="rId40"/>
    <hyperlink xmlns:r="http://schemas.openxmlformats.org/officeDocument/2006/relationships" ref="L25" r:id="rId41"/>
    <hyperlink xmlns:r="http://schemas.openxmlformats.org/officeDocument/2006/relationships" ref="K26" r:id="rId42"/>
    <hyperlink xmlns:r="http://schemas.openxmlformats.org/officeDocument/2006/relationships" ref="L26" r:id="rId43"/>
    <hyperlink xmlns:r="http://schemas.openxmlformats.org/officeDocument/2006/relationships" ref="K27" r:id="rId44"/>
    <hyperlink xmlns:r="http://schemas.openxmlformats.org/officeDocument/2006/relationships" ref="L27" r:id="rId45"/>
    <hyperlink xmlns:r="http://schemas.openxmlformats.org/officeDocument/2006/relationships" ref="K28" r:id="rId46"/>
    <hyperlink xmlns:r="http://schemas.openxmlformats.org/officeDocument/2006/relationships" ref="L28" r:id="rId47"/>
    <hyperlink xmlns:r="http://schemas.openxmlformats.org/officeDocument/2006/relationships" ref="K29" r:id="rId48"/>
    <hyperlink xmlns:r="http://schemas.openxmlformats.org/officeDocument/2006/relationships" ref="L29" r:id="rId49"/>
    <hyperlink xmlns:r="http://schemas.openxmlformats.org/officeDocument/2006/relationships" ref="K30" r:id="rId50"/>
    <hyperlink xmlns:r="http://schemas.openxmlformats.org/officeDocument/2006/relationships" ref="L30" r:id="rId51"/>
    <hyperlink xmlns:r="http://schemas.openxmlformats.org/officeDocument/2006/relationships" ref="K31" r:id="rId52"/>
    <hyperlink xmlns:r="http://schemas.openxmlformats.org/officeDocument/2006/relationships" ref="L31" r:id="rId53"/>
    <hyperlink xmlns:r="http://schemas.openxmlformats.org/officeDocument/2006/relationships" ref="L32" r:id="rId54"/>
    <hyperlink xmlns:r="http://schemas.openxmlformats.org/officeDocument/2006/relationships" ref="K33" r:id="rId55"/>
    <hyperlink xmlns:r="http://schemas.openxmlformats.org/officeDocument/2006/relationships" ref="L33" r:id="rId56"/>
  </hyperlinks>
  <pageMargins left="0.75" right="0.75" top="1" bottom="1" header="0.5" footer="0.5"/>
  <drawing xmlns:r="http://schemas.openxmlformats.org/officeDocument/2006/relationships" r:id="rId57"/>
</worksheet>
</file>

<file path=xl/worksheets/sheet2.xml><?xml version="1.0" encoding="utf-8"?>
<worksheet xmlns="http://schemas.openxmlformats.org/spreadsheetml/2006/main">
  <sheetPr>
    <outlinePr summaryBelow="1" summaryRight="1"/>
    <pageSetUpPr/>
  </sheetPr>
  <dimension ref="A1:K2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3" customWidth="1" min="3" max="3"/>
    <col width="20" customWidth="1" min="4" max="4"/>
    <col width="30" customWidth="1" min="5" max="5"/>
    <col width="34" customWidth="1" min="6" max="6"/>
    <col width="44" customWidth="1" min="7" max="7"/>
    <col width="12" customWidth="1" min="8" max="8"/>
    <col width="24" customWidth="1" min="9" max="9"/>
    <col width="22" customWidth="1" min="10" max="10"/>
    <col width="14" customWidth="1" min="11" max="11"/>
  </cols>
  <sheetData>
    <row r="1" ht="52" customHeight="1">
      <c r="C1" s="1" t="inlineStr">
        <is>
          <t>🚚 Déplacement du 2 au 7 novembre · 20 entreprises à rencontrer</t>
        </is>
      </c>
    </row>
    <row r="2" ht="30" customHeight="1">
      <c r="A2" s="2" t="inlineStr">
        <is>
          <t>12 à San-Pédro (mardi 3) et 8 à Korhogo et dans le nord (vendredi 6). Entreprises réelles, chacune avec sa source. Les usines en projet sont signalées dans l'activité.</t>
        </is>
      </c>
    </row>
    <row r="3" ht="30" customHeight="1">
      <c r="A3" s="3" t="inlineStr">
        <is>
          <t>N°</t>
        </is>
      </c>
      <c r="B3" s="3" t="inlineStr">
        <is>
          <t>🏢 Entreprise</t>
        </is>
      </c>
      <c r="C3" s="3" t="inlineStr">
        <is>
          <t>📍 Ville</t>
        </is>
      </c>
      <c r="D3" s="3" t="inlineStr">
        <is>
          <t>🏷️ Filière</t>
        </is>
      </c>
      <c r="E3" s="3" t="inlineStr">
        <is>
          <t>🏭 Activité</t>
        </is>
      </c>
      <c r="F3" s="3" t="inlineStr">
        <is>
          <t>📦 Ce qu'on leur vend</t>
        </is>
      </c>
      <c r="G3" s="3" t="inlineStr">
        <is>
          <t>💬 Accroche</t>
        </is>
      </c>
      <c r="H3" s="3" t="inlineStr">
        <is>
          <t>🎯 Priorité</t>
        </is>
      </c>
      <c r="I3" s="3" t="inlineStr">
        <is>
          <t>📞 Contact publié</t>
        </is>
      </c>
      <c r="J3" s="3" t="inlineStr">
        <is>
          <t>🌐 Site</t>
        </is>
      </c>
      <c r="K3" s="3" t="inlineStr">
        <is>
          <t>🔗 Source</t>
        </is>
      </c>
    </row>
    <row r="4">
      <c r="A4" s="4" t="n">
        <v>1</v>
      </c>
      <c r="B4" s="5" t="inlineStr">
        <is>
          <t>COIC (Compagnie Ivoirienne de Coton)</t>
        </is>
      </c>
      <c r="C4" s="6" t="inlineStr">
        <is>
          <t>🌾 Korhogo</t>
        </is>
      </c>
      <c r="D4" s="6" t="inlineStr">
        <is>
          <t>Coton (égrenage, export)</t>
        </is>
      </c>
      <c r="E4" s="6" t="inlineStr">
        <is>
          <t>Égreneur privé ivoirien : 180 000 t de capacité (4 usines), collecte, égrenage et export ; siège à Korhogo</t>
        </is>
      </c>
      <c r="F4" s="6" t="inlineStr">
        <is>
          <t>Transport des balles de fibre Korhogo – port d'Abidjan et stockage sous douane à Vridi avant embarquement.</t>
        </is>
      </c>
      <c r="G4" s="6" t="inlineStr">
        <is>
          <t>Avec 180 000 t de capacité d'égrenage, chaque campagne envoie des milliers de balles vers Abidjan : Proline peut les stocker près du port.</t>
        </is>
      </c>
      <c r="H4" s="7" t="inlineStr">
        <is>
          <t>🔴 Haute</t>
        </is>
      </c>
      <c r="I4" s="6" t="inlineStr">
        <is>
          <t>+225 27 36 85 07 36
info@coic-sa.ci</t>
        </is>
      </c>
      <c r="J4" s="6" t="inlineStr"/>
      <c r="K4" s="8" t="inlineStr">
        <is>
          <t>🔗 Voir la source</t>
        </is>
      </c>
    </row>
    <row r="5">
      <c r="A5" s="9" t="n">
        <v>2</v>
      </c>
      <c r="B5" s="10" t="inlineStr">
        <is>
          <t>Ivoire Coton</t>
        </is>
      </c>
      <c r="C5" s="11" t="inlineStr">
        <is>
          <t>🌾 Korhogo</t>
        </is>
      </c>
      <c r="D5" s="11" t="inlineStr">
        <is>
          <t>Coton (égrenage, export)</t>
        </is>
      </c>
      <c r="E5" s="11" t="inlineStr">
        <is>
          <t>Égreneur de 170 000 t de capacité (4 usines : Boundiali, Dianra, M'Bengué…), bureau en zone industrielle de Korhogo</t>
        </is>
      </c>
      <c r="F5" s="11" t="inlineStr">
        <is>
          <t>Transport de fibre vers Abidjan et entreposage tampon au port en attendant les navires.</t>
        </is>
      </c>
      <c r="G5" s="11" t="inlineStr">
        <is>
          <t>Vos usines du Nord-Ouest expédient vers Abidjan : Proline a des entrepôts à Vridi, à côté du port.</t>
        </is>
      </c>
      <c r="H5" s="7" t="inlineStr">
        <is>
          <t>🔴 Haute</t>
        </is>
      </c>
      <c r="I5" s="11" t="inlineStr">
        <is>
          <t>+225 27 36 85 15 89
info@ivoire-coton.ci</t>
        </is>
      </c>
      <c r="J5" s="12" t="inlineStr">
        <is>
          <t>https://www.ivoire-coton.com</t>
        </is>
      </c>
      <c r="K5" s="12" t="inlineStr">
        <is>
          <t>🔗 Voir la source</t>
        </is>
      </c>
    </row>
    <row r="6">
      <c r="A6" s="4" t="n">
        <v>3</v>
      </c>
      <c r="B6" s="5" t="inlineStr">
        <is>
          <t>DK Cajou</t>
        </is>
      </c>
      <c r="C6" s="6" t="inlineStr">
        <is>
          <t>🌾 Korhogo</t>
        </is>
      </c>
      <c r="D6" s="6" t="inlineStr">
        <is>
          <t>Anacarde (transformation)</t>
        </is>
      </c>
      <c r="E6" s="6" t="inlineStr">
        <is>
          <t>Usine de transformation de noix de cajou à Korhogo, 20 000 t/an (alimentaire, cosmétique, nutrition animale)</t>
        </is>
      </c>
      <c r="F6" s="6" t="inlineStr">
        <is>
          <t>Transport des amandes vers Abidjan pour l'export et stockage de noix brutes entre deux campagnes.</t>
        </is>
      </c>
      <c r="G6" s="6" t="inlineStr">
        <is>
          <t>Une usine de 20 000 t doit stocker des noix brutes toute l'année : Proline offre du stockage et le transport vers le port.</t>
        </is>
      </c>
      <c r="H6" s="7" t="inlineStr">
        <is>
          <t>🔴 Haute</t>
        </is>
      </c>
      <c r="I6" s="6" t="inlineStr">
        <is>
          <t>+225 07 08 89 60 29
contact@dkcajou.com</t>
        </is>
      </c>
      <c r="J6" s="8" t="inlineStr">
        <is>
          <t>https://dkcajou.com</t>
        </is>
      </c>
      <c r="K6" s="8" t="inlineStr">
        <is>
          <t>🔗 Voir la source</t>
        </is>
      </c>
    </row>
    <row r="7">
      <c r="A7" s="9" t="n">
        <v>4</v>
      </c>
      <c r="B7" s="10" t="inlineStr">
        <is>
          <t>SUCAF CI (Sucrerie Africaine Côte d'Ivoire, groupe Somdia) – Ferkessédougou</t>
        </is>
      </c>
      <c r="C7" s="11" t="inlineStr">
        <is>
          <t>🌾 Korhogo</t>
        </is>
      </c>
      <c r="D7" s="11" t="inlineStr">
        <is>
          <t>Sucre / alcool</t>
        </is>
      </c>
      <c r="E7" s="11" t="inlineStr">
        <is>
          <t>Complexes sucriers Ferké 1 et Ferké 2 (objectif 120 109 t de sucre en 2023-24) ; distillerie inaugurée le 7 mai 2026</t>
        </is>
      </c>
      <c r="F7" s="11" t="inlineStr">
        <is>
          <t>Transport du sucre et de l'alcool vers Abidjan, stockage de produits finis et d'intrants.</t>
        </is>
      </c>
      <c r="G7" s="11" t="inlineStr">
        <is>
          <t>Le plan de 100 milliards FCFA sur cinq ans (sucre, alcool, maïs) va augmenter les volumes à sortir de Ferké.</t>
        </is>
      </c>
      <c r="H7" s="7" t="inlineStr">
        <is>
          <t>🔴 Haute</t>
        </is>
      </c>
      <c r="I7" s="11" t="inlineStr">
        <is>
          <t>Non publié</t>
        </is>
      </c>
      <c r="J7" s="12" t="inlineStr">
        <is>
          <t>https://groupe-somdia.com</t>
        </is>
      </c>
      <c r="K7" s="12" t="inlineStr">
        <is>
          <t>🔗 Voir la source</t>
        </is>
      </c>
    </row>
    <row r="8">
      <c r="A8" s="4" t="n">
        <v>5</v>
      </c>
      <c r="B8" s="5" t="inlineStr">
        <is>
          <t>SECO (Société d'Exploitation Cotonnière Olam)</t>
        </is>
      </c>
      <c r="C8" s="6" t="inlineStr">
        <is>
          <t>🌾 Korhogo</t>
        </is>
      </c>
      <c r="D8" s="6" t="inlineStr">
        <is>
          <t>Coton (égrenage, export)</t>
        </is>
      </c>
      <c r="E8" s="6" t="inlineStr">
        <is>
          <t>Égreneur du groupe Olam : 70 000 t de capacité (2 usines), autour d'Ouangolodougou ; bureau en zone industrielle de Korhogo</t>
        </is>
      </c>
      <c r="F8" s="6" t="inlineStr">
        <is>
          <t>Transport de la fibre jusqu'au port d'Abidjan et stockage à proximité du port.</t>
        </is>
      </c>
      <c r="G8" s="6" t="inlineStr">
        <is>
          <t>Votre fibre fait le trajet Ouangolo – Abidjan à chaque campagne : Proline peut prendre une partie de ces rotations.</t>
        </is>
      </c>
      <c r="H8" s="13" t="inlineStr">
        <is>
          <t>🟠 Moyenne</t>
        </is>
      </c>
      <c r="I8" s="6" t="inlineStr">
        <is>
          <t>+225 27 36 86 45 75</t>
        </is>
      </c>
      <c r="J8" s="8" t="inlineStr">
        <is>
          <t>https://www.olamagri.com</t>
        </is>
      </c>
      <c r="K8" s="8" t="inlineStr">
        <is>
          <t>🔗 Voir la source</t>
        </is>
      </c>
    </row>
    <row r="9">
      <c r="A9" s="9" t="n">
        <v>6</v>
      </c>
      <c r="B9" s="10" t="inlineStr">
        <is>
          <t>Mine d'or de Tongon (Atlantic Group)</t>
        </is>
      </c>
      <c r="C9" s="11" t="inlineStr">
        <is>
          <t>🌾 Korhogo</t>
        </is>
      </c>
      <c r="D9" s="11" t="inlineStr">
        <is>
          <t>Mines (or)</t>
        </is>
      </c>
      <c r="E9" s="11" t="inlineStr">
        <is>
          <t>Mine d'or du nord ivoirien rachetée 305 M$ par Atlantic Group ; nouvelle exploration pour prolonger sa durée de vie</t>
        </is>
      </c>
      <c r="F9" s="11" t="inlineStr">
        <is>
          <t>Transport et stockage de consommables, pièces et engins (hors-gabarit) depuis le port d'Abidjan.</t>
        </is>
      </c>
      <c r="G9" s="11" t="inlineStr">
        <is>
          <t>Le nouveau propriétaire relance l'exploration : c'est le moment de revoir les contrats de transport d'intrants.</t>
        </is>
      </c>
      <c r="H9" s="13" t="inlineStr">
        <is>
          <t>🟠 Moyenne</t>
        </is>
      </c>
      <c r="I9" s="11" t="inlineStr">
        <is>
          <t>Non publié</t>
        </is>
      </c>
      <c r="J9" s="11" t="inlineStr"/>
      <c r="K9" s="12" t="inlineStr">
        <is>
          <t>🔗 Voir la source</t>
        </is>
      </c>
    </row>
    <row r="10">
      <c r="A10" s="4" t="n">
        <v>7</v>
      </c>
      <c r="B10" s="5" t="inlineStr">
        <is>
          <t>Inter-Mangue (interprofession de la mangue)</t>
        </is>
      </c>
      <c r="C10" s="6" t="inlineStr">
        <is>
          <t>🌾 Korhogo</t>
        </is>
      </c>
      <c r="D10" s="6" t="inlineStr">
        <is>
          <t>Mangue (export)</t>
        </is>
      </c>
      <c r="E10" s="6" t="inlineStr">
        <is>
          <t>Interprofession basée à Korhogo ; vise 45 000 t de mangues exportées en 2026</t>
        </is>
      </c>
      <c r="F10" s="6" t="inlineStr">
        <is>
          <t>Porte d'entrée vers les exportateurs : transport frigorifique ou rapide des stations de conditionnement vers Abidjan.</t>
        </is>
      </c>
      <c r="G10" s="6" t="inlineStr">
        <is>
          <t>Vous visez 45 000 t exportées et 12 % de plus qu'en 2025 : la logistique jusqu'au port compte autant que le verger.</t>
        </is>
      </c>
      <c r="H10" s="13" t="inlineStr">
        <is>
          <t>🟠 Moyenne</t>
        </is>
      </c>
      <c r="I10" s="6" t="inlineStr">
        <is>
          <t>Non publié</t>
        </is>
      </c>
      <c r="J10" s="6" t="inlineStr"/>
      <c r="K10" s="8" t="inlineStr">
        <is>
          <t>🔗 Voir la source</t>
        </is>
      </c>
    </row>
    <row r="11">
      <c r="A11" s="9" t="n">
        <v>8</v>
      </c>
      <c r="B11" s="10" t="inlineStr">
        <is>
          <t>Tropic Cajou</t>
        </is>
      </c>
      <c r="C11" s="11" t="inlineStr">
        <is>
          <t>🌾 Korhogo</t>
        </is>
      </c>
      <c r="D11" s="11" t="inlineStr">
        <is>
          <t>Anacarde (transformation, en projet)</t>
        </is>
      </c>
      <c r="E11" s="11" t="inlineStr">
        <is>
          <t>Projet de deux usines de cajou de 50 000 t chacune à Korhogo (11 ha) et Bondoukou ; démarrage des travaux prévu en 2025</t>
        </is>
      </c>
      <c r="F11" s="11" t="inlineStr">
        <is>
          <t>Transport d'équipements industriels (hors-gabarit) depuis le port d'Abidjan, puis logistique des produits.</t>
        </is>
      </c>
      <c r="G11" s="11" t="inlineStr">
        <is>
          <t>Vos équipements Oltremare devront monter du port d'Abidjan jusqu'à Korhogo : c'est notre métier, hors-gabarit compris.</t>
        </is>
      </c>
      <c r="H11" s="14" t="inlineStr">
        <is>
          <t>⚪ Basse</t>
        </is>
      </c>
      <c r="I11" s="11" t="inlineStr">
        <is>
          <t>+225 07 08 08 90 11
info@tropic-cajou.com</t>
        </is>
      </c>
      <c r="J11" s="12" t="inlineStr">
        <is>
          <t>https://www.tropic-cajou.com</t>
        </is>
      </c>
      <c r="K11" s="12" t="inlineStr">
        <is>
          <t>🔗 Voir la source</t>
        </is>
      </c>
    </row>
    <row r="12">
      <c r="A12" s="4" t="n">
        <v>9</v>
      </c>
      <c r="B12" s="5" t="inlineStr">
        <is>
          <t>Touton Négoce Côte d'Ivoire (TNCI)</t>
        </is>
      </c>
      <c r="C12" s="6" t="inlineStr">
        <is>
          <t>⚓ San-Pédro</t>
        </is>
      </c>
      <c r="D12" s="6" t="inlineStr">
        <is>
          <t>Cacao / café (négoce, export)</t>
        </is>
      </c>
      <c r="E12" s="6" t="inlineStr">
        <is>
          <t>Exportateur de cacao et de café ; plateforme logistique de 25 000 m² au port de San-Pédro</t>
        </is>
      </c>
      <c r="F12" s="6" t="inlineStr">
        <is>
          <t>Débordement de stockage en pleine campagne et transport de conteneurs empotés entre San-Pédro et le port d'Abidjan.</t>
        </is>
      </c>
      <c r="G12" s="6" t="inlineStr">
        <is>
          <t>Votre plateforme de San-Pédro inaugurée en février 2023 stocke environ 10 000 t de cacao : que faites-vous quand la campagne dépasse cette capacité ?</t>
        </is>
      </c>
      <c r="H12" s="7" t="inlineStr">
        <is>
          <t>🔴 Haute</t>
        </is>
      </c>
      <c r="I12" s="6" t="inlineStr">
        <is>
          <t>+225 27 34 71 04 04</t>
        </is>
      </c>
      <c r="J12" s="8" t="inlineStr">
        <is>
          <t>https://touton.com</t>
        </is>
      </c>
      <c r="K12" s="8" t="inlineStr">
        <is>
          <t>🔗 Voir la source</t>
        </is>
      </c>
    </row>
    <row r="13">
      <c r="A13" s="9" t="n">
        <v>10</v>
      </c>
      <c r="B13" s="10" t="inlineStr">
        <is>
          <t>Olam Cocoa Processing (groupe Olam / ofi) – usine de San-Pédro</t>
        </is>
      </c>
      <c r="C13" s="11" t="inlineStr">
        <is>
          <t>⚓ San-Pédro</t>
        </is>
      </c>
      <c r="D13" s="11" t="inlineStr">
        <is>
          <t>Cacao (broyage)</t>
        </is>
      </c>
      <c r="E13" s="11" t="inlineStr">
        <is>
          <t>Usine de broyage de cacao de 75 000 t/an au bord du fleuve San-Pédro, mise en service en 2014</t>
        </is>
      </c>
      <c r="F13" s="11" t="inlineStr">
        <is>
          <t>Stockage tampon de fèves et de produits finis (masse, beurre, tourteau) à Abidjan et transport de conteneurs vers le port d'Abidjan.</t>
        </is>
      </c>
      <c r="G13" s="11" t="inlineStr">
        <is>
          <t>Une usine de 75 000 t/an produit chaque semaine des conteneurs de masse et de beurre de cacao : Proline peut absorber vos pointes de stockage et de camionnage.</t>
        </is>
      </c>
      <c r="H13" s="7" t="inlineStr">
        <is>
          <t>🔴 Haute</t>
        </is>
      </c>
      <c r="I13" s="11" t="inlineStr">
        <is>
          <t>Non publié</t>
        </is>
      </c>
      <c r="J13" s="12" t="inlineStr">
        <is>
          <t>https://www.olamgroup.com</t>
        </is>
      </c>
      <c r="K13" s="12" t="inlineStr">
        <is>
          <t>🔗 Voir la source</t>
        </is>
      </c>
    </row>
    <row r="14">
      <c r="A14" s="4" t="n">
        <v>11</v>
      </c>
      <c r="B14" s="5" t="inlineStr">
        <is>
          <t>Barry Callebaut – SACO (usine de San-Pédro)</t>
        </is>
      </c>
      <c r="C14" s="6" t="inlineStr">
        <is>
          <t>⚓ San-Pédro</t>
        </is>
      </c>
      <c r="D14" s="6" t="inlineStr">
        <is>
          <t>Cacao (broyage)</t>
        </is>
      </c>
      <c r="E14" s="6" t="inlineStr">
        <is>
          <t>Filiale ivoirienne de Barry Callebaut ; l'une de ses deux principales usines de broyage est à San-Pédro</t>
        </is>
      </c>
      <c r="F14" s="6" t="inlineStr">
        <is>
          <t>Transferts de produits semi-finis entre les sites de San-Pédro et d'Abidjan (Zone 4) et entreposage tampon près de Vridi.</t>
        </is>
      </c>
      <c r="G14" s="6" t="inlineStr">
        <is>
          <t>Vos deux usines de broyage majeures sont à Abidjan et San-Pédro : Proline relie les deux, avec des entrepôts à Vridi près du port.</t>
        </is>
      </c>
      <c r="H14" s="7" t="inlineStr">
        <is>
          <t>🔴 Haute</t>
        </is>
      </c>
      <c r="I14" s="6" t="inlineStr">
        <is>
          <t>Non publié</t>
        </is>
      </c>
      <c r="J14" s="8" t="inlineStr">
        <is>
          <t>https://www.barry-callebaut.com</t>
        </is>
      </c>
      <c r="K14" s="8" t="inlineStr">
        <is>
          <t>🔗 Voir la source</t>
        </is>
      </c>
    </row>
    <row r="15">
      <c r="A15" s="9" t="n">
        <v>12</v>
      </c>
      <c r="B15" s="10" t="inlineStr">
        <is>
          <t>Transcao CI – site de Séwéké</t>
        </is>
      </c>
      <c r="C15" s="11" t="inlineStr">
        <is>
          <t>⚓ San-Pédro</t>
        </is>
      </c>
      <c r="D15" s="11" t="inlineStr">
        <is>
          <t>Cacao (broyage, société publique)</t>
        </is>
      </c>
      <c r="E15" s="11" t="inlineStr">
        <is>
          <t>Société d'État de transformation du cacao ; site de Séwéké à San-Pédro (50 000 t) et complexe PK24 près d'Abidjan</t>
        </is>
      </c>
      <c r="F15" s="11" t="inlineStr">
        <is>
          <t>Transport routier régulier entre Séwéké (San-Pédro) et PK24 / port d'Abidjan, et stockage complémentaire.</t>
        </is>
      </c>
      <c r="G15" s="11" t="inlineStr">
        <is>
          <t>Avec Séwéké à San-Pédro et le complexe PK24 inauguré en juin 2025, vos flux entre les deux sites ont besoin d'un transporteur fiable.</t>
        </is>
      </c>
      <c r="H15" s="7" t="inlineStr">
        <is>
          <t>🔴 Haute</t>
        </is>
      </c>
      <c r="I15" s="11" t="inlineStr">
        <is>
          <t>Non publié</t>
        </is>
      </c>
      <c r="J15" s="11" t="inlineStr"/>
      <c r="K15" s="12" t="inlineStr">
        <is>
          <t>🔗 Voir la source</t>
        </is>
      </c>
    </row>
    <row r="16">
      <c r="A16" s="4" t="n">
        <v>13</v>
      </c>
      <c r="B16" s="5" t="inlineStr">
        <is>
          <t>Ivory Cocoa Products (ICP)</t>
        </is>
      </c>
      <c r="C16" s="6" t="inlineStr">
        <is>
          <t>⚓ San-Pédro</t>
        </is>
      </c>
      <c r="D16" s="6" t="inlineStr">
        <is>
          <t>Cacao (broyage)</t>
        </is>
      </c>
      <c r="E16" s="6" t="inlineStr">
        <is>
          <t>Broyeur basé à San-Pédro depuis 2010, capacité d'environ 90 000 t, filiale du négociant Theobroma</t>
        </is>
      </c>
      <c r="F16" s="6" t="inlineStr">
        <is>
          <t>Stockage tampon des fèves achetées à crédit et transport des produits finis en conteneurs vers Abidjan.</t>
        </is>
      </c>
      <c r="G16" s="6" t="inlineStr">
        <is>
          <t>Le financement de 20 M€ accordé par FMO sert à acheter des fèves : plus de volume acheté, c'est plus de stock à loger et à transporter.</t>
        </is>
      </c>
      <c r="H16" s="7" t="inlineStr">
        <is>
          <t>🔴 Haute</t>
        </is>
      </c>
      <c r="I16" s="6" t="inlineStr">
        <is>
          <t>Non publié</t>
        </is>
      </c>
      <c r="J16" s="6" t="inlineStr"/>
      <c r="K16" s="8" t="inlineStr">
        <is>
          <t>🔗 Voir la source</t>
        </is>
      </c>
    </row>
    <row r="17">
      <c r="A17" s="9" t="n">
        <v>14</v>
      </c>
      <c r="B17" s="10" t="inlineStr">
        <is>
          <t>Zamacom (filiale d'ECOM Agroindustrial)</t>
        </is>
      </c>
      <c r="C17" s="11" t="inlineStr">
        <is>
          <t>⚓ San-Pédro</t>
        </is>
      </c>
      <c r="D17" s="11" t="inlineStr">
        <is>
          <t>Cacao / café (négoce, export)</t>
        </is>
      </c>
      <c r="E17" s="11" t="inlineStr">
        <is>
          <t>Filiale ivoirienne d'ECOM, qui loue des entrepôts à San-Pédro pour stocker et exporter les fèves</t>
        </is>
      </c>
      <c r="F17" s="11" t="inlineStr">
        <is>
          <t>Entreposage loué en campagne (San-Pédro et Abidjan) et transport des fèves vers les ports.</t>
        </is>
      </c>
      <c r="G17" s="11" t="inlineStr">
        <is>
          <t>Zamacom loue déjà ses entrepôts à San-Pédro : Proline propose une alternative ou un complément, avec la flotte en plus.</t>
        </is>
      </c>
      <c r="H17" s="7" t="inlineStr">
        <is>
          <t>🔴 Haute</t>
        </is>
      </c>
      <c r="I17" s="11" t="inlineStr">
        <is>
          <t>Non publié</t>
        </is>
      </c>
      <c r="J17" s="12" t="inlineStr">
        <is>
          <t>https://www.ecomtrading.com</t>
        </is>
      </c>
      <c r="K17" s="12" t="inlineStr">
        <is>
          <t>🔗 Voir la source</t>
        </is>
      </c>
    </row>
    <row r="18">
      <c r="A18" s="4" t="n">
        <v>15</v>
      </c>
      <c r="B18" s="5" t="inlineStr">
        <is>
          <t>Compagnie Minière du Bafing (CMB)</t>
        </is>
      </c>
      <c r="C18" s="6" t="inlineStr">
        <is>
          <t>⚓ San-Pédro</t>
        </is>
      </c>
      <c r="D18" s="6" t="inlineStr">
        <is>
          <t>Mines (nickel)</t>
        </is>
      </c>
      <c r="E18" s="6" t="inlineStr">
        <is>
          <t>Mine de nickel (Foungbesso, Moyango) ; environ 2,5 Mt exportées par an via le port de San-Pédro</t>
        </is>
      </c>
      <c r="F18" s="6" t="inlineStr">
        <is>
          <t>Camionnage minerai sur le corridor d'environ 500 km jusqu'au port, logistique des engins et pièces (hors-gabarit).</t>
        </is>
      </c>
      <c r="G18" s="6" t="inlineStr">
        <is>
          <t>Votre minerai fait environ 500 km par camions de sous-traitants jusqu'à San-Pédro : Proline a sa propre flotte et du hors-gabarit.</t>
        </is>
      </c>
      <c r="H18" s="7" t="inlineStr">
        <is>
          <t>🔴 Haute</t>
        </is>
      </c>
      <c r="I18" s="6" t="inlineStr">
        <is>
          <t>+225 27 21 37 20 50</t>
        </is>
      </c>
      <c r="J18" s="8" t="inlineStr">
        <is>
          <t>https://www.cmbafing.com</t>
        </is>
      </c>
      <c r="K18" s="8" t="inlineStr">
        <is>
          <t>🔗 Voir la source</t>
        </is>
      </c>
    </row>
    <row r="19">
      <c r="A19" s="9" t="n">
        <v>16</v>
      </c>
      <c r="B19" s="10" t="inlineStr">
        <is>
          <t>CITRAC (Compagnie Ivoirienne de Transformation de Cacao)</t>
        </is>
      </c>
      <c r="C19" s="11" t="inlineStr">
        <is>
          <t>⚓ San-Pédro</t>
        </is>
      </c>
      <c r="D19" s="11" t="inlineStr">
        <is>
          <t>Cacao (broyage)</t>
        </is>
      </c>
      <c r="E19" s="11" t="inlineStr">
        <is>
          <t>Usine familiale de transformation de cacao à San-Pédro (masse, beurre, tourteau), certifiée casher en 2023</t>
        </is>
      </c>
      <c r="F19" s="11" t="inlineStr">
        <is>
          <t>Transport de conteneurs de produits finis et entreposage ponctuel, sans investir dans une flotte propre.</t>
        </is>
      </c>
      <c r="G19" s="11" t="inlineStr">
        <is>
          <t>Un transformateur familial certifié pour l'export a souvent intérêt à sous-traiter le camionnage plutôt qu'à immobiliser des camions.</t>
        </is>
      </c>
      <c r="H19" s="13" t="inlineStr">
        <is>
          <t>🟠 Moyenne</t>
        </is>
      </c>
      <c r="I19" s="11" t="inlineStr">
        <is>
          <t>Non publié</t>
        </is>
      </c>
      <c r="J19" s="11" t="inlineStr"/>
      <c r="K19" s="12" t="inlineStr">
        <is>
          <t>🔗 Voir la source</t>
        </is>
      </c>
    </row>
    <row r="20">
      <c r="A20" s="4" t="n">
        <v>17</v>
      </c>
      <c r="B20" s="5" t="inlineStr">
        <is>
          <t>SOGB (Société des Caoutchoucs de Grand-Béréby, groupe Socfin)</t>
        </is>
      </c>
      <c r="C20" s="6" t="inlineStr">
        <is>
          <t>⚓ San-Pédro</t>
        </is>
      </c>
      <c r="D20" s="6" t="inlineStr">
        <is>
          <t>Caoutchouc / huile de palme</t>
        </is>
      </c>
      <c r="E20" s="6" t="inlineStr">
        <is>
          <t>3e producteur ivoirien de caoutchouc granulé (64 309 t) et 5e d'huile de palme brute (34 159 t), 3 usines</t>
        </is>
      </c>
      <c r="F20" s="6" t="inlineStr">
        <is>
          <t>Transport de balles de caoutchouc en conteneurs vers Abidjan et stockage tampon avant embarquement.</t>
        </is>
      </c>
      <c r="G20" s="6" t="inlineStr">
        <is>
          <t>Avec 64 000 t de caoutchouc par an, une capacité de transport et de stockage de secours vers Abidjan sécurise vos embarquements.</t>
        </is>
      </c>
      <c r="H20" s="13" t="inlineStr">
        <is>
          <t>🟠 Moyenne</t>
        </is>
      </c>
      <c r="I20" s="6" t="inlineStr">
        <is>
          <t>Non publié</t>
        </is>
      </c>
      <c r="J20" s="8" t="inlineStr">
        <is>
          <t>https://www.sogbci.com</t>
        </is>
      </c>
      <c r="K20" s="8" t="inlineStr">
        <is>
          <t>🔗 Voir la source</t>
        </is>
      </c>
    </row>
    <row r="21">
      <c r="A21" s="9" t="n">
        <v>18</v>
      </c>
      <c r="B21" s="10" t="inlineStr">
        <is>
          <t>Atlantic Cocoa Corporation (ACC) – usine de San-Pédro</t>
        </is>
      </c>
      <c r="C21" s="11" t="inlineStr">
        <is>
          <t>⚓ San-Pédro</t>
        </is>
      </c>
      <c r="D21" s="11" t="inlineStr">
        <is>
          <t>Cacao (broyage)</t>
        </is>
      </c>
      <c r="E21" s="11" t="inlineStr">
        <is>
          <t>Usine de 64 000 t/an (extensible à 100 000 t) en construction à San-Pédro ; usine en service à Yopougon</t>
        </is>
      </c>
      <c r="F21" s="11" t="inlineStr">
        <is>
          <t>Transport d'équipements lourds pour le chantier, puis liaison San-Pédro – Yopougon et stockage tampon.</t>
        </is>
      </c>
      <c r="G21" s="11" t="inlineStr">
        <is>
          <t>Proline est déjà installé à Yopougon, à côté de votre usine d'Abidjan, et peut relier votre futur site de San-Pédro.</t>
        </is>
      </c>
      <c r="H21" s="13" t="inlineStr">
        <is>
          <t>🟠 Moyenne</t>
        </is>
      </c>
      <c r="I21" s="11" t="inlineStr">
        <is>
          <t>infos@atlantic-cocoacorporation.net</t>
        </is>
      </c>
      <c r="J21" s="12" t="inlineStr">
        <is>
          <t>https://atlantic-cocoacorporation.net</t>
        </is>
      </c>
      <c r="K21" s="12" t="inlineStr">
        <is>
          <t>🔗 Voir la source</t>
        </is>
      </c>
    </row>
    <row r="22">
      <c r="A22" s="4" t="n">
        <v>19</v>
      </c>
      <c r="B22" s="5" t="inlineStr">
        <is>
          <t>Compagnie Minière du Littoral (CML)</t>
        </is>
      </c>
      <c r="C22" s="6" t="inlineStr">
        <is>
          <t>⚓ San-Pédro</t>
        </is>
      </c>
      <c r="D22" s="6" t="inlineStr">
        <is>
          <t>Mines (manganèse)</t>
        </is>
      </c>
      <c r="E22" s="6" t="inlineStr">
        <is>
          <t>Exploite le manganèse de Lauzoua (Guitry) ; expéditions par San-Pédro et Abidjan</t>
        </is>
      </c>
      <c r="F22" s="6" t="inlineStr">
        <is>
          <t>Renfort de camionnage vers les ports et transport d'équipements lourds vers la mine.</t>
        </is>
      </c>
      <c r="G22" s="6" t="inlineStr">
        <is>
          <t>Vous avez ajouté 15 camions en janvier 2025 : Proline peut absorber les pointes au-delà de votre parc.</t>
        </is>
      </c>
      <c r="H22" s="14" t="inlineStr">
        <is>
          <t>⚪ Basse</t>
        </is>
      </c>
      <c r="I22" s="6" t="inlineStr">
        <is>
          <t>Non publié</t>
        </is>
      </c>
      <c r="J22" s="8" t="inlineStr">
        <is>
          <t>https://cml-ci.com</t>
        </is>
      </c>
      <c r="K22" s="8" t="inlineStr">
        <is>
          <t>🔗 Voir la source</t>
        </is>
      </c>
    </row>
    <row r="23">
      <c r="A23" s="9" t="n">
        <v>20</v>
      </c>
      <c r="B23" s="10" t="inlineStr">
        <is>
          <t>CADESA (coopérative) / CADESA Processing SA</t>
        </is>
      </c>
      <c r="C23" s="11" t="inlineStr">
        <is>
          <t>⚓ San-Pédro</t>
        </is>
      </c>
      <c r="D23" s="11" t="inlineStr">
        <is>
          <t>Cacao (coopérative, future usine)</t>
        </is>
      </c>
      <c r="E23" s="11" t="inlineStr">
        <is>
          <t>Coopérative de plus de 4 000 producteurs ; usine de 15 000 t (extensible à 30 000 t) lancée à Djirognepahio, livraison sous 24 mois</t>
        </is>
      </c>
      <c r="F23" s="11" t="inlineStr">
        <is>
          <t>Collecte bord champ vers San-Pédro aujourd'hui, puis transport des équipements et des produits de la future usine.</t>
        </is>
      </c>
      <c r="G23" s="11" t="inlineStr">
        <is>
          <t>La première pierre de votre usine CocoaTech vient d'être posée : Proline peut accompagner le chantier puis la collecte.</t>
        </is>
      </c>
      <c r="H23" s="14" t="inlineStr">
        <is>
          <t>⚪ Basse</t>
        </is>
      </c>
      <c r="I23" s="11" t="inlineStr">
        <is>
          <t>Non publié</t>
        </is>
      </c>
      <c r="J23" s="11" t="inlineStr"/>
      <c r="K23" s="12" t="inlineStr">
        <is>
          <t>🔗 Voir la source</t>
        </is>
      </c>
    </row>
  </sheetData>
  <autoFilter ref="A3:K23"/>
  <mergeCells count="2">
    <mergeCell ref="A2:K2"/>
    <mergeCell ref="C1:K1"/>
  </mergeCells>
  <hyperlinks>
    <hyperlink xmlns:r="http://schemas.openxmlformats.org/officeDocument/2006/relationships" ref="K4" r:id="rId1"/>
    <hyperlink xmlns:r="http://schemas.openxmlformats.org/officeDocument/2006/relationships" ref="J5" r:id="rId2"/>
    <hyperlink xmlns:r="http://schemas.openxmlformats.org/officeDocument/2006/relationships" ref="K5" r:id="rId3"/>
    <hyperlink xmlns:r="http://schemas.openxmlformats.org/officeDocument/2006/relationships" ref="J6" r:id="rId4"/>
    <hyperlink xmlns:r="http://schemas.openxmlformats.org/officeDocument/2006/relationships" ref="K6" r:id="rId5"/>
    <hyperlink xmlns:r="http://schemas.openxmlformats.org/officeDocument/2006/relationships" ref="J7" r:id="rId6"/>
    <hyperlink xmlns:r="http://schemas.openxmlformats.org/officeDocument/2006/relationships" ref="K7" r:id="rId7"/>
    <hyperlink xmlns:r="http://schemas.openxmlformats.org/officeDocument/2006/relationships" ref="J8" r:id="rId8"/>
    <hyperlink xmlns:r="http://schemas.openxmlformats.org/officeDocument/2006/relationships" ref="K8" r:id="rId9"/>
    <hyperlink xmlns:r="http://schemas.openxmlformats.org/officeDocument/2006/relationships" ref="K9" r:id="rId10"/>
    <hyperlink xmlns:r="http://schemas.openxmlformats.org/officeDocument/2006/relationships" ref="K10" r:id="rId11"/>
    <hyperlink xmlns:r="http://schemas.openxmlformats.org/officeDocument/2006/relationships" ref="J11" r:id="rId12"/>
    <hyperlink xmlns:r="http://schemas.openxmlformats.org/officeDocument/2006/relationships" ref="K11" r:id="rId13"/>
    <hyperlink xmlns:r="http://schemas.openxmlformats.org/officeDocument/2006/relationships" ref="J12" r:id="rId14"/>
    <hyperlink xmlns:r="http://schemas.openxmlformats.org/officeDocument/2006/relationships" ref="K12" r:id="rId15"/>
    <hyperlink xmlns:r="http://schemas.openxmlformats.org/officeDocument/2006/relationships" ref="J13" r:id="rId16"/>
    <hyperlink xmlns:r="http://schemas.openxmlformats.org/officeDocument/2006/relationships" ref="K13" r:id="rId17"/>
    <hyperlink xmlns:r="http://schemas.openxmlformats.org/officeDocument/2006/relationships" ref="J14" r:id="rId18"/>
    <hyperlink xmlns:r="http://schemas.openxmlformats.org/officeDocument/2006/relationships" ref="K14" r:id="rId19"/>
    <hyperlink xmlns:r="http://schemas.openxmlformats.org/officeDocument/2006/relationships" ref="K15" r:id="rId20"/>
    <hyperlink xmlns:r="http://schemas.openxmlformats.org/officeDocument/2006/relationships" ref="K16" r:id="rId21"/>
    <hyperlink xmlns:r="http://schemas.openxmlformats.org/officeDocument/2006/relationships" ref="J17" r:id="rId22"/>
    <hyperlink xmlns:r="http://schemas.openxmlformats.org/officeDocument/2006/relationships" ref="K17" r:id="rId23"/>
    <hyperlink xmlns:r="http://schemas.openxmlformats.org/officeDocument/2006/relationships" ref="J18" r:id="rId24"/>
    <hyperlink xmlns:r="http://schemas.openxmlformats.org/officeDocument/2006/relationships" ref="K18" r:id="rId25"/>
    <hyperlink xmlns:r="http://schemas.openxmlformats.org/officeDocument/2006/relationships" ref="K19" r:id="rId26"/>
    <hyperlink xmlns:r="http://schemas.openxmlformats.org/officeDocument/2006/relationships" ref="J20" r:id="rId27"/>
    <hyperlink xmlns:r="http://schemas.openxmlformats.org/officeDocument/2006/relationships" ref="K20" r:id="rId28"/>
    <hyperlink xmlns:r="http://schemas.openxmlformats.org/officeDocument/2006/relationships" ref="J21" r:id="rId29"/>
    <hyperlink xmlns:r="http://schemas.openxmlformats.org/officeDocument/2006/relationships" ref="K21" r:id="rId30"/>
    <hyperlink xmlns:r="http://schemas.openxmlformats.org/officeDocument/2006/relationships" ref="J22" r:id="rId31"/>
    <hyperlink xmlns:r="http://schemas.openxmlformats.org/officeDocument/2006/relationships" ref="K22" r:id="rId32"/>
    <hyperlink xmlns:r="http://schemas.openxmlformats.org/officeDocument/2006/relationships" ref="K23" r:id="rId33"/>
  </hyperlinks>
  <pageMargins left="0.75" right="0.75" top="1" bottom="1" header="0.5" footer="0.5"/>
  <drawing xmlns:r="http://schemas.openxmlformats.org/officeDocument/2006/relationships" r:id="rId34"/>
</worksheet>
</file>

<file path=xl/worksheets/sheet3.xml><?xml version="1.0" encoding="utf-8"?>
<worksheet xmlns="http://schemas.openxmlformats.org/spreadsheetml/2006/main">
  <sheetPr>
    <outlinePr summaryBelow="1" summaryRight="1"/>
    <pageSetUpPr/>
  </sheetPr>
  <dimension ref="A1:M7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2" customWidth="1" min="3" max="3"/>
    <col width="18" customWidth="1" min="4" max="4"/>
    <col width="14" customWidth="1" min="5" max="5"/>
    <col width="13" customWidth="1" min="6" max="6"/>
    <col width="24" customWidth="1" min="7" max="7"/>
    <col width="13" customWidth="1" min="8" max="8"/>
    <col width="16" customWidth="1" min="9" max="9"/>
    <col width="11" customWidth="1" min="10" max="10"/>
    <col width="16" customWidth="1" min="11" max="11"/>
    <col width="13" customWidth="1" min="12" max="12"/>
    <col width="30" customWidth="1" min="13" max="13"/>
  </cols>
  <sheetData>
    <row r="1" ht="52" customHeight="1">
      <c r="C1" s="1" t="inlineStr">
        <is>
          <t>📈 Suivi des affaires</t>
        </is>
      </c>
    </row>
    <row r="2" ht="30" customHeight="1">
      <c r="A2" s="2" t="inlineStr">
        <is>
          <t>Une ligne par affaire. Étape et probabilité en liste déroulante ; montant pondéré et alerte de retard calculés. Les montants restent vides tant qu'aucun devis n'est validé.</t>
        </is>
      </c>
    </row>
    <row r="3" ht="30" customHeight="1">
      <c r="A3" s="3" t="inlineStr">
        <is>
          <t>N°</t>
        </is>
      </c>
      <c r="B3" s="3" t="inlineStr">
        <is>
          <t>🏢 Entreprise</t>
        </is>
      </c>
      <c r="C3" s="3" t="inlineStr">
        <is>
          <t>📍 Zone</t>
        </is>
      </c>
      <c r="D3" s="3" t="inlineStr">
        <is>
          <t>🚦 Étape</t>
        </is>
      </c>
      <c r="E3" s="3" t="inlineStr">
        <is>
          <t>👤 Commercial</t>
        </is>
      </c>
      <c r="F3" s="3" t="inlineStr">
        <is>
          <t>📅 Dernier contact</t>
        </is>
      </c>
      <c r="G3" s="3" t="inlineStr">
        <is>
          <t>➡️ Prochaine action</t>
        </is>
      </c>
      <c r="H3" s="3" t="inlineStr">
        <is>
          <t>📆 Date prévue</t>
        </is>
      </c>
      <c r="I3" s="3" t="inlineStr">
        <is>
          <t>💰 Montant estimé (F CFA)</t>
        </is>
      </c>
      <c r="J3" s="3" t="inlineStr">
        <is>
          <t>📊 Probabilité</t>
        </is>
      </c>
      <c r="K3" s="3" t="inlineStr">
        <is>
          <t>💵 Montant pondéré</t>
        </is>
      </c>
      <c r="L3" s="3" t="inlineStr">
        <is>
          <t>⏰ Alerte</t>
        </is>
      </c>
      <c r="M3" s="3" t="inlineStr">
        <is>
          <t>📝 Notes</t>
        </is>
      </c>
    </row>
    <row r="4">
      <c r="A4" s="4" t="n">
        <v>1</v>
      </c>
      <c r="B4" s="5" t="inlineStr">
        <is>
          <t>Olam Côte d'Ivoire (ofi)</t>
        </is>
      </c>
      <c r="C4" s="6" t="inlineStr">
        <is>
          <t>Abidjan</t>
        </is>
      </c>
      <c r="D4" s="4" t="inlineStr">
        <is>
          <t>1. À contacter</t>
        </is>
      </c>
      <c r="E4" s="6" t="inlineStr"/>
      <c r="F4" s="15" t="n"/>
      <c r="G4" s="6" t="inlineStr">
        <is>
          <t>Premier contact</t>
        </is>
      </c>
      <c r="H4" s="15" t="n"/>
      <c r="I4" s="16" t="n"/>
      <c r="J4" s="4" t="inlineStr">
        <is>
          <t>10%</t>
        </is>
      </c>
      <c r="K4" s="16">
        <f>IF(I4="","",I4*VALUE(SUBSTITUTE(J4,"%",""))/100)</f>
        <v/>
      </c>
      <c r="L4" s="4">
        <f>IF(AND(H4&lt;&gt;"",H4&lt;TODAY(),LEFT(D4,1)&lt;&gt;"7",LEFT(D4,1)&lt;&gt;"8"),"⚠️ En retard","")</f>
        <v/>
      </c>
      <c r="M4" s="6" t="inlineStr"/>
    </row>
    <row r="5">
      <c r="A5" s="9" t="n">
        <v>2</v>
      </c>
      <c r="B5" s="10" t="inlineStr">
        <is>
          <t>Société Africaine de Cacao (SACO), groupe Barry Callebaut</t>
        </is>
      </c>
      <c r="C5" s="11" t="inlineStr">
        <is>
          <t>Abidjan</t>
        </is>
      </c>
      <c r="D5" s="9" t="inlineStr">
        <is>
          <t>1. À contacter</t>
        </is>
      </c>
      <c r="E5" s="11" t="inlineStr"/>
      <c r="F5" s="17" t="n"/>
      <c r="G5" s="11" t="inlineStr">
        <is>
          <t>Premier contact</t>
        </is>
      </c>
      <c r="H5" s="17" t="n"/>
      <c r="I5" s="18" t="n"/>
      <c r="J5" s="9" t="inlineStr">
        <is>
          <t>10%</t>
        </is>
      </c>
      <c r="K5" s="18">
        <f>IF(I5="","",I5*VALUE(SUBSTITUTE(J5,"%",""))/100)</f>
        <v/>
      </c>
      <c r="L5" s="9">
        <f>IF(AND(H5&lt;&gt;"",H5&lt;TODAY(),LEFT(D5,1)&lt;&gt;"7",LEFT(D5,1)&lt;&gt;"8"),"⚠️ En retard","")</f>
        <v/>
      </c>
      <c r="M5" s="11" t="inlineStr"/>
    </row>
    <row r="6">
      <c r="A6" s="4" t="n">
        <v>3</v>
      </c>
      <c r="B6" s="5" t="inlineStr">
        <is>
          <t>Cémoi Côte d'Ivoire</t>
        </is>
      </c>
      <c r="C6" s="6" t="inlineStr">
        <is>
          <t>Abidjan</t>
        </is>
      </c>
      <c r="D6" s="4" t="inlineStr">
        <is>
          <t>1. À contacter</t>
        </is>
      </c>
      <c r="E6" s="6" t="inlineStr"/>
      <c r="F6" s="15" t="n"/>
      <c r="G6" s="6" t="inlineStr">
        <is>
          <t>Premier contact</t>
        </is>
      </c>
      <c r="H6" s="15" t="n"/>
      <c r="I6" s="16" t="n"/>
      <c r="J6" s="4" t="inlineStr">
        <is>
          <t>10%</t>
        </is>
      </c>
      <c r="K6" s="16">
        <f>IF(I6="","",I6*VALUE(SUBSTITUTE(J6,"%",""))/100)</f>
        <v/>
      </c>
      <c r="L6" s="4">
        <f>IF(AND(H6&lt;&gt;"",H6&lt;TODAY(),LEFT(D6,1)&lt;&gt;"7",LEFT(D6,1)&lt;&gt;"8"),"⚠️ En retard","")</f>
        <v/>
      </c>
      <c r="M6" s="6" t="inlineStr"/>
    </row>
    <row r="7">
      <c r="A7" s="9" t="n">
        <v>4</v>
      </c>
      <c r="B7" s="10" t="inlineStr">
        <is>
          <t>Grands Moulins d'Abidjan (GMA)</t>
        </is>
      </c>
      <c r="C7" s="11" t="inlineStr">
        <is>
          <t>Abidjan</t>
        </is>
      </c>
      <c r="D7" s="9" t="inlineStr">
        <is>
          <t>1. À contacter</t>
        </is>
      </c>
      <c r="E7" s="11" t="inlineStr"/>
      <c r="F7" s="17" t="n"/>
      <c r="G7" s="11" t="inlineStr">
        <is>
          <t>Premier contact</t>
        </is>
      </c>
      <c r="H7" s="17" t="n"/>
      <c r="I7" s="18" t="n"/>
      <c r="J7" s="9" t="inlineStr">
        <is>
          <t>10%</t>
        </is>
      </c>
      <c r="K7" s="18">
        <f>IF(I7="","",I7*VALUE(SUBSTITUTE(J7,"%",""))/100)</f>
        <v/>
      </c>
      <c r="L7" s="9">
        <f>IF(AND(H7&lt;&gt;"",H7&lt;TODAY(),LEFT(D7,1)&lt;&gt;"7",LEFT(D7,1)&lt;&gt;"8"),"⚠️ En retard","")</f>
        <v/>
      </c>
      <c r="M7" s="11" t="inlineStr"/>
    </row>
    <row r="8">
      <c r="A8" s="4" t="n">
        <v>5</v>
      </c>
      <c r="B8" s="5" t="inlineStr">
        <is>
          <t>Sania Cie</t>
        </is>
      </c>
      <c r="C8" s="6" t="inlineStr">
        <is>
          <t>Abidjan</t>
        </is>
      </c>
      <c r="D8" s="4" t="inlineStr">
        <is>
          <t>1. À contacter</t>
        </is>
      </c>
      <c r="E8" s="6" t="inlineStr"/>
      <c r="F8" s="15" t="n"/>
      <c r="G8" s="6" t="inlineStr">
        <is>
          <t>Premier contact</t>
        </is>
      </c>
      <c r="H8" s="15" t="n"/>
      <c r="I8" s="16" t="n"/>
      <c r="J8" s="4" t="inlineStr">
        <is>
          <t>10%</t>
        </is>
      </c>
      <c r="K8" s="16">
        <f>IF(I8="","",I8*VALUE(SUBSTITUTE(J8,"%",""))/100)</f>
        <v/>
      </c>
      <c r="L8" s="4">
        <f>IF(AND(H8&lt;&gt;"",H8&lt;TODAY(),LEFT(D8,1)&lt;&gt;"7",LEFT(D8,1)&lt;&gt;"8"),"⚠️ En retard","")</f>
        <v/>
      </c>
      <c r="M8" s="6" t="inlineStr"/>
    </row>
    <row r="9">
      <c r="A9" s="9" t="n">
        <v>6</v>
      </c>
      <c r="B9" s="10" t="inlineStr">
        <is>
          <t>Touton Négoce Côte d'Ivoire</t>
        </is>
      </c>
      <c r="C9" s="11" t="inlineStr">
        <is>
          <t>Abidjan</t>
        </is>
      </c>
      <c r="D9" s="9" t="inlineStr">
        <is>
          <t>1. À contacter</t>
        </is>
      </c>
      <c r="E9" s="11" t="inlineStr"/>
      <c r="F9" s="17" t="n"/>
      <c r="G9" s="11" t="inlineStr">
        <is>
          <t>Premier contact</t>
        </is>
      </c>
      <c r="H9" s="17" t="n"/>
      <c r="I9" s="18" t="n"/>
      <c r="J9" s="9" t="inlineStr">
        <is>
          <t>10%</t>
        </is>
      </c>
      <c r="K9" s="18">
        <f>IF(I9="","",I9*VALUE(SUBSTITUTE(J9,"%",""))/100)</f>
        <v/>
      </c>
      <c r="L9" s="9">
        <f>IF(AND(H9&lt;&gt;"",H9&lt;TODAY(),LEFT(D9,1)&lt;&gt;"7",LEFT(D9,1)&lt;&gt;"8"),"⚠️ En retard","")</f>
        <v/>
      </c>
      <c r="M9" s="11" t="inlineStr"/>
    </row>
    <row r="10">
      <c r="A10" s="4" t="n">
        <v>7</v>
      </c>
      <c r="B10" s="5" t="inlineStr">
        <is>
          <t>Solibra</t>
        </is>
      </c>
      <c r="C10" s="6" t="inlineStr">
        <is>
          <t>Abidjan</t>
        </is>
      </c>
      <c r="D10" s="4" t="inlineStr">
        <is>
          <t>1. À contacter</t>
        </is>
      </c>
      <c r="E10" s="6" t="inlineStr"/>
      <c r="F10" s="15" t="n"/>
      <c r="G10" s="6" t="inlineStr">
        <is>
          <t>Premier contact</t>
        </is>
      </c>
      <c r="H10" s="15" t="n"/>
      <c r="I10" s="16" t="n"/>
      <c r="J10" s="4" t="inlineStr">
        <is>
          <t>10%</t>
        </is>
      </c>
      <c r="K10" s="16">
        <f>IF(I10="","",I10*VALUE(SUBSTITUTE(J10,"%",""))/100)</f>
        <v/>
      </c>
      <c r="L10" s="4">
        <f>IF(AND(H10&lt;&gt;"",H10&lt;TODAY(),LEFT(D10,1)&lt;&gt;"7",LEFT(D10,1)&lt;&gt;"8"),"⚠️ En retard","")</f>
        <v/>
      </c>
      <c r="M10" s="6" t="inlineStr"/>
    </row>
    <row r="11">
      <c r="A11" s="9" t="n">
        <v>8</v>
      </c>
      <c r="B11" s="10" t="inlineStr">
        <is>
          <t>Compagnie de Distribution de Côte d'Ivoire (CDCI)</t>
        </is>
      </c>
      <c r="C11" s="11" t="inlineStr">
        <is>
          <t>Abidjan</t>
        </is>
      </c>
      <c r="D11" s="9" t="inlineStr">
        <is>
          <t>1. À contacter</t>
        </is>
      </c>
      <c r="E11" s="11" t="inlineStr"/>
      <c r="F11" s="17" t="n"/>
      <c r="G11" s="11" t="inlineStr">
        <is>
          <t>Premier contact</t>
        </is>
      </c>
      <c r="H11" s="17" t="n"/>
      <c r="I11" s="18" t="n"/>
      <c r="J11" s="9" t="inlineStr">
        <is>
          <t>10%</t>
        </is>
      </c>
      <c r="K11" s="18">
        <f>IF(I11="","",I11*VALUE(SUBSTITUTE(J11,"%",""))/100)</f>
        <v/>
      </c>
      <c r="L11" s="9">
        <f>IF(AND(H11&lt;&gt;"",H11&lt;TODAY(),LEFT(D11,1)&lt;&gt;"7",LEFT(D11,1)&lt;&gt;"8"),"⚠️ En retard","")</f>
        <v/>
      </c>
      <c r="M11" s="11" t="inlineStr"/>
    </row>
    <row r="12">
      <c r="A12" s="4" t="n">
        <v>9</v>
      </c>
      <c r="B12" s="5" t="inlineStr">
        <is>
          <t>Groupe Prosuma</t>
        </is>
      </c>
      <c r="C12" s="6" t="inlineStr">
        <is>
          <t>Abidjan</t>
        </is>
      </c>
      <c r="D12" s="4" t="inlineStr">
        <is>
          <t>1. À contacter</t>
        </is>
      </c>
      <c r="E12" s="6" t="inlineStr"/>
      <c r="F12" s="15" t="n"/>
      <c r="G12" s="6" t="inlineStr">
        <is>
          <t>Premier contact</t>
        </is>
      </c>
      <c r="H12" s="15" t="n"/>
      <c r="I12" s="16" t="n"/>
      <c r="J12" s="4" t="inlineStr">
        <is>
          <t>10%</t>
        </is>
      </c>
      <c r="K12" s="16">
        <f>IF(I12="","",I12*VALUE(SUBSTITUTE(J12,"%",""))/100)</f>
        <v/>
      </c>
      <c r="L12" s="4">
        <f>IF(AND(H12&lt;&gt;"",H12&lt;TODAY(),LEFT(D12,1)&lt;&gt;"7",LEFT(D12,1)&lt;&gt;"8"),"⚠️ En retard","")</f>
        <v/>
      </c>
      <c r="M12" s="6" t="inlineStr"/>
    </row>
    <row r="13">
      <c r="A13" s="9" t="n">
        <v>10</v>
      </c>
      <c r="B13" s="10" t="inlineStr">
        <is>
          <t>SDTM-CI (Groupe Carré d'Or)</t>
        </is>
      </c>
      <c r="C13" s="11" t="inlineStr">
        <is>
          <t>Abidjan</t>
        </is>
      </c>
      <c r="D13" s="9" t="inlineStr">
        <is>
          <t>1. À contacter</t>
        </is>
      </c>
      <c r="E13" s="11" t="inlineStr"/>
      <c r="F13" s="17" t="n"/>
      <c r="G13" s="11" t="inlineStr">
        <is>
          <t>Premier contact</t>
        </is>
      </c>
      <c r="H13" s="17" t="n"/>
      <c r="I13" s="18" t="n"/>
      <c r="J13" s="9" t="inlineStr">
        <is>
          <t>10%</t>
        </is>
      </c>
      <c r="K13" s="18">
        <f>IF(I13="","",I13*VALUE(SUBSTITUTE(J13,"%",""))/100)</f>
        <v/>
      </c>
      <c r="L13" s="9">
        <f>IF(AND(H13&lt;&gt;"",H13&lt;TODAY(),LEFT(D13,1)&lt;&gt;"7",LEFT(D13,1)&lt;&gt;"8"),"⚠️ En retard","")</f>
        <v/>
      </c>
      <c r="M13" s="11" t="inlineStr"/>
    </row>
    <row r="14">
      <c r="A14" s="4" t="n">
        <v>11</v>
      </c>
      <c r="B14" s="5" t="inlineStr">
        <is>
          <t>SIVOP</t>
        </is>
      </c>
      <c r="C14" s="6" t="inlineStr">
        <is>
          <t>Abidjan</t>
        </is>
      </c>
      <c r="D14" s="4" t="inlineStr">
        <is>
          <t>1. À contacter</t>
        </is>
      </c>
      <c r="E14" s="6" t="inlineStr"/>
      <c r="F14" s="15" t="n"/>
      <c r="G14" s="6" t="inlineStr">
        <is>
          <t>Premier contact</t>
        </is>
      </c>
      <c r="H14" s="15" t="n"/>
      <c r="I14" s="16" t="n"/>
      <c r="J14" s="4" t="inlineStr">
        <is>
          <t>10%</t>
        </is>
      </c>
      <c r="K14" s="16">
        <f>IF(I14="","",I14*VALUE(SUBSTITUTE(J14,"%",""))/100)</f>
        <v/>
      </c>
      <c r="L14" s="4">
        <f>IF(AND(H14&lt;&gt;"",H14&lt;TODAY(),LEFT(D14,1)&lt;&gt;"7",LEFT(D14,1)&lt;&gt;"8"),"⚠️ En retard","")</f>
        <v/>
      </c>
      <c r="M14" s="6" t="inlineStr"/>
    </row>
    <row r="15">
      <c r="A15" s="9" t="n">
        <v>12</v>
      </c>
      <c r="B15" s="10" t="inlineStr">
        <is>
          <t>Unilever Côte d'Ivoire</t>
        </is>
      </c>
      <c r="C15" s="11" t="inlineStr">
        <is>
          <t>Abidjan</t>
        </is>
      </c>
      <c r="D15" s="9" t="inlineStr">
        <is>
          <t>1. À contacter</t>
        </is>
      </c>
      <c r="E15" s="11" t="inlineStr"/>
      <c r="F15" s="17" t="n"/>
      <c r="G15" s="11" t="inlineStr">
        <is>
          <t>Premier contact</t>
        </is>
      </c>
      <c r="H15" s="17" t="n"/>
      <c r="I15" s="18" t="n"/>
      <c r="J15" s="9" t="inlineStr">
        <is>
          <t>10%</t>
        </is>
      </c>
      <c r="K15" s="18">
        <f>IF(I15="","",I15*VALUE(SUBSTITUTE(J15,"%",""))/100)</f>
        <v/>
      </c>
      <c r="L15" s="9">
        <f>IF(AND(H15&lt;&gt;"",H15&lt;TODAY(),LEFT(D15,1)&lt;&gt;"7",LEFT(D15,1)&lt;&gt;"8"),"⚠️ En retard","")</f>
        <v/>
      </c>
      <c r="M15" s="11" t="inlineStr"/>
    </row>
    <row r="16">
      <c r="A16" s="4" t="n">
        <v>13</v>
      </c>
      <c r="B16" s="5" t="inlineStr">
        <is>
          <t>Ubipharm Côte d'Ivoire</t>
        </is>
      </c>
      <c r="C16" s="6" t="inlineStr">
        <is>
          <t>Abidjan</t>
        </is>
      </c>
      <c r="D16" s="4" t="inlineStr">
        <is>
          <t>1. À contacter</t>
        </is>
      </c>
      <c r="E16" s="6" t="inlineStr"/>
      <c r="F16" s="15" t="n"/>
      <c r="G16" s="6" t="inlineStr">
        <is>
          <t>Premier contact</t>
        </is>
      </c>
      <c r="H16" s="15" t="n"/>
      <c r="I16" s="16" t="n"/>
      <c r="J16" s="4" t="inlineStr">
        <is>
          <t>10%</t>
        </is>
      </c>
      <c r="K16" s="16">
        <f>IF(I16="","",I16*VALUE(SUBSTITUTE(J16,"%",""))/100)</f>
        <v/>
      </c>
      <c r="L16" s="4">
        <f>IF(AND(H16&lt;&gt;"",H16&lt;TODAY(),LEFT(D16,1)&lt;&gt;"7",LEFT(D16,1)&lt;&gt;"8"),"⚠️ En retard","")</f>
        <v/>
      </c>
      <c r="M16" s="6" t="inlineStr"/>
    </row>
    <row r="17">
      <c r="A17" s="9" t="n">
        <v>14</v>
      </c>
      <c r="B17" s="10" t="inlineStr">
        <is>
          <t>Copharmed</t>
        </is>
      </c>
      <c r="C17" s="11" t="inlineStr">
        <is>
          <t>Abidjan</t>
        </is>
      </c>
      <c r="D17" s="9" t="inlineStr">
        <is>
          <t>1. À contacter</t>
        </is>
      </c>
      <c r="E17" s="11" t="inlineStr"/>
      <c r="F17" s="17" t="n"/>
      <c r="G17" s="11" t="inlineStr">
        <is>
          <t>Premier contact</t>
        </is>
      </c>
      <c r="H17" s="17" t="n"/>
      <c r="I17" s="18" t="n"/>
      <c r="J17" s="9" t="inlineStr">
        <is>
          <t>10%</t>
        </is>
      </c>
      <c r="K17" s="18">
        <f>IF(I17="","",I17*VALUE(SUBSTITUTE(J17,"%",""))/100)</f>
        <v/>
      </c>
      <c r="L17" s="9">
        <f>IF(AND(H17&lt;&gt;"",H17&lt;TODAY(),LEFT(D17,1)&lt;&gt;"7",LEFT(D17,1)&lt;&gt;"8"),"⚠️ En retard","")</f>
        <v/>
      </c>
      <c r="M17" s="11" t="inlineStr"/>
    </row>
    <row r="18">
      <c r="A18" s="4" t="n">
        <v>15</v>
      </c>
      <c r="B18" s="5" t="inlineStr">
        <is>
          <t>Distribution Pharmaceutique de Côte d'Ivoire (DPCI)</t>
        </is>
      </c>
      <c r="C18" s="6" t="inlineStr">
        <is>
          <t>Abidjan</t>
        </is>
      </c>
      <c r="D18" s="4" t="inlineStr">
        <is>
          <t>1. À contacter</t>
        </is>
      </c>
      <c r="E18" s="6" t="inlineStr"/>
      <c r="F18" s="15" t="n"/>
      <c r="G18" s="6" t="inlineStr">
        <is>
          <t>Premier contact</t>
        </is>
      </c>
      <c r="H18" s="15" t="n"/>
      <c r="I18" s="16" t="n"/>
      <c r="J18" s="4" t="inlineStr">
        <is>
          <t>10%</t>
        </is>
      </c>
      <c r="K18" s="16">
        <f>IF(I18="","",I18*VALUE(SUBSTITUTE(J18,"%",""))/100)</f>
        <v/>
      </c>
      <c r="L18" s="4">
        <f>IF(AND(H18&lt;&gt;"",H18&lt;TODAY(),LEFT(D18,1)&lt;&gt;"7",LEFT(D18,1)&lt;&gt;"8"),"⚠️ En retard","")</f>
        <v/>
      </c>
      <c r="M18" s="6" t="inlineStr"/>
    </row>
    <row r="19">
      <c r="A19" s="9" t="n">
        <v>16</v>
      </c>
      <c r="B19" s="10" t="inlineStr">
        <is>
          <t>Tedis Pharma Côte d'Ivoire</t>
        </is>
      </c>
      <c r="C19" s="11" t="inlineStr">
        <is>
          <t>Abidjan</t>
        </is>
      </c>
      <c r="D19" s="9" t="inlineStr">
        <is>
          <t>1. À contacter</t>
        </is>
      </c>
      <c r="E19" s="11" t="inlineStr"/>
      <c r="F19" s="17" t="n"/>
      <c r="G19" s="11" t="inlineStr">
        <is>
          <t>Premier contact</t>
        </is>
      </c>
      <c r="H19" s="17" t="n"/>
      <c r="I19" s="18" t="n"/>
      <c r="J19" s="9" t="inlineStr">
        <is>
          <t>10%</t>
        </is>
      </c>
      <c r="K19" s="18">
        <f>IF(I19="","",I19*VALUE(SUBSTITUTE(J19,"%",""))/100)</f>
        <v/>
      </c>
      <c r="L19" s="9">
        <f>IF(AND(H19&lt;&gt;"",H19&lt;TODAY(),LEFT(D19,1)&lt;&gt;"7",LEFT(D19,1)&lt;&gt;"8"),"⚠️ En retard","")</f>
        <v/>
      </c>
      <c r="M19" s="11" t="inlineStr"/>
    </row>
    <row r="20">
      <c r="A20" s="4" t="n">
        <v>17</v>
      </c>
      <c r="B20" s="5" t="inlineStr">
        <is>
          <t>Cipharm</t>
        </is>
      </c>
      <c r="C20" s="6" t="inlineStr">
        <is>
          <t>Abidjan</t>
        </is>
      </c>
      <c r="D20" s="4" t="inlineStr">
        <is>
          <t>1. À contacter</t>
        </is>
      </c>
      <c r="E20" s="6" t="inlineStr"/>
      <c r="F20" s="15" t="n"/>
      <c r="G20" s="6" t="inlineStr">
        <is>
          <t>Premier contact</t>
        </is>
      </c>
      <c r="H20" s="15" t="n"/>
      <c r="I20" s="16" t="n"/>
      <c r="J20" s="4" t="inlineStr">
        <is>
          <t>10%</t>
        </is>
      </c>
      <c r="K20" s="16">
        <f>IF(I20="","",I20*VALUE(SUBSTITUTE(J20,"%",""))/100)</f>
        <v/>
      </c>
      <c r="L20" s="4">
        <f>IF(AND(H20&lt;&gt;"",H20&lt;TODAY(),LEFT(D20,1)&lt;&gt;"7",LEFT(D20,1)&lt;&gt;"8"),"⚠️ En retard","")</f>
        <v/>
      </c>
      <c r="M20" s="6" t="inlineStr"/>
    </row>
    <row r="21">
      <c r="A21" s="9" t="n">
        <v>18</v>
      </c>
      <c r="B21" s="10" t="inlineStr">
        <is>
          <t>KFN Pharma</t>
        </is>
      </c>
      <c r="C21" s="11" t="inlineStr">
        <is>
          <t>Abidjan</t>
        </is>
      </c>
      <c r="D21" s="9" t="inlineStr">
        <is>
          <t>1. À contacter</t>
        </is>
      </c>
      <c r="E21" s="11" t="inlineStr"/>
      <c r="F21" s="17" t="n"/>
      <c r="G21" s="11" t="inlineStr">
        <is>
          <t>Premier contact</t>
        </is>
      </c>
      <c r="H21" s="17" t="n"/>
      <c r="I21" s="18" t="n"/>
      <c r="J21" s="9" t="inlineStr">
        <is>
          <t>10%</t>
        </is>
      </c>
      <c r="K21" s="18">
        <f>IF(I21="","",I21*VALUE(SUBSTITUTE(J21,"%",""))/100)</f>
        <v/>
      </c>
      <c r="L21" s="9">
        <f>IF(AND(H21&lt;&gt;"",H21&lt;TODAY(),LEFT(D21,1)&lt;&gt;"7",LEFT(D21,1)&lt;&gt;"8"),"⚠️ En retard","")</f>
        <v/>
      </c>
      <c r="M21" s="11" t="inlineStr"/>
    </row>
    <row r="22">
      <c r="A22" s="4" t="n">
        <v>19</v>
      </c>
      <c r="B22" s="5" t="inlineStr">
        <is>
          <t>LafargeHolcim Côte d'Ivoire</t>
        </is>
      </c>
      <c r="C22" s="6" t="inlineStr">
        <is>
          <t>Abidjan</t>
        </is>
      </c>
      <c r="D22" s="4" t="inlineStr">
        <is>
          <t>1. À contacter</t>
        </is>
      </c>
      <c r="E22" s="6" t="inlineStr"/>
      <c r="F22" s="15" t="n"/>
      <c r="G22" s="6" t="inlineStr">
        <is>
          <t>Premier contact</t>
        </is>
      </c>
      <c r="H22" s="15" t="n"/>
      <c r="I22" s="16" t="n"/>
      <c r="J22" s="4" t="inlineStr">
        <is>
          <t>10%</t>
        </is>
      </c>
      <c r="K22" s="16">
        <f>IF(I22="","",I22*VALUE(SUBSTITUTE(J22,"%",""))/100)</f>
        <v/>
      </c>
      <c r="L22" s="4">
        <f>IF(AND(H22&lt;&gt;"",H22&lt;TODAY(),LEFT(D22,1)&lt;&gt;"7",LEFT(D22,1)&lt;&gt;"8"),"⚠️ En retard","")</f>
        <v/>
      </c>
      <c r="M22" s="6" t="inlineStr"/>
    </row>
    <row r="23">
      <c r="A23" s="9" t="n">
        <v>20</v>
      </c>
      <c r="B23" s="10" t="inlineStr">
        <is>
          <t>CIMAF Côte d'Ivoire</t>
        </is>
      </c>
      <c r="C23" s="11" t="inlineStr">
        <is>
          <t>Abidjan</t>
        </is>
      </c>
      <c r="D23" s="9" t="inlineStr">
        <is>
          <t>1. À contacter</t>
        </is>
      </c>
      <c r="E23" s="11" t="inlineStr"/>
      <c r="F23" s="17" t="n"/>
      <c r="G23" s="11" t="inlineStr">
        <is>
          <t>Premier contact</t>
        </is>
      </c>
      <c r="H23" s="17" t="n"/>
      <c r="I23" s="18" t="n"/>
      <c r="J23" s="9" t="inlineStr">
        <is>
          <t>10%</t>
        </is>
      </c>
      <c r="K23" s="18">
        <f>IF(I23="","",I23*VALUE(SUBSTITUTE(J23,"%",""))/100)</f>
        <v/>
      </c>
      <c r="L23" s="9">
        <f>IF(AND(H23&lt;&gt;"",H23&lt;TODAY(),LEFT(D23,1)&lt;&gt;"7",LEFT(D23,1)&lt;&gt;"8"),"⚠️ En retard","")</f>
        <v/>
      </c>
      <c r="M23" s="11" t="inlineStr"/>
    </row>
    <row r="24">
      <c r="A24" s="4" t="n">
        <v>21</v>
      </c>
      <c r="B24" s="5" t="inlineStr">
        <is>
          <t>Neemba Côte d'Ivoire (ex-Manutention Africaine)</t>
        </is>
      </c>
      <c r="C24" s="6" t="inlineStr">
        <is>
          <t>Abidjan</t>
        </is>
      </c>
      <c r="D24" s="4" t="inlineStr">
        <is>
          <t>1. À contacter</t>
        </is>
      </c>
      <c r="E24" s="6" t="inlineStr"/>
      <c r="F24" s="15" t="n"/>
      <c r="G24" s="6" t="inlineStr">
        <is>
          <t>Premier contact</t>
        </is>
      </c>
      <c r="H24" s="15" t="n"/>
      <c r="I24" s="16" t="n"/>
      <c r="J24" s="4" t="inlineStr">
        <is>
          <t>10%</t>
        </is>
      </c>
      <c r="K24" s="16">
        <f>IF(I24="","",I24*VALUE(SUBSTITUTE(J24,"%",""))/100)</f>
        <v/>
      </c>
      <c r="L24" s="4">
        <f>IF(AND(H24&lt;&gt;"",H24&lt;TODAY(),LEFT(D24,1)&lt;&gt;"7",LEFT(D24,1)&lt;&gt;"8"),"⚠️ En retard","")</f>
        <v/>
      </c>
      <c r="M24" s="6" t="inlineStr"/>
    </row>
    <row r="25">
      <c r="A25" s="9" t="n">
        <v>22</v>
      </c>
      <c r="B25" s="10" t="inlineStr">
        <is>
          <t>Société Ivoirienne de Raffinage (SIR)</t>
        </is>
      </c>
      <c r="C25" s="11" t="inlineStr">
        <is>
          <t>Abidjan</t>
        </is>
      </c>
      <c r="D25" s="9" t="inlineStr">
        <is>
          <t>1. À contacter</t>
        </is>
      </c>
      <c r="E25" s="11" t="inlineStr"/>
      <c r="F25" s="17" t="n"/>
      <c r="G25" s="11" t="inlineStr">
        <is>
          <t>Premier contact</t>
        </is>
      </c>
      <c r="H25" s="17" t="n"/>
      <c r="I25" s="18" t="n"/>
      <c r="J25" s="9" t="inlineStr">
        <is>
          <t>10%</t>
        </is>
      </c>
      <c r="K25" s="18">
        <f>IF(I25="","",I25*VALUE(SUBSTITUTE(J25,"%",""))/100)</f>
        <v/>
      </c>
      <c r="L25" s="9">
        <f>IF(AND(H25&lt;&gt;"",H25&lt;TODAY(),LEFT(D25,1)&lt;&gt;"7",LEFT(D25,1)&lt;&gt;"8"),"⚠️ En retard","")</f>
        <v/>
      </c>
      <c r="M25" s="11" t="inlineStr"/>
    </row>
    <row r="26">
      <c r="A26" s="4" t="n">
        <v>23</v>
      </c>
      <c r="B26" s="5" t="inlineStr">
        <is>
          <t>Vivo Energy Côte d'Ivoire</t>
        </is>
      </c>
      <c r="C26" s="6" t="inlineStr">
        <is>
          <t>Abidjan</t>
        </is>
      </c>
      <c r="D26" s="4" t="inlineStr">
        <is>
          <t>1. À contacter</t>
        </is>
      </c>
      <c r="E26" s="6" t="inlineStr"/>
      <c r="F26" s="15" t="n"/>
      <c r="G26" s="6" t="inlineStr">
        <is>
          <t>Premier contact</t>
        </is>
      </c>
      <c r="H26" s="15" t="n"/>
      <c r="I26" s="16" t="n"/>
      <c r="J26" s="4" t="inlineStr">
        <is>
          <t>10%</t>
        </is>
      </c>
      <c r="K26" s="16">
        <f>IF(I26="","",I26*VALUE(SUBSTITUTE(J26,"%",""))/100)</f>
        <v/>
      </c>
      <c r="L26" s="4">
        <f>IF(AND(H26&lt;&gt;"",H26&lt;TODAY(),LEFT(D26,1)&lt;&gt;"7",LEFT(D26,1)&lt;&gt;"8"),"⚠️ En retard","")</f>
        <v/>
      </c>
      <c r="M26" s="6" t="inlineStr"/>
    </row>
    <row r="27">
      <c r="A27" s="9" t="n">
        <v>24</v>
      </c>
      <c r="B27" s="10" t="inlineStr">
        <is>
          <t>Bernabé Côte d'Ivoire (groupe Yeshi)</t>
        </is>
      </c>
      <c r="C27" s="11" t="inlineStr">
        <is>
          <t>Abidjan</t>
        </is>
      </c>
      <c r="D27" s="9" t="inlineStr">
        <is>
          <t>1. À contacter</t>
        </is>
      </c>
      <c r="E27" s="11" t="inlineStr"/>
      <c r="F27" s="17" t="n"/>
      <c r="G27" s="11" t="inlineStr">
        <is>
          <t>Premier contact</t>
        </is>
      </c>
      <c r="H27" s="17" t="n"/>
      <c r="I27" s="18" t="n"/>
      <c r="J27" s="9" t="inlineStr">
        <is>
          <t>10%</t>
        </is>
      </c>
      <c r="K27" s="18">
        <f>IF(I27="","",I27*VALUE(SUBSTITUTE(J27,"%",""))/100)</f>
        <v/>
      </c>
      <c r="L27" s="9">
        <f>IF(AND(H27&lt;&gt;"",H27&lt;TODAY(),LEFT(D27,1)&lt;&gt;"7",LEFT(D27,1)&lt;&gt;"8"),"⚠️ En retard","")</f>
        <v/>
      </c>
      <c r="M27" s="11" t="inlineStr"/>
    </row>
    <row r="28">
      <c r="A28" s="4" t="n">
        <v>25</v>
      </c>
      <c r="B28" s="5" t="inlineStr">
        <is>
          <t>CFAO Consumer (Carrefour et PlaYce)</t>
        </is>
      </c>
      <c r="C28" s="6" t="inlineStr">
        <is>
          <t>Abidjan</t>
        </is>
      </c>
      <c r="D28" s="4" t="inlineStr">
        <is>
          <t>1. À contacter</t>
        </is>
      </c>
      <c r="E28" s="6" t="inlineStr"/>
      <c r="F28" s="15" t="n"/>
      <c r="G28" s="6" t="inlineStr">
        <is>
          <t>Premier contact</t>
        </is>
      </c>
      <c r="H28" s="15" t="n"/>
      <c r="I28" s="16" t="n"/>
      <c r="J28" s="4" t="inlineStr">
        <is>
          <t>10%</t>
        </is>
      </c>
      <c r="K28" s="16">
        <f>IF(I28="","",I28*VALUE(SUBSTITUTE(J28,"%",""))/100)</f>
        <v/>
      </c>
      <c r="L28" s="4">
        <f>IF(AND(H28&lt;&gt;"",H28&lt;TODAY(),LEFT(D28,1)&lt;&gt;"7",LEFT(D28,1)&lt;&gt;"8"),"⚠️ En retard","")</f>
        <v/>
      </c>
      <c r="M28" s="6" t="inlineStr"/>
    </row>
    <row r="29">
      <c r="A29" s="9" t="n">
        <v>26</v>
      </c>
      <c r="B29" s="10" t="inlineStr">
        <is>
          <t>Jumia Côte d'Ivoire</t>
        </is>
      </c>
      <c r="C29" s="11" t="inlineStr">
        <is>
          <t>Abidjan</t>
        </is>
      </c>
      <c r="D29" s="9" t="inlineStr">
        <is>
          <t>1. À contacter</t>
        </is>
      </c>
      <c r="E29" s="11" t="inlineStr"/>
      <c r="F29" s="17" t="n"/>
      <c r="G29" s="11" t="inlineStr">
        <is>
          <t>Premier contact</t>
        </is>
      </c>
      <c r="H29" s="17" t="n"/>
      <c r="I29" s="18" t="n"/>
      <c r="J29" s="9" t="inlineStr">
        <is>
          <t>10%</t>
        </is>
      </c>
      <c r="K29" s="18">
        <f>IF(I29="","",I29*VALUE(SUBSTITUTE(J29,"%",""))/100)</f>
        <v/>
      </c>
      <c r="L29" s="9">
        <f>IF(AND(H29&lt;&gt;"",H29&lt;TODAY(),LEFT(D29,1)&lt;&gt;"7",LEFT(D29,1)&lt;&gt;"8"),"⚠️ En retard","")</f>
        <v/>
      </c>
      <c r="M29" s="11" t="inlineStr"/>
    </row>
    <row r="30">
      <c r="A30" s="4" t="n">
        <v>27</v>
      </c>
      <c r="B30" s="5" t="inlineStr">
        <is>
          <t>Decathlon Côte d'Ivoire</t>
        </is>
      </c>
      <c r="C30" s="6" t="inlineStr">
        <is>
          <t>Abidjan</t>
        </is>
      </c>
      <c r="D30" s="4" t="inlineStr">
        <is>
          <t>1. À contacter</t>
        </is>
      </c>
      <c r="E30" s="6" t="inlineStr"/>
      <c r="F30" s="15" t="n"/>
      <c r="G30" s="6" t="inlineStr">
        <is>
          <t>Premier contact</t>
        </is>
      </c>
      <c r="H30" s="15" t="n"/>
      <c r="I30" s="16" t="n"/>
      <c r="J30" s="4" t="inlineStr">
        <is>
          <t>10%</t>
        </is>
      </c>
      <c r="K30" s="16">
        <f>IF(I30="","",I30*VALUE(SUBSTITUTE(J30,"%",""))/100)</f>
        <v/>
      </c>
      <c r="L30" s="4">
        <f>IF(AND(H30&lt;&gt;"",H30&lt;TODAY(),LEFT(D30,1)&lt;&gt;"7",LEFT(D30,1)&lt;&gt;"8"),"⚠️ En retard","")</f>
        <v/>
      </c>
      <c r="M30" s="6" t="inlineStr"/>
    </row>
    <row r="31">
      <c r="A31" s="9" t="n">
        <v>28</v>
      </c>
      <c r="B31" s="10" t="inlineStr">
        <is>
          <t>Mr Bricolage Côte d'Ivoire (groupe Yeshi)</t>
        </is>
      </c>
      <c r="C31" s="11" t="inlineStr">
        <is>
          <t>Abidjan</t>
        </is>
      </c>
      <c r="D31" s="9" t="inlineStr">
        <is>
          <t>1. À contacter</t>
        </is>
      </c>
      <c r="E31" s="11" t="inlineStr"/>
      <c r="F31" s="17" t="n"/>
      <c r="G31" s="11" t="inlineStr">
        <is>
          <t>Premier contact</t>
        </is>
      </c>
      <c r="H31" s="17" t="n"/>
      <c r="I31" s="18" t="n"/>
      <c r="J31" s="9" t="inlineStr">
        <is>
          <t>10%</t>
        </is>
      </c>
      <c r="K31" s="18">
        <f>IF(I31="","",I31*VALUE(SUBSTITUTE(J31,"%",""))/100)</f>
        <v/>
      </c>
      <c r="L31" s="9">
        <f>IF(AND(H31&lt;&gt;"",H31&lt;TODAY(),LEFT(D31,1)&lt;&gt;"7",LEFT(D31,1)&lt;&gt;"8"),"⚠️ En retard","")</f>
        <v/>
      </c>
      <c r="M31" s="11" t="inlineStr"/>
    </row>
    <row r="32">
      <c r="A32" s="4" t="n">
        <v>29</v>
      </c>
      <c r="B32" s="5" t="inlineStr">
        <is>
          <t>Orca Déco</t>
        </is>
      </c>
      <c r="C32" s="6" t="inlineStr">
        <is>
          <t>Abidjan</t>
        </is>
      </c>
      <c r="D32" s="4" t="inlineStr">
        <is>
          <t>1. À contacter</t>
        </is>
      </c>
      <c r="E32" s="6" t="inlineStr"/>
      <c r="F32" s="15" t="n"/>
      <c r="G32" s="6" t="inlineStr">
        <is>
          <t>Premier contact</t>
        </is>
      </c>
      <c r="H32" s="15" t="n"/>
      <c r="I32" s="16" t="n"/>
      <c r="J32" s="4" t="inlineStr">
        <is>
          <t>10%</t>
        </is>
      </c>
      <c r="K32" s="16">
        <f>IF(I32="","",I32*VALUE(SUBSTITUTE(J32,"%",""))/100)</f>
        <v/>
      </c>
      <c r="L32" s="4">
        <f>IF(AND(H32&lt;&gt;"",H32&lt;TODAY(),LEFT(D32,1)&lt;&gt;"7",LEFT(D32,1)&lt;&gt;"8"),"⚠️ En retard","")</f>
        <v/>
      </c>
      <c r="M32" s="6" t="inlineStr"/>
    </row>
    <row r="33">
      <c r="A33" s="9" t="n">
        <v>30</v>
      </c>
      <c r="B33" s="10" t="inlineStr">
        <is>
          <t>Yango Deli</t>
        </is>
      </c>
      <c r="C33" s="11" t="inlineStr">
        <is>
          <t>Abidjan</t>
        </is>
      </c>
      <c r="D33" s="9" t="inlineStr">
        <is>
          <t>1. À contacter</t>
        </is>
      </c>
      <c r="E33" s="11" t="inlineStr"/>
      <c r="F33" s="17" t="n"/>
      <c r="G33" s="11" t="inlineStr">
        <is>
          <t>Premier contact</t>
        </is>
      </c>
      <c r="H33" s="17" t="n"/>
      <c r="I33" s="18" t="n"/>
      <c r="J33" s="9" t="inlineStr">
        <is>
          <t>10%</t>
        </is>
      </c>
      <c r="K33" s="18">
        <f>IF(I33="","",I33*VALUE(SUBSTITUTE(J33,"%",""))/100)</f>
        <v/>
      </c>
      <c r="L33" s="9">
        <f>IF(AND(H33&lt;&gt;"",H33&lt;TODAY(),LEFT(D33,1)&lt;&gt;"7",LEFT(D33,1)&lt;&gt;"8"),"⚠️ En retard","")</f>
        <v/>
      </c>
      <c r="M33" s="11" t="inlineStr"/>
    </row>
    <row r="34">
      <c r="A34" s="4" t="n">
        <v>31</v>
      </c>
      <c r="B34" s="5" t="inlineStr">
        <is>
          <t>COIC (Compagnie Ivoirienne de Coton)</t>
        </is>
      </c>
      <c r="C34" s="6" t="inlineStr">
        <is>
          <t>Korhogo</t>
        </is>
      </c>
      <c r="D34" s="4" t="inlineStr">
        <is>
          <t>1. À contacter</t>
        </is>
      </c>
      <c r="E34" s="6" t="inlineStr"/>
      <c r="F34" s="15" t="n"/>
      <c r="G34" s="6" t="inlineStr">
        <is>
          <t>Premier contact</t>
        </is>
      </c>
      <c r="H34" s="15" t="n"/>
      <c r="I34" s="16" t="n"/>
      <c r="J34" s="4" t="inlineStr">
        <is>
          <t>10%</t>
        </is>
      </c>
      <c r="K34" s="16">
        <f>IF(I34="","",I34*VALUE(SUBSTITUTE(J34,"%",""))/100)</f>
        <v/>
      </c>
      <c r="L34" s="4">
        <f>IF(AND(H34&lt;&gt;"",H34&lt;TODAY(),LEFT(D34,1)&lt;&gt;"7",LEFT(D34,1)&lt;&gt;"8"),"⚠️ En retard","")</f>
        <v/>
      </c>
      <c r="M34" s="6" t="inlineStr"/>
    </row>
    <row r="35">
      <c r="A35" s="9" t="n">
        <v>32</v>
      </c>
      <c r="B35" s="10" t="inlineStr">
        <is>
          <t>Ivoire Coton</t>
        </is>
      </c>
      <c r="C35" s="11" t="inlineStr">
        <is>
          <t>Korhogo</t>
        </is>
      </c>
      <c r="D35" s="9" t="inlineStr">
        <is>
          <t>1. À contacter</t>
        </is>
      </c>
      <c r="E35" s="11" t="inlineStr"/>
      <c r="F35" s="17" t="n"/>
      <c r="G35" s="11" t="inlineStr">
        <is>
          <t>Premier contact</t>
        </is>
      </c>
      <c r="H35" s="17" t="n"/>
      <c r="I35" s="18" t="n"/>
      <c r="J35" s="9" t="inlineStr">
        <is>
          <t>10%</t>
        </is>
      </c>
      <c r="K35" s="18">
        <f>IF(I35="","",I35*VALUE(SUBSTITUTE(J35,"%",""))/100)</f>
        <v/>
      </c>
      <c r="L35" s="9">
        <f>IF(AND(H35&lt;&gt;"",H35&lt;TODAY(),LEFT(D35,1)&lt;&gt;"7",LEFT(D35,1)&lt;&gt;"8"),"⚠️ En retard","")</f>
        <v/>
      </c>
      <c r="M35" s="11" t="inlineStr"/>
    </row>
    <row r="36">
      <c r="A36" s="4" t="n">
        <v>33</v>
      </c>
      <c r="B36" s="5" t="inlineStr">
        <is>
          <t>DK Cajou</t>
        </is>
      </c>
      <c r="C36" s="6" t="inlineStr">
        <is>
          <t>Korhogo</t>
        </is>
      </c>
      <c r="D36" s="4" t="inlineStr">
        <is>
          <t>1. À contacter</t>
        </is>
      </c>
      <c r="E36" s="6" t="inlineStr"/>
      <c r="F36" s="15" t="n"/>
      <c r="G36" s="6" t="inlineStr">
        <is>
          <t>Premier contact</t>
        </is>
      </c>
      <c r="H36" s="15" t="n"/>
      <c r="I36" s="16" t="n"/>
      <c r="J36" s="4" t="inlineStr">
        <is>
          <t>10%</t>
        </is>
      </c>
      <c r="K36" s="16">
        <f>IF(I36="","",I36*VALUE(SUBSTITUTE(J36,"%",""))/100)</f>
        <v/>
      </c>
      <c r="L36" s="4">
        <f>IF(AND(H36&lt;&gt;"",H36&lt;TODAY(),LEFT(D36,1)&lt;&gt;"7",LEFT(D36,1)&lt;&gt;"8"),"⚠️ En retard","")</f>
        <v/>
      </c>
      <c r="M36" s="6" t="inlineStr"/>
    </row>
    <row r="37">
      <c r="A37" s="9" t="n">
        <v>34</v>
      </c>
      <c r="B37" s="10" t="inlineStr">
        <is>
          <t>SUCAF CI (Sucrerie Africaine Côte d'Ivoire, groupe Somdia) – Ferkessédougou</t>
        </is>
      </c>
      <c r="C37" s="11" t="inlineStr">
        <is>
          <t>Korhogo</t>
        </is>
      </c>
      <c r="D37" s="9" t="inlineStr">
        <is>
          <t>1. À contacter</t>
        </is>
      </c>
      <c r="E37" s="11" t="inlineStr"/>
      <c r="F37" s="17" t="n"/>
      <c r="G37" s="11" t="inlineStr">
        <is>
          <t>Premier contact</t>
        </is>
      </c>
      <c r="H37" s="17" t="n"/>
      <c r="I37" s="18" t="n"/>
      <c r="J37" s="9" t="inlineStr">
        <is>
          <t>10%</t>
        </is>
      </c>
      <c r="K37" s="18">
        <f>IF(I37="","",I37*VALUE(SUBSTITUTE(J37,"%",""))/100)</f>
        <v/>
      </c>
      <c r="L37" s="9">
        <f>IF(AND(H37&lt;&gt;"",H37&lt;TODAY(),LEFT(D37,1)&lt;&gt;"7",LEFT(D37,1)&lt;&gt;"8"),"⚠️ En retard","")</f>
        <v/>
      </c>
      <c r="M37" s="11" t="inlineStr"/>
    </row>
    <row r="38">
      <c r="A38" s="4" t="n">
        <v>35</v>
      </c>
      <c r="B38" s="5" t="inlineStr">
        <is>
          <t>SECO (Société d'Exploitation Cotonnière Olam)</t>
        </is>
      </c>
      <c r="C38" s="6" t="inlineStr">
        <is>
          <t>Korhogo</t>
        </is>
      </c>
      <c r="D38" s="4" t="inlineStr">
        <is>
          <t>1. À contacter</t>
        </is>
      </c>
      <c r="E38" s="6" t="inlineStr"/>
      <c r="F38" s="15" t="n"/>
      <c r="G38" s="6" t="inlineStr">
        <is>
          <t>Premier contact</t>
        </is>
      </c>
      <c r="H38" s="15" t="n"/>
      <c r="I38" s="16" t="n"/>
      <c r="J38" s="4" t="inlineStr">
        <is>
          <t>10%</t>
        </is>
      </c>
      <c r="K38" s="16">
        <f>IF(I38="","",I38*VALUE(SUBSTITUTE(J38,"%",""))/100)</f>
        <v/>
      </c>
      <c r="L38" s="4">
        <f>IF(AND(H38&lt;&gt;"",H38&lt;TODAY(),LEFT(D38,1)&lt;&gt;"7",LEFT(D38,1)&lt;&gt;"8"),"⚠️ En retard","")</f>
        <v/>
      </c>
      <c r="M38" s="6" t="inlineStr"/>
    </row>
    <row r="39">
      <c r="A39" s="9" t="n">
        <v>36</v>
      </c>
      <c r="B39" s="10" t="inlineStr">
        <is>
          <t>Mine d'or de Tongon (Atlantic Group)</t>
        </is>
      </c>
      <c r="C39" s="11" t="inlineStr">
        <is>
          <t>Korhogo</t>
        </is>
      </c>
      <c r="D39" s="9" t="inlineStr">
        <is>
          <t>1. À contacter</t>
        </is>
      </c>
      <c r="E39" s="11" t="inlineStr"/>
      <c r="F39" s="17" t="n"/>
      <c r="G39" s="11" t="inlineStr">
        <is>
          <t>Premier contact</t>
        </is>
      </c>
      <c r="H39" s="17" t="n"/>
      <c r="I39" s="18" t="n"/>
      <c r="J39" s="9" t="inlineStr">
        <is>
          <t>10%</t>
        </is>
      </c>
      <c r="K39" s="18">
        <f>IF(I39="","",I39*VALUE(SUBSTITUTE(J39,"%",""))/100)</f>
        <v/>
      </c>
      <c r="L39" s="9">
        <f>IF(AND(H39&lt;&gt;"",H39&lt;TODAY(),LEFT(D39,1)&lt;&gt;"7",LEFT(D39,1)&lt;&gt;"8"),"⚠️ En retard","")</f>
        <v/>
      </c>
      <c r="M39" s="11" t="inlineStr"/>
    </row>
    <row r="40">
      <c r="A40" s="4" t="n">
        <v>37</v>
      </c>
      <c r="B40" s="5" t="inlineStr">
        <is>
          <t>Inter-Mangue (interprofession de la mangue)</t>
        </is>
      </c>
      <c r="C40" s="6" t="inlineStr">
        <is>
          <t>Korhogo</t>
        </is>
      </c>
      <c r="D40" s="4" t="inlineStr">
        <is>
          <t>1. À contacter</t>
        </is>
      </c>
      <c r="E40" s="6" t="inlineStr"/>
      <c r="F40" s="15" t="n"/>
      <c r="G40" s="6" t="inlineStr">
        <is>
          <t>Premier contact</t>
        </is>
      </c>
      <c r="H40" s="15" t="n"/>
      <c r="I40" s="16" t="n"/>
      <c r="J40" s="4" t="inlineStr">
        <is>
          <t>10%</t>
        </is>
      </c>
      <c r="K40" s="16">
        <f>IF(I40="","",I40*VALUE(SUBSTITUTE(J40,"%",""))/100)</f>
        <v/>
      </c>
      <c r="L40" s="4">
        <f>IF(AND(H40&lt;&gt;"",H40&lt;TODAY(),LEFT(D40,1)&lt;&gt;"7",LEFT(D40,1)&lt;&gt;"8"),"⚠️ En retard","")</f>
        <v/>
      </c>
      <c r="M40" s="6" t="inlineStr"/>
    </row>
    <row r="41">
      <c r="A41" s="9" t="n">
        <v>38</v>
      </c>
      <c r="B41" s="10" t="inlineStr">
        <is>
          <t>Tropic Cajou</t>
        </is>
      </c>
      <c r="C41" s="11" t="inlineStr">
        <is>
          <t>Korhogo</t>
        </is>
      </c>
      <c r="D41" s="9" t="inlineStr">
        <is>
          <t>1. À contacter</t>
        </is>
      </c>
      <c r="E41" s="11" t="inlineStr"/>
      <c r="F41" s="17" t="n"/>
      <c r="G41" s="11" t="inlineStr">
        <is>
          <t>Premier contact</t>
        </is>
      </c>
      <c r="H41" s="17" t="n"/>
      <c r="I41" s="18" t="n"/>
      <c r="J41" s="9" t="inlineStr">
        <is>
          <t>10%</t>
        </is>
      </c>
      <c r="K41" s="18">
        <f>IF(I41="","",I41*VALUE(SUBSTITUTE(J41,"%",""))/100)</f>
        <v/>
      </c>
      <c r="L41" s="9">
        <f>IF(AND(H41&lt;&gt;"",H41&lt;TODAY(),LEFT(D41,1)&lt;&gt;"7",LEFT(D41,1)&lt;&gt;"8"),"⚠️ En retard","")</f>
        <v/>
      </c>
      <c r="M41" s="11" t="inlineStr"/>
    </row>
    <row r="42">
      <c r="A42" s="4" t="n">
        <v>39</v>
      </c>
      <c r="B42" s="5" t="inlineStr">
        <is>
          <t>Touton Négoce Côte d'Ivoire (TNCI)</t>
        </is>
      </c>
      <c r="C42" s="6" t="inlineStr">
        <is>
          <t>San-Pédro</t>
        </is>
      </c>
      <c r="D42" s="4" t="inlineStr">
        <is>
          <t>1. À contacter</t>
        </is>
      </c>
      <c r="E42" s="6" t="inlineStr"/>
      <c r="F42" s="15" t="n"/>
      <c r="G42" s="6" t="inlineStr">
        <is>
          <t>Premier contact</t>
        </is>
      </c>
      <c r="H42" s="15" t="n"/>
      <c r="I42" s="16" t="n"/>
      <c r="J42" s="4" t="inlineStr">
        <is>
          <t>10%</t>
        </is>
      </c>
      <c r="K42" s="16">
        <f>IF(I42="","",I42*VALUE(SUBSTITUTE(J42,"%",""))/100)</f>
        <v/>
      </c>
      <c r="L42" s="4">
        <f>IF(AND(H42&lt;&gt;"",H42&lt;TODAY(),LEFT(D42,1)&lt;&gt;"7",LEFT(D42,1)&lt;&gt;"8"),"⚠️ En retard","")</f>
        <v/>
      </c>
      <c r="M42" s="6" t="inlineStr"/>
    </row>
    <row r="43">
      <c r="A43" s="9" t="n">
        <v>40</v>
      </c>
      <c r="B43" s="10" t="inlineStr">
        <is>
          <t>Olam Cocoa Processing (groupe Olam / ofi) – usine de San-Pédro</t>
        </is>
      </c>
      <c r="C43" s="11" t="inlineStr">
        <is>
          <t>San-Pédro</t>
        </is>
      </c>
      <c r="D43" s="9" t="inlineStr">
        <is>
          <t>1. À contacter</t>
        </is>
      </c>
      <c r="E43" s="11" t="inlineStr"/>
      <c r="F43" s="17" t="n"/>
      <c r="G43" s="11" t="inlineStr">
        <is>
          <t>Premier contact</t>
        </is>
      </c>
      <c r="H43" s="17" t="n"/>
      <c r="I43" s="18" t="n"/>
      <c r="J43" s="9" t="inlineStr">
        <is>
          <t>10%</t>
        </is>
      </c>
      <c r="K43" s="18">
        <f>IF(I43="","",I43*VALUE(SUBSTITUTE(J43,"%",""))/100)</f>
        <v/>
      </c>
      <c r="L43" s="9">
        <f>IF(AND(H43&lt;&gt;"",H43&lt;TODAY(),LEFT(D43,1)&lt;&gt;"7",LEFT(D43,1)&lt;&gt;"8"),"⚠️ En retard","")</f>
        <v/>
      </c>
      <c r="M43" s="11" t="inlineStr"/>
    </row>
    <row r="44">
      <c r="A44" s="4" t="n">
        <v>41</v>
      </c>
      <c r="B44" s="5" t="inlineStr">
        <is>
          <t>Barry Callebaut – SACO (usine de San-Pédro)</t>
        </is>
      </c>
      <c r="C44" s="6" t="inlineStr">
        <is>
          <t>San-Pédro</t>
        </is>
      </c>
      <c r="D44" s="4" t="inlineStr">
        <is>
          <t>1. À contacter</t>
        </is>
      </c>
      <c r="E44" s="6" t="inlineStr"/>
      <c r="F44" s="15" t="n"/>
      <c r="G44" s="6" t="inlineStr">
        <is>
          <t>Premier contact</t>
        </is>
      </c>
      <c r="H44" s="15" t="n"/>
      <c r="I44" s="16" t="n"/>
      <c r="J44" s="4" t="inlineStr">
        <is>
          <t>10%</t>
        </is>
      </c>
      <c r="K44" s="16">
        <f>IF(I44="","",I44*VALUE(SUBSTITUTE(J44,"%",""))/100)</f>
        <v/>
      </c>
      <c r="L44" s="4">
        <f>IF(AND(H44&lt;&gt;"",H44&lt;TODAY(),LEFT(D44,1)&lt;&gt;"7",LEFT(D44,1)&lt;&gt;"8"),"⚠️ En retard","")</f>
        <v/>
      </c>
      <c r="M44" s="6" t="inlineStr"/>
    </row>
    <row r="45">
      <c r="A45" s="9" t="n">
        <v>42</v>
      </c>
      <c r="B45" s="10" t="inlineStr">
        <is>
          <t>Transcao CI – site de Séwéké</t>
        </is>
      </c>
      <c r="C45" s="11" t="inlineStr">
        <is>
          <t>San-Pédro</t>
        </is>
      </c>
      <c r="D45" s="9" t="inlineStr">
        <is>
          <t>1. À contacter</t>
        </is>
      </c>
      <c r="E45" s="11" t="inlineStr"/>
      <c r="F45" s="17" t="n"/>
      <c r="G45" s="11" t="inlineStr">
        <is>
          <t>Premier contact</t>
        </is>
      </c>
      <c r="H45" s="17" t="n"/>
      <c r="I45" s="18" t="n"/>
      <c r="J45" s="9" t="inlineStr">
        <is>
          <t>10%</t>
        </is>
      </c>
      <c r="K45" s="18">
        <f>IF(I45="","",I45*VALUE(SUBSTITUTE(J45,"%",""))/100)</f>
        <v/>
      </c>
      <c r="L45" s="9">
        <f>IF(AND(H45&lt;&gt;"",H45&lt;TODAY(),LEFT(D45,1)&lt;&gt;"7",LEFT(D45,1)&lt;&gt;"8"),"⚠️ En retard","")</f>
        <v/>
      </c>
      <c r="M45" s="11" t="inlineStr"/>
    </row>
    <row r="46">
      <c r="A46" s="4" t="n">
        <v>43</v>
      </c>
      <c r="B46" s="5" t="inlineStr">
        <is>
          <t>Ivory Cocoa Products (ICP)</t>
        </is>
      </c>
      <c r="C46" s="6" t="inlineStr">
        <is>
          <t>San-Pédro</t>
        </is>
      </c>
      <c r="D46" s="4" t="inlineStr">
        <is>
          <t>1. À contacter</t>
        </is>
      </c>
      <c r="E46" s="6" t="inlineStr"/>
      <c r="F46" s="15" t="n"/>
      <c r="G46" s="6" t="inlineStr">
        <is>
          <t>Premier contact</t>
        </is>
      </c>
      <c r="H46" s="15" t="n"/>
      <c r="I46" s="16" t="n"/>
      <c r="J46" s="4" t="inlineStr">
        <is>
          <t>10%</t>
        </is>
      </c>
      <c r="K46" s="16">
        <f>IF(I46="","",I46*VALUE(SUBSTITUTE(J46,"%",""))/100)</f>
        <v/>
      </c>
      <c r="L46" s="4">
        <f>IF(AND(H46&lt;&gt;"",H46&lt;TODAY(),LEFT(D46,1)&lt;&gt;"7",LEFT(D46,1)&lt;&gt;"8"),"⚠️ En retard","")</f>
        <v/>
      </c>
      <c r="M46" s="6" t="inlineStr"/>
    </row>
    <row r="47">
      <c r="A47" s="9" t="n">
        <v>44</v>
      </c>
      <c r="B47" s="10" t="inlineStr">
        <is>
          <t>Zamacom (filiale d'ECOM Agroindustrial)</t>
        </is>
      </c>
      <c r="C47" s="11" t="inlineStr">
        <is>
          <t>San-Pédro</t>
        </is>
      </c>
      <c r="D47" s="9" t="inlineStr">
        <is>
          <t>1. À contacter</t>
        </is>
      </c>
      <c r="E47" s="11" t="inlineStr"/>
      <c r="F47" s="17" t="n"/>
      <c r="G47" s="11" t="inlineStr">
        <is>
          <t>Premier contact</t>
        </is>
      </c>
      <c r="H47" s="17" t="n"/>
      <c r="I47" s="18" t="n"/>
      <c r="J47" s="9" t="inlineStr">
        <is>
          <t>10%</t>
        </is>
      </c>
      <c r="K47" s="18">
        <f>IF(I47="","",I47*VALUE(SUBSTITUTE(J47,"%",""))/100)</f>
        <v/>
      </c>
      <c r="L47" s="9">
        <f>IF(AND(H47&lt;&gt;"",H47&lt;TODAY(),LEFT(D47,1)&lt;&gt;"7",LEFT(D47,1)&lt;&gt;"8"),"⚠️ En retard","")</f>
        <v/>
      </c>
      <c r="M47" s="11" t="inlineStr"/>
    </row>
    <row r="48">
      <c r="A48" s="4" t="n">
        <v>45</v>
      </c>
      <c r="B48" s="5" t="inlineStr">
        <is>
          <t>Compagnie Minière du Bafing (CMB)</t>
        </is>
      </c>
      <c r="C48" s="6" t="inlineStr">
        <is>
          <t>San-Pédro</t>
        </is>
      </c>
      <c r="D48" s="4" t="inlineStr">
        <is>
          <t>1. À contacter</t>
        </is>
      </c>
      <c r="E48" s="6" t="inlineStr"/>
      <c r="F48" s="15" t="n"/>
      <c r="G48" s="6" t="inlineStr">
        <is>
          <t>Premier contact</t>
        </is>
      </c>
      <c r="H48" s="15" t="n"/>
      <c r="I48" s="16" t="n"/>
      <c r="J48" s="4" t="inlineStr">
        <is>
          <t>10%</t>
        </is>
      </c>
      <c r="K48" s="16">
        <f>IF(I48="","",I48*VALUE(SUBSTITUTE(J48,"%",""))/100)</f>
        <v/>
      </c>
      <c r="L48" s="4">
        <f>IF(AND(H48&lt;&gt;"",H48&lt;TODAY(),LEFT(D48,1)&lt;&gt;"7",LEFT(D48,1)&lt;&gt;"8"),"⚠️ En retard","")</f>
        <v/>
      </c>
      <c r="M48" s="6" t="inlineStr"/>
    </row>
    <row r="49">
      <c r="A49" s="9" t="n">
        <v>46</v>
      </c>
      <c r="B49" s="10" t="inlineStr">
        <is>
          <t>CITRAC (Compagnie Ivoirienne de Transformation de Cacao)</t>
        </is>
      </c>
      <c r="C49" s="11" t="inlineStr">
        <is>
          <t>San-Pédro</t>
        </is>
      </c>
      <c r="D49" s="9" t="inlineStr">
        <is>
          <t>1. À contacter</t>
        </is>
      </c>
      <c r="E49" s="11" t="inlineStr"/>
      <c r="F49" s="17" t="n"/>
      <c r="G49" s="11" t="inlineStr">
        <is>
          <t>Premier contact</t>
        </is>
      </c>
      <c r="H49" s="17" t="n"/>
      <c r="I49" s="18" t="n"/>
      <c r="J49" s="9" t="inlineStr">
        <is>
          <t>10%</t>
        </is>
      </c>
      <c r="K49" s="18">
        <f>IF(I49="","",I49*VALUE(SUBSTITUTE(J49,"%",""))/100)</f>
        <v/>
      </c>
      <c r="L49" s="9">
        <f>IF(AND(H49&lt;&gt;"",H49&lt;TODAY(),LEFT(D49,1)&lt;&gt;"7",LEFT(D49,1)&lt;&gt;"8"),"⚠️ En retard","")</f>
        <v/>
      </c>
      <c r="M49" s="11" t="inlineStr"/>
    </row>
    <row r="50">
      <c r="A50" s="4" t="n">
        <v>47</v>
      </c>
      <c r="B50" s="5" t="inlineStr">
        <is>
          <t>SOGB (Société des Caoutchoucs de Grand-Béréby, groupe Socfin)</t>
        </is>
      </c>
      <c r="C50" s="6" t="inlineStr">
        <is>
          <t>San-Pédro</t>
        </is>
      </c>
      <c r="D50" s="4" t="inlineStr">
        <is>
          <t>1. À contacter</t>
        </is>
      </c>
      <c r="E50" s="6" t="inlineStr"/>
      <c r="F50" s="15" t="n"/>
      <c r="G50" s="6" t="inlineStr">
        <is>
          <t>Premier contact</t>
        </is>
      </c>
      <c r="H50" s="15" t="n"/>
      <c r="I50" s="16" t="n"/>
      <c r="J50" s="4" t="inlineStr">
        <is>
          <t>10%</t>
        </is>
      </c>
      <c r="K50" s="16">
        <f>IF(I50="","",I50*VALUE(SUBSTITUTE(J50,"%",""))/100)</f>
        <v/>
      </c>
      <c r="L50" s="4">
        <f>IF(AND(H50&lt;&gt;"",H50&lt;TODAY(),LEFT(D50,1)&lt;&gt;"7",LEFT(D50,1)&lt;&gt;"8"),"⚠️ En retard","")</f>
        <v/>
      </c>
      <c r="M50" s="6" t="inlineStr"/>
    </row>
    <row r="51">
      <c r="A51" s="9" t="n">
        <v>48</v>
      </c>
      <c r="B51" s="10" t="inlineStr">
        <is>
          <t>Atlantic Cocoa Corporation (ACC) – usine de San-Pédro</t>
        </is>
      </c>
      <c r="C51" s="11" t="inlineStr">
        <is>
          <t>San-Pédro</t>
        </is>
      </c>
      <c r="D51" s="9" t="inlineStr">
        <is>
          <t>1. À contacter</t>
        </is>
      </c>
      <c r="E51" s="11" t="inlineStr"/>
      <c r="F51" s="17" t="n"/>
      <c r="G51" s="11" t="inlineStr">
        <is>
          <t>Premier contact</t>
        </is>
      </c>
      <c r="H51" s="17" t="n"/>
      <c r="I51" s="18" t="n"/>
      <c r="J51" s="9" t="inlineStr">
        <is>
          <t>10%</t>
        </is>
      </c>
      <c r="K51" s="18">
        <f>IF(I51="","",I51*VALUE(SUBSTITUTE(J51,"%",""))/100)</f>
        <v/>
      </c>
      <c r="L51" s="9">
        <f>IF(AND(H51&lt;&gt;"",H51&lt;TODAY(),LEFT(D51,1)&lt;&gt;"7",LEFT(D51,1)&lt;&gt;"8"),"⚠️ En retard","")</f>
        <v/>
      </c>
      <c r="M51" s="11" t="inlineStr"/>
    </row>
    <row r="52">
      <c r="A52" s="4" t="n">
        <v>49</v>
      </c>
      <c r="B52" s="5" t="inlineStr">
        <is>
          <t>Compagnie Minière du Littoral (CML)</t>
        </is>
      </c>
      <c r="C52" s="6" t="inlineStr">
        <is>
          <t>San-Pédro</t>
        </is>
      </c>
      <c r="D52" s="4" t="inlineStr">
        <is>
          <t>1. À contacter</t>
        </is>
      </c>
      <c r="E52" s="6" t="inlineStr"/>
      <c r="F52" s="15" t="n"/>
      <c r="G52" s="6" t="inlineStr">
        <is>
          <t>Premier contact</t>
        </is>
      </c>
      <c r="H52" s="15" t="n"/>
      <c r="I52" s="16" t="n"/>
      <c r="J52" s="4" t="inlineStr">
        <is>
          <t>10%</t>
        </is>
      </c>
      <c r="K52" s="16">
        <f>IF(I52="","",I52*VALUE(SUBSTITUTE(J52,"%",""))/100)</f>
        <v/>
      </c>
      <c r="L52" s="4">
        <f>IF(AND(H52&lt;&gt;"",H52&lt;TODAY(),LEFT(D52,1)&lt;&gt;"7",LEFT(D52,1)&lt;&gt;"8"),"⚠️ En retard","")</f>
        <v/>
      </c>
      <c r="M52" s="6" t="inlineStr"/>
    </row>
    <row r="53">
      <c r="A53" s="9" t="n">
        <v>50</v>
      </c>
      <c r="B53" s="10" t="inlineStr">
        <is>
          <t>CADESA (coopérative) / CADESA Processing SA</t>
        </is>
      </c>
      <c r="C53" s="11" t="inlineStr">
        <is>
          <t>San-Pédro</t>
        </is>
      </c>
      <c r="D53" s="9" t="inlineStr">
        <is>
          <t>1. À contacter</t>
        </is>
      </c>
      <c r="E53" s="11" t="inlineStr"/>
      <c r="F53" s="17" t="n"/>
      <c r="G53" s="11" t="inlineStr">
        <is>
          <t>Premier contact</t>
        </is>
      </c>
      <c r="H53" s="17" t="n"/>
      <c r="I53" s="18" t="n"/>
      <c r="J53" s="9" t="inlineStr">
        <is>
          <t>10%</t>
        </is>
      </c>
      <c r="K53" s="18">
        <f>IF(I53="","",I53*VALUE(SUBSTITUTE(J53,"%",""))/100)</f>
        <v/>
      </c>
      <c r="L53" s="9">
        <f>IF(AND(H53&lt;&gt;"",H53&lt;TODAY(),LEFT(D53,1)&lt;&gt;"7",LEFT(D53,1)&lt;&gt;"8"),"⚠️ En retard","")</f>
        <v/>
      </c>
      <c r="M53" s="11" t="inlineStr"/>
    </row>
    <row r="54">
      <c r="A54" s="4" t="n">
        <v>51</v>
      </c>
      <c r="B54" s="5" t="inlineStr"/>
      <c r="C54" s="6" t="inlineStr"/>
      <c r="D54" s="4" t="inlineStr"/>
      <c r="E54" s="6" t="inlineStr"/>
      <c r="F54" s="15" t="n"/>
      <c r="G54" s="6" t="inlineStr"/>
      <c r="H54" s="15" t="n"/>
      <c r="I54" s="16" t="n"/>
      <c r="J54" s="4" t="inlineStr"/>
      <c r="K54" s="16">
        <f>IF(I54="","",I54*VALUE(SUBSTITUTE(J54,"%",""))/100)</f>
        <v/>
      </c>
      <c r="L54" s="4">
        <f>IF(AND(H54&lt;&gt;"",H54&lt;TODAY(),LEFT(D54,1)&lt;&gt;"7",LEFT(D54,1)&lt;&gt;"8"),"⚠️ En retard","")</f>
        <v/>
      </c>
      <c r="M54" s="6" t="inlineStr"/>
    </row>
    <row r="55">
      <c r="A55" s="9" t="n">
        <v>52</v>
      </c>
      <c r="B55" s="10" t="inlineStr"/>
      <c r="C55" s="11" t="inlineStr"/>
      <c r="D55" s="9" t="inlineStr"/>
      <c r="E55" s="11" t="inlineStr"/>
      <c r="F55" s="17" t="n"/>
      <c r="G55" s="11" t="inlineStr"/>
      <c r="H55" s="17" t="n"/>
      <c r="I55" s="18" t="n"/>
      <c r="J55" s="9" t="inlineStr"/>
      <c r="K55" s="18">
        <f>IF(I55="","",I55*VALUE(SUBSTITUTE(J55,"%",""))/100)</f>
        <v/>
      </c>
      <c r="L55" s="9">
        <f>IF(AND(H55&lt;&gt;"",H55&lt;TODAY(),LEFT(D55,1)&lt;&gt;"7",LEFT(D55,1)&lt;&gt;"8"),"⚠️ En retard","")</f>
        <v/>
      </c>
      <c r="M55" s="11" t="inlineStr"/>
    </row>
    <row r="56">
      <c r="A56" s="4" t="n">
        <v>53</v>
      </c>
      <c r="B56" s="5" t="inlineStr"/>
      <c r="C56" s="6" t="inlineStr"/>
      <c r="D56" s="4" t="inlineStr"/>
      <c r="E56" s="6" t="inlineStr"/>
      <c r="F56" s="15" t="n"/>
      <c r="G56" s="6" t="inlineStr"/>
      <c r="H56" s="15" t="n"/>
      <c r="I56" s="16" t="n"/>
      <c r="J56" s="4" t="inlineStr"/>
      <c r="K56" s="16">
        <f>IF(I56="","",I56*VALUE(SUBSTITUTE(J56,"%",""))/100)</f>
        <v/>
      </c>
      <c r="L56" s="4">
        <f>IF(AND(H56&lt;&gt;"",H56&lt;TODAY(),LEFT(D56,1)&lt;&gt;"7",LEFT(D56,1)&lt;&gt;"8"),"⚠️ En retard","")</f>
        <v/>
      </c>
      <c r="M56" s="6" t="inlineStr"/>
    </row>
    <row r="57">
      <c r="A57" s="9" t="n">
        <v>54</v>
      </c>
      <c r="B57" s="10" t="inlineStr"/>
      <c r="C57" s="11" t="inlineStr"/>
      <c r="D57" s="9" t="inlineStr"/>
      <c r="E57" s="11" t="inlineStr"/>
      <c r="F57" s="17" t="n"/>
      <c r="G57" s="11" t="inlineStr"/>
      <c r="H57" s="17" t="n"/>
      <c r="I57" s="18" t="n"/>
      <c r="J57" s="9" t="inlineStr"/>
      <c r="K57" s="18">
        <f>IF(I57="","",I57*VALUE(SUBSTITUTE(J57,"%",""))/100)</f>
        <v/>
      </c>
      <c r="L57" s="9">
        <f>IF(AND(H57&lt;&gt;"",H57&lt;TODAY(),LEFT(D57,1)&lt;&gt;"7",LEFT(D57,1)&lt;&gt;"8"),"⚠️ En retard","")</f>
        <v/>
      </c>
      <c r="M57" s="11" t="inlineStr"/>
    </row>
    <row r="58">
      <c r="A58" s="4" t="n">
        <v>55</v>
      </c>
      <c r="B58" s="5" t="inlineStr"/>
      <c r="C58" s="6" t="inlineStr"/>
      <c r="D58" s="4" t="inlineStr"/>
      <c r="E58" s="6" t="inlineStr"/>
      <c r="F58" s="15" t="n"/>
      <c r="G58" s="6" t="inlineStr"/>
      <c r="H58" s="15" t="n"/>
      <c r="I58" s="16" t="n"/>
      <c r="J58" s="4" t="inlineStr"/>
      <c r="K58" s="16">
        <f>IF(I58="","",I58*VALUE(SUBSTITUTE(J58,"%",""))/100)</f>
        <v/>
      </c>
      <c r="L58" s="4">
        <f>IF(AND(H58&lt;&gt;"",H58&lt;TODAY(),LEFT(D58,1)&lt;&gt;"7",LEFT(D58,1)&lt;&gt;"8"),"⚠️ En retard","")</f>
        <v/>
      </c>
      <c r="M58" s="6" t="inlineStr"/>
    </row>
    <row r="59">
      <c r="A59" s="9" t="n">
        <v>56</v>
      </c>
      <c r="B59" s="10" t="inlineStr"/>
      <c r="C59" s="11" t="inlineStr"/>
      <c r="D59" s="9" t="inlineStr"/>
      <c r="E59" s="11" t="inlineStr"/>
      <c r="F59" s="17" t="n"/>
      <c r="G59" s="11" t="inlineStr"/>
      <c r="H59" s="17" t="n"/>
      <c r="I59" s="18" t="n"/>
      <c r="J59" s="9" t="inlineStr"/>
      <c r="K59" s="18">
        <f>IF(I59="","",I59*VALUE(SUBSTITUTE(J59,"%",""))/100)</f>
        <v/>
      </c>
      <c r="L59" s="9">
        <f>IF(AND(H59&lt;&gt;"",H59&lt;TODAY(),LEFT(D59,1)&lt;&gt;"7",LEFT(D59,1)&lt;&gt;"8"),"⚠️ En retard","")</f>
        <v/>
      </c>
      <c r="M59" s="11" t="inlineStr"/>
    </row>
    <row r="60">
      <c r="A60" s="4" t="n">
        <v>57</v>
      </c>
      <c r="B60" s="5" t="inlineStr"/>
      <c r="C60" s="6" t="inlineStr"/>
      <c r="D60" s="4" t="inlineStr"/>
      <c r="E60" s="6" t="inlineStr"/>
      <c r="F60" s="15" t="n"/>
      <c r="G60" s="6" t="inlineStr"/>
      <c r="H60" s="15" t="n"/>
      <c r="I60" s="16" t="n"/>
      <c r="J60" s="4" t="inlineStr"/>
      <c r="K60" s="16">
        <f>IF(I60="","",I60*VALUE(SUBSTITUTE(J60,"%",""))/100)</f>
        <v/>
      </c>
      <c r="L60" s="4">
        <f>IF(AND(H60&lt;&gt;"",H60&lt;TODAY(),LEFT(D60,1)&lt;&gt;"7",LEFT(D60,1)&lt;&gt;"8"),"⚠️ En retard","")</f>
        <v/>
      </c>
      <c r="M60" s="6" t="inlineStr"/>
    </row>
    <row r="61">
      <c r="A61" s="9" t="n">
        <v>58</v>
      </c>
      <c r="B61" s="10" t="inlineStr"/>
      <c r="C61" s="11" t="inlineStr"/>
      <c r="D61" s="9" t="inlineStr"/>
      <c r="E61" s="11" t="inlineStr"/>
      <c r="F61" s="17" t="n"/>
      <c r="G61" s="11" t="inlineStr"/>
      <c r="H61" s="17" t="n"/>
      <c r="I61" s="18" t="n"/>
      <c r="J61" s="9" t="inlineStr"/>
      <c r="K61" s="18">
        <f>IF(I61="","",I61*VALUE(SUBSTITUTE(J61,"%",""))/100)</f>
        <v/>
      </c>
      <c r="L61" s="9">
        <f>IF(AND(H61&lt;&gt;"",H61&lt;TODAY(),LEFT(D61,1)&lt;&gt;"7",LEFT(D61,1)&lt;&gt;"8"),"⚠️ En retard","")</f>
        <v/>
      </c>
      <c r="M61" s="11" t="inlineStr"/>
    </row>
    <row r="62">
      <c r="A62" s="4" t="n">
        <v>59</v>
      </c>
      <c r="B62" s="5" t="inlineStr"/>
      <c r="C62" s="6" t="inlineStr"/>
      <c r="D62" s="4" t="inlineStr"/>
      <c r="E62" s="6" t="inlineStr"/>
      <c r="F62" s="15" t="n"/>
      <c r="G62" s="6" t="inlineStr"/>
      <c r="H62" s="15" t="n"/>
      <c r="I62" s="16" t="n"/>
      <c r="J62" s="4" t="inlineStr"/>
      <c r="K62" s="16">
        <f>IF(I62="","",I62*VALUE(SUBSTITUTE(J62,"%",""))/100)</f>
        <v/>
      </c>
      <c r="L62" s="4">
        <f>IF(AND(H62&lt;&gt;"",H62&lt;TODAY(),LEFT(D62,1)&lt;&gt;"7",LEFT(D62,1)&lt;&gt;"8"),"⚠️ En retard","")</f>
        <v/>
      </c>
      <c r="M62" s="6" t="inlineStr"/>
    </row>
    <row r="63">
      <c r="A63" s="9" t="n">
        <v>60</v>
      </c>
      <c r="B63" s="10" t="inlineStr"/>
      <c r="C63" s="11" t="inlineStr"/>
      <c r="D63" s="9" t="inlineStr"/>
      <c r="E63" s="11" t="inlineStr"/>
      <c r="F63" s="17" t="n"/>
      <c r="G63" s="11" t="inlineStr"/>
      <c r="H63" s="17" t="n"/>
      <c r="I63" s="18" t="n"/>
      <c r="J63" s="9" t="inlineStr"/>
      <c r="K63" s="18">
        <f>IF(I63="","",I63*VALUE(SUBSTITUTE(J63,"%",""))/100)</f>
        <v/>
      </c>
      <c r="L63" s="9">
        <f>IF(AND(H63&lt;&gt;"",H63&lt;TODAY(),LEFT(D63,1)&lt;&gt;"7",LEFT(D63,1)&lt;&gt;"8"),"⚠️ En retard","")</f>
        <v/>
      </c>
      <c r="M63" s="11" t="inlineStr"/>
    </row>
    <row r="65">
      <c r="B65" s="19" t="inlineStr">
        <is>
          <t>📊 Synthèse du pipeline</t>
        </is>
      </c>
    </row>
    <row r="66" ht="30" customHeight="1">
      <c r="A66" s="20" t="inlineStr"/>
      <c r="B66" s="3" t="inlineStr">
        <is>
          <t>Étape</t>
        </is>
      </c>
      <c r="C66" s="3" t="inlineStr">
        <is>
          <t>Nombre</t>
        </is>
      </c>
      <c r="D66" s="3" t="inlineStr">
        <is>
          <t>Montant estimé</t>
        </is>
      </c>
      <c r="E66" s="3" t="inlineStr">
        <is>
          <t>Montant pondéré</t>
        </is>
      </c>
    </row>
    <row r="67">
      <c r="B67" s="10" t="inlineStr">
        <is>
          <t>1. À contacter</t>
        </is>
      </c>
      <c r="C67" s="9">
        <f>COUNTIF($D$4:$D$63,B67)</f>
        <v/>
      </c>
      <c r="D67" s="18">
        <f>SUMIF($D$4:$D$63,B67,$I$4:$I$63)</f>
        <v/>
      </c>
      <c r="E67" s="18">
        <f>SUMIF($D$4:$D$63,B67,$K$4:$K$63)</f>
        <v/>
      </c>
    </row>
    <row r="68">
      <c r="B68" s="5" t="inlineStr">
        <is>
          <t>2. Contacté</t>
        </is>
      </c>
      <c r="C68" s="4">
        <f>COUNTIF($D$4:$D$63,B68)</f>
        <v/>
      </c>
      <c r="D68" s="16">
        <f>SUMIF($D$4:$D$63,B68,$I$4:$I$63)</f>
        <v/>
      </c>
      <c r="E68" s="16">
        <f>SUMIF($D$4:$D$63,B68,$K$4:$K$63)</f>
        <v/>
      </c>
    </row>
    <row r="69">
      <c r="B69" s="10" t="inlineStr">
        <is>
          <t>3. Rendez-vous</t>
        </is>
      </c>
      <c r="C69" s="9">
        <f>COUNTIF($D$4:$D$63,B69)</f>
        <v/>
      </c>
      <c r="D69" s="18">
        <f>SUMIF($D$4:$D$63,B69,$I$4:$I$63)</f>
        <v/>
      </c>
      <c r="E69" s="18">
        <f>SUMIF($D$4:$D$63,B69,$K$4:$K$63)</f>
        <v/>
      </c>
    </row>
    <row r="70">
      <c r="B70" s="5" t="inlineStr">
        <is>
          <t>4. Visite de site</t>
        </is>
      </c>
      <c r="C70" s="4">
        <f>COUNTIF($D$4:$D$63,B70)</f>
        <v/>
      </c>
      <c r="D70" s="16">
        <f>SUMIF($D$4:$D$63,B70,$I$4:$I$63)</f>
        <v/>
      </c>
      <c r="E70" s="16">
        <f>SUMIF($D$4:$D$63,B70,$K$4:$K$63)</f>
        <v/>
      </c>
    </row>
    <row r="71">
      <c r="B71" s="10" t="inlineStr">
        <is>
          <t>5. Offre remise</t>
        </is>
      </c>
      <c r="C71" s="9">
        <f>COUNTIF($D$4:$D$63,B71)</f>
        <v/>
      </c>
      <c r="D71" s="18">
        <f>SUMIF($D$4:$D$63,B71,$I$4:$I$63)</f>
        <v/>
      </c>
      <c r="E71" s="18">
        <f>SUMIF($D$4:$D$63,B71,$K$4:$K$63)</f>
        <v/>
      </c>
    </row>
    <row r="72">
      <c r="B72" s="5" t="inlineStr">
        <is>
          <t>6. Négociation</t>
        </is>
      </c>
      <c r="C72" s="4">
        <f>COUNTIF($D$4:$D$63,B72)</f>
        <v/>
      </c>
      <c r="D72" s="16">
        <f>SUMIF($D$4:$D$63,B72,$I$4:$I$63)</f>
        <v/>
      </c>
      <c r="E72" s="16">
        <f>SUMIF($D$4:$D$63,B72,$K$4:$K$63)</f>
        <v/>
      </c>
    </row>
    <row r="73">
      <c r="B73" s="10" t="inlineStr">
        <is>
          <t>7. Gagné</t>
        </is>
      </c>
      <c r="C73" s="9">
        <f>COUNTIF($D$4:$D$63,B73)</f>
        <v/>
      </c>
      <c r="D73" s="18">
        <f>SUMIF($D$4:$D$63,B73,$I$4:$I$63)</f>
        <v/>
      </c>
      <c r="E73" s="18">
        <f>SUMIF($D$4:$D$63,B73,$K$4:$K$63)</f>
        <v/>
      </c>
    </row>
    <row r="74">
      <c r="B74" s="5" t="inlineStr">
        <is>
          <t>8. Perdu</t>
        </is>
      </c>
      <c r="C74" s="4">
        <f>COUNTIF($D$4:$D$63,B74)</f>
        <v/>
      </c>
      <c r="D74" s="16">
        <f>SUMIF($D$4:$D$63,B74,$I$4:$I$63)</f>
        <v/>
      </c>
      <c r="E74" s="16">
        <f>SUMIF($D$4:$D$63,B74,$K$4:$K$63)</f>
        <v/>
      </c>
    </row>
    <row r="75">
      <c r="B75" s="21" t="inlineStr">
        <is>
          <t>Total</t>
        </is>
      </c>
      <c r="C75" s="21">
        <f>SUM(C67:C74)</f>
        <v/>
      </c>
      <c r="D75" s="22">
        <f>SUM(D67:D74)</f>
        <v/>
      </c>
      <c r="E75" s="22">
        <f>SUM(E67:E74)</f>
        <v/>
      </c>
    </row>
  </sheetData>
  <autoFilter ref="A3:M63"/>
  <mergeCells count="2">
    <mergeCell ref="A2:M2"/>
    <mergeCell ref="C1:M1"/>
  </mergeCells>
  <conditionalFormatting sqref="D4:D63">
    <cfRule type="expression" priority="1" dxfId="0">
      <formula>LEFT(D4,1)="7"</formula>
    </cfRule>
    <cfRule type="expression" priority="2" dxfId="1">
      <formula>LEFT(D4,1)="8"</formula>
    </cfRule>
  </conditionalFormatting>
  <conditionalFormatting sqref="L4:L63">
    <cfRule type="expression" priority="3" dxfId="2">
      <formula>L4&lt;&gt;""</formula>
    </cfRule>
  </conditionalFormatting>
  <dataValidations count="2">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1" type="list">
      <formula1>"1. À contacter,2. Contacté,3. Rendez-vous,4. Visite de site,5. Offre remise,6. Négociation,7. Gagné,8. Perdu"</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1" type="list">
      <formula1>"10%,25%,50%,75%,90%,100%,0%"</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2026-10-28T22:32:37Z</dcterms:created>
  <dcterms:modified xmlns:dcterms="http://purl.org/dc/terms/" xmlns:xsi="http://www.w3.org/2001/XMLSchema-instance" xsi:type="dcterms:W3CDTF">2026-10-28T22:32:37Z</dcterms:modified>
</cp:coreProperties>
</file>