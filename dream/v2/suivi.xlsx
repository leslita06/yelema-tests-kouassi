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Affaires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_xlnm._FilterDatabase" localSheetId="1" hidden="1">'Affaires'!$A$1:$O$61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Work Sans"/>
      <b val="1"/>
      <color rgb="00AE172A"/>
      <sz val="15"/>
    </font>
    <font>
      <name val="Work Sans"/>
      <i val="1"/>
      <color rgb="005F5F64"/>
      <sz val="9"/>
    </font>
    <font>
      <name val="Work Sans"/>
      <b val="1"/>
      <color rgb="00AE172A"/>
      <sz val="11"/>
    </font>
    <font>
      <name val="Work Sans"/>
      <color rgb="002B2A2E"/>
      <sz val="10"/>
    </font>
    <font>
      <name val="Work Sans"/>
      <b val="1"/>
      <color rgb="00FFFFFF"/>
      <sz val="10"/>
    </font>
    <font>
      <name val="Work Sans"/>
      <b val="1"/>
      <sz val="10"/>
    </font>
    <font>
      <name val="Work Sans"/>
      <sz val="10"/>
    </font>
    <font>
      <name val="Work Sans"/>
      <i val="1"/>
      <sz val="9"/>
    </font>
    <font>
      <name val="Work Sans"/>
      <b val="1"/>
      <color rgb="00AE172A"/>
    </font>
    <font>
      <name val="Work Sans"/>
      <b val="1"/>
    </font>
    <font>
      <name val="Work Sans"/>
      <sz val="9"/>
    </font>
    <font>
      <name val="Work Sans"/>
      <b val="1"/>
      <sz val="9"/>
    </font>
  </fonts>
  <fills count="5">
    <fill>
      <patternFill/>
    </fill>
    <fill>
      <patternFill patternType="gray125"/>
    </fill>
    <fill>
      <patternFill patternType="solid">
        <fgColor rgb="00AE172A"/>
      </patternFill>
    </fill>
    <fill>
      <patternFill patternType="solid">
        <fgColor rgb="00FFF6D6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left style="thin">
        <color rgb="00E3C9CC"/>
      </left>
      <right style="thin">
        <color rgb="00E3C9CC"/>
      </right>
      <top style="thin">
        <color rgb="00E3C9CC"/>
      </top>
      <bottom style="thin">
        <color rgb="00E3C9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9" fontId="7" fillId="0" borderId="1" pivotButton="0" quotePrefix="0" xfId="0"/>
    <xf numFmtId="3" fontId="6" fillId="0" borderId="1" pivotButton="0" quotePrefix="0" xfId="0"/>
    <xf numFmtId="9" fontId="6" fillId="0" borderId="1" pivotButton="0" quotePrefix="0" xfId="0"/>
    <xf numFmtId="0" fontId="3" fillId="0" borderId="0" pivotButton="0" quotePrefix="0" xfId="0"/>
    <xf numFmtId="9" fontId="7" fillId="3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3" fontId="11" fillId="0" borderId="1" applyAlignment="1" pivotButton="0" quotePrefix="0" xfId="0">
      <alignment vertical="top" wrapText="1"/>
    </xf>
    <xf numFmtId="9" fontId="11" fillId="4" borderId="1" applyAlignment="1" pivotButton="0" quotePrefix="0" xfId="0">
      <alignment vertical="top" wrapText="1"/>
    </xf>
    <xf numFmtId="3" fontId="11" fillId="4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8A1020"/>
      </font>
      <fill>
        <patternFill patternType="solid">
          <fgColor rgb="00F8C9CE"/>
        </patternFill>
      </fill>
    </dxf>
    <dxf>
      <fill>
        <patternFill patternType="solid">
          <fgColor rgb="00FDE7D3"/>
        </patternFill>
      </fill>
    </dxf>
    <dxf>
      <fill>
        <patternFill patternType="solid">
          <fgColor rgb="00DDF1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48" customHeight="1">
      <c r="B1" s="1" t="inlineStr">
        <is>
          <t>📈 Suivi des affaires de la force de vente</t>
        </is>
      </c>
    </row>
    <row r="2" ht="30" customHeight="1">
      <c r="A2" s="2" t="inlineStr">
        <is>
          <t>Modèle prêt à remplir. Une ligne par affaire, une mise à jour après chaque contact.</t>
        </is>
      </c>
    </row>
    <row r="4">
      <c r="B4" s="3" t="inlineStr">
        <is>
          <t>🧭 Comment s'en servir</t>
        </is>
      </c>
    </row>
    <row r="5">
      <c r="B5" s="4" t="inlineStr">
        <is>
          <t>1️⃣ Onglet « Affaires » : une ligne par distributeur. Les 30 prospects de la liste sont déjà inscrits à l'étape « À contacter ».</t>
        </is>
      </c>
    </row>
    <row r="6">
      <c r="B6" s="4" t="inlineStr">
        <is>
          <t>2️⃣ Après chaque appel, visite ou message : changer l'étape (liste déroulante), noter le montant estimé de la première commande, la prochaine action et sa date.</t>
        </is>
      </c>
    </row>
    <row r="7">
      <c r="B7" s="4" t="inlineStr">
        <is>
          <t>3️⃣ La colonne « Alerte » s'allume toute seule : « En retard » si la date de la prochaine action est passée, « Sans suite prévue » si aucune action n'est notée.</t>
        </is>
      </c>
    </row>
    <row r="8">
      <c r="B8" s="4" t="inlineStr">
        <is>
          <t>4️⃣ Onglet « Synthèse » : nombre d'affaires et montants par étape et par commercial, mis à jour automatiquement.</t>
        </is>
      </c>
    </row>
    <row r="9">
      <c r="B9" s="4" t="inlineStr">
        <is>
          <t>5️⃣ Onglet « Paramètres » : la liste des étapes et la probabilité de signature de chacune. Ces probabilités sont des hypothèses de départ, à ajuster après trois mois de données réelles.</t>
        </is>
      </c>
    </row>
    <row r="10">
      <c r="B10" s="4" t="inlineStr"/>
    </row>
    <row r="11">
      <c r="B11" s="3" t="inlineStr">
        <is>
          <t>🚦 Les étapes</t>
        </is>
      </c>
    </row>
    <row r="12">
      <c r="B12" s="4" t="inlineStr">
        <is>
          <t>📋 À contacter → 📞 Premier contact fait → 🤝 Rendez-vous obtenu → 🎁 Échantillons ou catalogue remis → 📄 Offre envoyée → 💬 Négociation → 🏆 Gagné (première commande) / ❌ Perdu.</t>
        </is>
      </c>
    </row>
    <row r="13">
      <c r="B13" s="4" t="inlineStr"/>
    </row>
    <row r="14">
      <c r="B14" s="3" t="inlineStr">
        <is>
          <t>⚠️ Règles de la maison à rappeler à l'équipe</t>
        </is>
      </c>
    </row>
    <row r="15">
      <c r="B15" s="4" t="inlineStr">
        <is>
          <t>Aucun prix, aucune remise et aucun délai de paiement ne sont promis sans l'accord de la direction commerciale. Les montants saisis sont des estimations du commercial, pas des engagements.</t>
        </is>
      </c>
    </row>
    <row r="16">
      <c r="B16" s="4" t="inlineStr">
        <is>
          <t>Les colonnes « Montant estimé » sont vides au départ : elles se remplissent après le premier rendez-vous.</t>
        </is>
      </c>
    </row>
  </sheetData>
  <mergeCells count="2">
    <mergeCell ref="B1"/>
    <mergeCell ref="A2:B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22" customWidth="1" min="4" max="4"/>
    <col width="10" customWidth="1" min="5" max="5"/>
    <col width="14" customWidth="1" min="6" max="6"/>
    <col width="24" customWidth="1" min="7" max="7"/>
    <col width="17" customWidth="1" min="8" max="8"/>
    <col width="11" customWidth="1" min="9" max="9"/>
    <col width="16" customWidth="1" min="10" max="10"/>
    <col width="13" customWidth="1" min="11" max="11"/>
    <col width="30" customWidth="1" min="12" max="12"/>
    <col width="13" customWidth="1" min="13" max="13"/>
    <col width="16" customWidth="1" min="14" max="14"/>
    <col width="30" customWidth="1" min="15" max="15"/>
  </cols>
  <sheetData>
    <row r="1" ht="42" customHeight="1">
      <c r="A1" s="5" t="inlineStr">
        <is>
          <t>N°</t>
        </is>
      </c>
      <c r="B1" s="5" t="inlineStr">
        <is>
          <t>🏢 Distributeur</t>
        </is>
      </c>
      <c r="C1" s="5" t="inlineStr">
        <is>
          <t>🌍 Pays</t>
        </is>
      </c>
      <c r="D1" s="5" t="inlineStr">
        <is>
          <t>🏷️ Type</t>
        </is>
      </c>
      <c r="E1" s="5" t="inlineStr">
        <is>
          <t>🎯 Priorité</t>
        </is>
      </c>
      <c r="F1" s="5" t="inlineStr">
        <is>
          <t>👤 Commercial</t>
        </is>
      </c>
      <c r="G1" s="5" t="inlineStr">
        <is>
          <t>🚦 Étape</t>
        </is>
      </c>
      <c r="H1" s="5" t="inlineStr">
        <is>
          <t>💰 Montant estimé 1re commande (F CFA)</t>
        </is>
      </c>
      <c r="I1" s="5" t="inlineStr">
        <is>
          <t>📈 Probabilité</t>
        </is>
      </c>
      <c r="J1" s="5" t="inlineStr">
        <is>
          <t>⚖️ Montant pondéré (F CFA)</t>
        </is>
      </c>
      <c r="K1" s="5" t="inlineStr">
        <is>
          <t>📅 Dernier contact</t>
        </is>
      </c>
      <c r="L1" s="5" t="inlineStr">
        <is>
          <t>➡️ Prochaine action</t>
        </is>
      </c>
      <c r="M1" s="5" t="inlineStr">
        <is>
          <t>⏰ Date prochaine action</t>
        </is>
      </c>
      <c r="N1" s="5" t="inlineStr">
        <is>
          <t>🔔 Alerte</t>
        </is>
      </c>
      <c r="O1" s="5" t="inlineStr">
        <is>
          <t>📝 Notes</t>
        </is>
      </c>
    </row>
    <row r="2">
      <c r="A2" s="19" t="n">
        <v>1</v>
      </c>
      <c r="B2" s="20" t="inlineStr">
        <is>
          <t>Groupe Prosuma (Cash Center, Sococé, Hayat, Bon Prix…)</t>
        </is>
      </c>
      <c r="C2" s="19" t="inlineStr">
        <is>
          <t>🇨🇮 Côte d'Ivoire</t>
        </is>
      </c>
      <c r="D2" s="19" t="inlineStr">
        <is>
          <t>Chaîne de supermarchés et centrale d'achats</t>
        </is>
      </c>
      <c r="E2" s="19" t="inlineStr">
        <is>
          <t>Haute</t>
        </is>
      </c>
      <c r="F2" s="19" t="n"/>
      <c r="G2" s="19" t="inlineStr">
        <is>
          <t>À contacter</t>
        </is>
      </c>
      <c r="H2" s="21" t="n"/>
      <c r="I2" s="22">
        <f>IF(G2="","",IFERROR(VLOOKUP(G2,Paramètres!$A$2:$B$9,2,FALSE),""))</f>
        <v/>
      </c>
      <c r="J2" s="23">
        <f>IF(OR(H2="",I2=""),"",H2*I2)</f>
        <v/>
      </c>
      <c r="K2" s="24" t="n"/>
      <c r="L2" s="19" t="n"/>
      <c r="M2" s="24" t="n"/>
      <c r="N2" s="25">
        <f>IF(B2="","",IF(OR(G2="Gagné (première commande)",G2="Perdu"),"Clos",IF(M2="","Sans suite prévue",IF(M2&lt;TODAY(),"En retard","À jour"))))</f>
        <v/>
      </c>
      <c r="O2" s="19" t="n"/>
    </row>
    <row r="3">
      <c r="A3" s="19" t="n">
        <v>2</v>
      </c>
      <c r="B3" s="20" t="inlineStr">
        <is>
          <t>CDCI - Compagnie de Distribution de Côte d'Ivoire</t>
        </is>
      </c>
      <c r="C3" s="19" t="inlineStr">
        <is>
          <t>🇨🇮 Côte d'Ivoire</t>
        </is>
      </c>
      <c r="D3" s="19" t="inlineStr">
        <is>
          <t>Chaîne de supermarchés et distribution</t>
        </is>
      </c>
      <c r="E3" s="19" t="inlineStr">
        <is>
          <t>Haute</t>
        </is>
      </c>
      <c r="F3" s="19" t="n"/>
      <c r="G3" s="19" t="inlineStr">
        <is>
          <t>À contacter</t>
        </is>
      </c>
      <c r="H3" s="21" t="n"/>
      <c r="I3" s="22">
        <f>IF(G3="","",IFERROR(VLOOKUP(G3,Paramètres!$A$2:$B$9,2,FALSE),""))</f>
        <v/>
      </c>
      <c r="J3" s="23">
        <f>IF(OR(H3="",I3=""),"",H3*I3)</f>
        <v/>
      </c>
      <c r="K3" s="24" t="n"/>
      <c r="L3" s="19" t="n"/>
      <c r="M3" s="24" t="n"/>
      <c r="N3" s="25">
        <f>IF(B3="","",IF(OR(G3="Gagné (première commande)",G3="Perdu"),"Clos",IF(M3="","Sans suite prévue",IF(M3&lt;TODAY(),"En retard","À jour"))))</f>
        <v/>
      </c>
      <c r="O3" s="19" t="n"/>
    </row>
    <row r="4">
      <c r="A4" s="19" t="n">
        <v>3</v>
      </c>
      <c r="B4" s="20" t="inlineStr">
        <is>
          <t>CFAO Retail (Carrefour, PlaYce)</t>
        </is>
      </c>
      <c r="C4" s="19" t="inlineStr">
        <is>
          <t>🇨🇮 Côte d'Ivoire</t>
        </is>
      </c>
      <c r="D4" s="19" t="inlineStr">
        <is>
          <t>Hypermarchés et supermarchés</t>
        </is>
      </c>
      <c r="E4" s="19" t="inlineStr">
        <is>
          <t>Haute</t>
        </is>
      </c>
      <c r="F4" s="19" t="n"/>
      <c r="G4" s="19" t="inlineStr">
        <is>
          <t>À contacter</t>
        </is>
      </c>
      <c r="H4" s="21" t="n"/>
      <c r="I4" s="22">
        <f>IF(G4="","",IFERROR(VLOOKUP(G4,Paramètres!$A$2:$B$9,2,FALSE),""))</f>
        <v/>
      </c>
      <c r="J4" s="23">
        <f>IF(OR(H4="",I4=""),"",H4*I4)</f>
        <v/>
      </c>
      <c r="K4" s="24" t="n"/>
      <c r="L4" s="19" t="n"/>
      <c r="M4" s="24" t="n"/>
      <c r="N4" s="25">
        <f>IF(B4="","",IF(OR(G4="Gagné (première commande)",G4="Perdu"),"Clos",IF(M4="","Sans suite prévue",IF(M4&lt;TODAY(),"En retard","À jour"))))</f>
        <v/>
      </c>
      <c r="O4" s="19" t="n"/>
    </row>
    <row r="5">
      <c r="A5" s="19" t="n">
        <v>4</v>
      </c>
      <c r="B5" s="20" t="inlineStr">
        <is>
          <t>Copharmed (CFAO Healthcare)</t>
        </is>
      </c>
      <c r="C5" s="19" t="inlineStr">
        <is>
          <t>🇨🇮 Côte d'Ivoire</t>
        </is>
      </c>
      <c r="D5" s="19" t="inlineStr">
        <is>
          <t>Grossiste répartiteur pharmaceutique</t>
        </is>
      </c>
      <c r="E5" s="19" t="inlineStr">
        <is>
          <t>Haute</t>
        </is>
      </c>
      <c r="F5" s="19" t="n"/>
      <c r="G5" s="19" t="inlineStr">
        <is>
          <t>À contacter</t>
        </is>
      </c>
      <c r="H5" s="21" t="n"/>
      <c r="I5" s="22">
        <f>IF(G5="","",IFERROR(VLOOKUP(G5,Paramètres!$A$2:$B$9,2,FALSE),""))</f>
        <v/>
      </c>
      <c r="J5" s="23">
        <f>IF(OR(H5="",I5=""),"",H5*I5)</f>
        <v/>
      </c>
      <c r="K5" s="24" t="n"/>
      <c r="L5" s="19" t="n"/>
      <c r="M5" s="24" t="n"/>
      <c r="N5" s="25">
        <f>IF(B5="","",IF(OR(G5="Gagné (première commande)",G5="Perdu"),"Clos",IF(M5="","Sans suite prévue",IF(M5&lt;TODAY(),"En retard","À jour"))))</f>
        <v/>
      </c>
      <c r="O5" s="19" t="n"/>
    </row>
    <row r="6">
      <c r="A6" s="19" t="n">
        <v>5</v>
      </c>
      <c r="B6" s="20" t="inlineStr">
        <is>
          <t>UbiPharm Côte d'Ivoire</t>
        </is>
      </c>
      <c r="C6" s="19" t="inlineStr">
        <is>
          <t>🇨🇮 Côte d'Ivoire</t>
        </is>
      </c>
      <c r="D6" s="19" t="inlineStr">
        <is>
          <t>Grossiste répartiteur pharmaceutique</t>
        </is>
      </c>
      <c r="E6" s="19" t="inlineStr">
        <is>
          <t>Haute</t>
        </is>
      </c>
      <c r="F6" s="19" t="n"/>
      <c r="G6" s="19" t="inlineStr">
        <is>
          <t>À contacter</t>
        </is>
      </c>
      <c r="H6" s="21" t="n"/>
      <c r="I6" s="22">
        <f>IF(G6="","",IFERROR(VLOOKUP(G6,Paramètres!$A$2:$B$9,2,FALSE),""))</f>
        <v/>
      </c>
      <c r="J6" s="23">
        <f>IF(OR(H6="",I6=""),"",H6*I6)</f>
        <v/>
      </c>
      <c r="K6" s="24" t="n"/>
      <c r="L6" s="19" t="n"/>
      <c r="M6" s="24" t="n"/>
      <c r="N6" s="25">
        <f>IF(B6="","",IF(OR(G6="Gagné (première commande)",G6="Perdu"),"Clos",IF(M6="","Sans suite prévue",IF(M6&lt;TODAY(),"En retard","À jour"))))</f>
        <v/>
      </c>
      <c r="O6" s="19" t="n"/>
    </row>
    <row r="7">
      <c r="A7" s="19" t="n">
        <v>6</v>
      </c>
      <c r="B7" s="20" t="inlineStr">
        <is>
          <t>DPCI - Distribution Pharmaceutique de Côte d'Ivoire</t>
        </is>
      </c>
      <c r="C7" s="19" t="inlineStr">
        <is>
          <t>🇨🇮 Côte d'Ivoire</t>
        </is>
      </c>
      <c r="D7" s="19" t="inlineStr">
        <is>
          <t>Grossiste répartiteur pharmaceutique</t>
        </is>
      </c>
      <c r="E7" s="19" t="inlineStr">
        <is>
          <t>Haute</t>
        </is>
      </c>
      <c r="F7" s="19" t="n"/>
      <c r="G7" s="19" t="inlineStr">
        <is>
          <t>À contacter</t>
        </is>
      </c>
      <c r="H7" s="21" t="n"/>
      <c r="I7" s="22">
        <f>IF(G7="","",IFERROR(VLOOKUP(G7,Paramètres!$A$2:$B$9,2,FALSE),""))</f>
        <v/>
      </c>
      <c r="J7" s="23">
        <f>IF(OR(H7="",I7=""),"",H7*I7)</f>
        <v/>
      </c>
      <c r="K7" s="24" t="n"/>
      <c r="L7" s="19" t="n"/>
      <c r="M7" s="24" t="n"/>
      <c r="N7" s="25">
        <f>IF(B7="","",IF(OR(G7="Gagné (première commande)",G7="Perdu"),"Clos",IF(M7="","Sans suite prévue",IF(M7&lt;TODAY(),"En retard","À jour"))))</f>
        <v/>
      </c>
      <c r="O7" s="19" t="n"/>
    </row>
    <row r="8">
      <c r="A8" s="19" t="n">
        <v>7</v>
      </c>
      <c r="B8" s="20" t="inlineStr">
        <is>
          <t>Jumia Côte d'Ivoire</t>
        </is>
      </c>
      <c r="C8" s="19" t="inlineStr">
        <is>
          <t>🇨🇮 Côte d'Ivoire</t>
        </is>
      </c>
      <c r="D8" s="19" t="inlineStr">
        <is>
          <t>Plateforme de vente en ligne</t>
        </is>
      </c>
      <c r="E8" s="19" t="inlineStr">
        <is>
          <t>Haute</t>
        </is>
      </c>
      <c r="F8" s="19" t="n"/>
      <c r="G8" s="19" t="inlineStr">
        <is>
          <t>À contacter</t>
        </is>
      </c>
      <c r="H8" s="21" t="n"/>
      <c r="I8" s="22">
        <f>IF(G8="","",IFERROR(VLOOKUP(G8,Paramètres!$A$2:$B$9,2,FALSE),""))</f>
        <v/>
      </c>
      <c r="J8" s="23">
        <f>IF(OR(H8="",I8=""),"",H8*I8)</f>
        <v/>
      </c>
      <c r="K8" s="24" t="n"/>
      <c r="L8" s="19" t="n"/>
      <c r="M8" s="24" t="n"/>
      <c r="N8" s="25">
        <f>IF(B8="","",IF(OR(G8="Gagné (première commande)",G8="Perdu"),"Clos",IF(M8="","Sans suite prévue",IF(M8&lt;TODAY(),"En retard","À jour"))))</f>
        <v/>
      </c>
      <c r="O8" s="19" t="n"/>
    </row>
    <row r="9">
      <c r="A9" s="19" t="n">
        <v>8</v>
      </c>
      <c r="B9" s="20" t="inlineStr">
        <is>
          <t>Ivoire Center</t>
        </is>
      </c>
      <c r="C9" s="19" t="inlineStr">
        <is>
          <t>🇨🇮 Côte d'Ivoire</t>
        </is>
      </c>
      <c r="D9" s="19" t="inlineStr">
        <is>
          <t>Chaîne de supermarchés</t>
        </is>
      </c>
      <c r="E9" s="19" t="inlineStr">
        <is>
          <t>Moyenne</t>
        </is>
      </c>
      <c r="F9" s="19" t="n"/>
      <c r="G9" s="19" t="inlineStr">
        <is>
          <t>À contacter</t>
        </is>
      </c>
      <c r="H9" s="21" t="n"/>
      <c r="I9" s="22">
        <f>IF(G9="","",IFERROR(VLOOKUP(G9,Paramètres!$A$2:$B$9,2,FALSE),""))</f>
        <v/>
      </c>
      <c r="J9" s="23">
        <f>IF(OR(H9="",I9=""),"",H9*I9)</f>
        <v/>
      </c>
      <c r="K9" s="24" t="n"/>
      <c r="L9" s="19" t="n"/>
      <c r="M9" s="24" t="n"/>
      <c r="N9" s="25">
        <f>IF(B9="","",IF(OR(G9="Gagné (première commande)",G9="Perdu"),"Clos",IF(M9="","Sans suite prévue",IF(M9&lt;TODAY(),"En retard","À jour"))))</f>
        <v/>
      </c>
      <c r="O9" s="19" t="n"/>
    </row>
    <row r="10">
      <c r="A10" s="19" t="n">
        <v>9</v>
      </c>
      <c r="B10" s="20" t="inlineStr">
        <is>
          <t>King Cash</t>
        </is>
      </c>
      <c r="C10" s="19" t="inlineStr">
        <is>
          <t>🇨🇮 Côte d'Ivoire</t>
        </is>
      </c>
      <c r="D10" s="19" t="inlineStr">
        <is>
          <t>Chaîne de supermarchés et cash</t>
        </is>
      </c>
      <c r="E10" s="19" t="inlineStr">
        <is>
          <t>Moyenne</t>
        </is>
      </c>
      <c r="F10" s="19" t="n"/>
      <c r="G10" s="19" t="inlineStr">
        <is>
          <t>À contacter</t>
        </is>
      </c>
      <c r="H10" s="21" t="n"/>
      <c r="I10" s="22">
        <f>IF(G10="","",IFERROR(VLOOKUP(G10,Paramètres!$A$2:$B$9,2,FALSE),""))</f>
        <v/>
      </c>
      <c r="J10" s="23">
        <f>IF(OR(H10="",I10=""),"",H10*I10)</f>
        <v/>
      </c>
      <c r="K10" s="24" t="n"/>
      <c r="L10" s="19" t="n"/>
      <c r="M10" s="24" t="n"/>
      <c r="N10" s="25">
        <f>IF(B10="","",IF(OR(G10="Gagné (première commande)",G10="Perdu"),"Clos",IF(M10="","Sans suite prévue",IF(M10&lt;TODAY(),"En retard","À jour"))))</f>
        <v/>
      </c>
      <c r="O10" s="19" t="n"/>
    </row>
    <row r="11">
      <c r="A11" s="19" t="n">
        <v>10</v>
      </c>
      <c r="B11" s="20" t="inlineStr">
        <is>
          <t>Tedis Pharma CI</t>
        </is>
      </c>
      <c r="C11" s="19" t="inlineStr">
        <is>
          <t>🇨🇮 Côte d'Ivoire</t>
        </is>
      </c>
      <c r="D11" s="19" t="inlineStr">
        <is>
          <t>Grossiste répartiteur pharmaceutique</t>
        </is>
      </c>
      <c r="E11" s="19" t="inlineStr">
        <is>
          <t>Moyenne</t>
        </is>
      </c>
      <c r="F11" s="19" t="n"/>
      <c r="G11" s="19" t="inlineStr">
        <is>
          <t>À contacter</t>
        </is>
      </c>
      <c r="H11" s="21" t="n"/>
      <c r="I11" s="22">
        <f>IF(G11="","",IFERROR(VLOOKUP(G11,Paramètres!$A$2:$B$9,2,FALSE),""))</f>
        <v/>
      </c>
      <c r="J11" s="23">
        <f>IF(OR(H11="",I11=""),"",H11*I11)</f>
        <v/>
      </c>
      <c r="K11" s="24" t="n"/>
      <c r="L11" s="19" t="n"/>
      <c r="M11" s="24" t="n"/>
      <c r="N11" s="25">
        <f>IF(B11="","",IF(OR(G11="Gagné (première commande)",G11="Perdu"),"Clos",IF(M11="","Sans suite prévue",IF(M11&lt;TODAY(),"En retard","À jour"))))</f>
        <v/>
      </c>
      <c r="O11" s="19" t="n"/>
    </row>
    <row r="12">
      <c r="A12" s="19" t="n">
        <v>11</v>
      </c>
      <c r="B12" s="20" t="inlineStr">
        <is>
          <t>Glovo Côte d'Ivoire</t>
        </is>
      </c>
      <c r="C12" s="19" t="inlineStr">
        <is>
          <t>🇨🇮 Côte d'Ivoire</t>
        </is>
      </c>
      <c r="D12" s="19" t="inlineStr">
        <is>
          <t>Livraison à la demande (supermarchés et boutiques)</t>
        </is>
      </c>
      <c r="E12" s="19" t="inlineStr">
        <is>
          <t>Moyenne</t>
        </is>
      </c>
      <c r="F12" s="19" t="n"/>
      <c r="G12" s="19" t="inlineStr">
        <is>
          <t>À contacter</t>
        </is>
      </c>
      <c r="H12" s="21" t="n"/>
      <c r="I12" s="22">
        <f>IF(G12="","",IFERROR(VLOOKUP(G12,Paramètres!$A$2:$B$9,2,FALSE),""))</f>
        <v/>
      </c>
      <c r="J12" s="23">
        <f>IF(OR(H12="",I12=""),"",H12*I12)</f>
        <v/>
      </c>
      <c r="K12" s="24" t="n"/>
      <c r="L12" s="19" t="n"/>
      <c r="M12" s="24" t="n"/>
      <c r="N12" s="25">
        <f>IF(B12="","",IF(OR(G12="Gagné (première commande)",G12="Perdu"),"Clos",IF(M12="","Sans suite prévue",IF(M12&lt;TODAY(),"En retard","À jour"))))</f>
        <v/>
      </c>
      <c r="O12" s="19" t="n"/>
    </row>
    <row r="13">
      <c r="A13" s="19" t="n">
        <v>12</v>
      </c>
      <c r="B13" s="20" t="inlineStr">
        <is>
          <t>Fabellashop</t>
        </is>
      </c>
      <c r="C13" s="19" t="inlineStr">
        <is>
          <t>🇨🇮 Côte d'Ivoire</t>
        </is>
      </c>
      <c r="D13" s="19" t="inlineStr">
        <is>
          <t>Parapharmacie et beauté en ligne</t>
        </is>
      </c>
      <c r="E13" s="19" t="inlineStr">
        <is>
          <t>Moyenne</t>
        </is>
      </c>
      <c r="F13" s="19" t="n"/>
      <c r="G13" s="19" t="inlineStr">
        <is>
          <t>À contacter</t>
        </is>
      </c>
      <c r="H13" s="21" t="n"/>
      <c r="I13" s="22">
        <f>IF(G13="","",IFERROR(VLOOKUP(G13,Paramètres!$A$2:$B$9,2,FALSE),""))</f>
        <v/>
      </c>
      <c r="J13" s="23">
        <f>IF(OR(H13="",I13=""),"",H13*I13)</f>
        <v/>
      </c>
      <c r="K13" s="24" t="n"/>
      <c r="L13" s="19" t="n"/>
      <c r="M13" s="24" t="n"/>
      <c r="N13" s="25">
        <f>IF(B13="","",IF(OR(G13="Gagné (première commande)",G13="Perdu"),"Clos",IF(M13="","Sans suite prévue",IF(M13&lt;TODAY(),"En retard","À jour"))))</f>
        <v/>
      </c>
      <c r="O13" s="19" t="n"/>
    </row>
    <row r="14">
      <c r="A14" s="19" t="n">
        <v>13</v>
      </c>
      <c r="B14" s="20" t="inlineStr">
        <is>
          <t>Laborex Côte d'Ivoire</t>
        </is>
      </c>
      <c r="C14" s="19" t="inlineStr">
        <is>
          <t>🇨🇮 Côte d'Ivoire</t>
        </is>
      </c>
      <c r="D14" s="19" t="inlineStr">
        <is>
          <t>Grossiste répartiteur pharmaceutique</t>
        </is>
      </c>
      <c r="E14" s="19" t="inlineStr">
        <is>
          <t>Basse</t>
        </is>
      </c>
      <c r="F14" s="19" t="n"/>
      <c r="G14" s="19" t="inlineStr">
        <is>
          <t>À contacter</t>
        </is>
      </c>
      <c r="H14" s="21" t="n"/>
      <c r="I14" s="22">
        <f>IF(G14="","",IFERROR(VLOOKUP(G14,Paramètres!$A$2:$B$9,2,FALSE),""))</f>
        <v/>
      </c>
      <c r="J14" s="23">
        <f>IF(OR(H14="",I14=""),"",H14*I14)</f>
        <v/>
      </c>
      <c r="K14" s="24" t="n"/>
      <c r="L14" s="19" t="n"/>
      <c r="M14" s="24" t="n"/>
      <c r="N14" s="25">
        <f>IF(B14="","",IF(OR(G14="Gagné (première commande)",G14="Perdu"),"Clos",IF(M14="","Sans suite prévue",IF(M14&lt;TODAY(),"En retard","À jour"))))</f>
        <v/>
      </c>
      <c r="O14" s="19" t="n"/>
    </row>
    <row r="15">
      <c r="A15" s="19" t="n">
        <v>14</v>
      </c>
      <c r="B15" s="20" t="inlineStr">
        <is>
          <t>Beauty Success Abidjan</t>
        </is>
      </c>
      <c r="C15" s="19" t="inlineStr">
        <is>
          <t>🇨🇮 Côte d'Ivoire</t>
        </is>
      </c>
      <c r="D15" s="19" t="inlineStr">
        <is>
          <t>Parfumerie et institut de beauté</t>
        </is>
      </c>
      <c r="E15" s="19" t="inlineStr">
        <is>
          <t>Basse</t>
        </is>
      </c>
      <c r="F15" s="19" t="n"/>
      <c r="G15" s="19" t="inlineStr">
        <is>
          <t>À contacter</t>
        </is>
      </c>
      <c r="H15" s="21" t="n"/>
      <c r="I15" s="22">
        <f>IF(G15="","",IFERROR(VLOOKUP(G15,Paramètres!$A$2:$B$9,2,FALSE),""))</f>
        <v/>
      </c>
      <c r="J15" s="23">
        <f>IF(OR(H15="",I15=""),"",H15*I15)</f>
        <v/>
      </c>
      <c r="K15" s="24" t="n"/>
      <c r="L15" s="19" t="n"/>
      <c r="M15" s="24" t="n"/>
      <c r="N15" s="25">
        <f>IF(B15="","",IF(OR(G15="Gagné (première commande)",G15="Perdu"),"Clos",IF(M15="","Sans suite prévue",IF(M15&lt;TODAY(),"En retard","À jour"))))</f>
        <v/>
      </c>
      <c r="O15" s="19" t="n"/>
    </row>
    <row r="16">
      <c r="A16" s="19" t="n">
        <v>15</v>
      </c>
      <c r="B16" s="20" t="inlineStr">
        <is>
          <t>Auchan Sénégal</t>
        </is>
      </c>
      <c r="C16" s="19" t="inlineStr">
        <is>
          <t>🇸🇳 Sénégal</t>
        </is>
      </c>
      <c r="D16" s="19" t="inlineStr">
        <is>
          <t>Chaîne de supermarchés</t>
        </is>
      </c>
      <c r="E16" s="19" t="inlineStr">
        <is>
          <t>Haute</t>
        </is>
      </c>
      <c r="F16" s="19" t="n"/>
      <c r="G16" s="19" t="inlineStr">
        <is>
          <t>À contacter</t>
        </is>
      </c>
      <c r="H16" s="21" t="n"/>
      <c r="I16" s="22">
        <f>IF(G16="","",IFERROR(VLOOKUP(G16,Paramètres!$A$2:$B$9,2,FALSE),""))</f>
        <v/>
      </c>
      <c r="J16" s="23">
        <f>IF(OR(H16="",I16=""),"",H16*I16)</f>
        <v/>
      </c>
      <c r="K16" s="24" t="n"/>
      <c r="L16" s="19" t="n"/>
      <c r="M16" s="24" t="n"/>
      <c r="N16" s="25">
        <f>IF(B16="","",IF(OR(G16="Gagné (première commande)",G16="Perdu"),"Clos",IF(M16="","Sans suite prévue",IF(M16&lt;TODAY(),"En retard","À jour"))))</f>
        <v/>
      </c>
      <c r="O16" s="19" t="n"/>
    </row>
    <row r="17">
      <c r="A17" s="19" t="n">
        <v>16</v>
      </c>
      <c r="B17" s="20" t="inlineStr">
        <is>
          <t>Groupe EDK (Carrefour Market, Supeco)</t>
        </is>
      </c>
      <c r="C17" s="19" t="inlineStr">
        <is>
          <t>🇸🇳 Sénégal</t>
        </is>
      </c>
      <c r="D17" s="19" t="inlineStr">
        <is>
          <t>Chaîne de supermarchés</t>
        </is>
      </c>
      <c r="E17" s="19" t="inlineStr">
        <is>
          <t>Haute</t>
        </is>
      </c>
      <c r="F17" s="19" t="n"/>
      <c r="G17" s="19" t="inlineStr">
        <is>
          <t>À contacter</t>
        </is>
      </c>
      <c r="H17" s="21" t="n"/>
      <c r="I17" s="22">
        <f>IF(G17="","",IFERROR(VLOOKUP(G17,Paramètres!$A$2:$B$9,2,FALSE),""))</f>
        <v/>
      </c>
      <c r="J17" s="23">
        <f>IF(OR(H17="",I17=""),"",H17*I17)</f>
        <v/>
      </c>
      <c r="K17" s="24" t="n"/>
      <c r="L17" s="19" t="n"/>
      <c r="M17" s="24" t="n"/>
      <c r="N17" s="25">
        <f>IF(B17="","",IF(OR(G17="Gagné (première commande)",G17="Perdu"),"Clos",IF(M17="","Sans suite prévue",IF(M17&lt;TODAY(),"En retard","À jour"))))</f>
        <v/>
      </c>
      <c r="O17" s="19" t="n"/>
    </row>
    <row r="18">
      <c r="A18" s="19" t="n">
        <v>17</v>
      </c>
      <c r="B18" s="20" t="inlineStr">
        <is>
          <t>Laborex Sénégal (CFAO Healthcare)</t>
        </is>
      </c>
      <c r="C18" s="19" t="inlineStr">
        <is>
          <t>🇸🇳 Sénégal</t>
        </is>
      </c>
      <c r="D18" s="19" t="inlineStr">
        <is>
          <t>Grossiste répartiteur pharmaceutique</t>
        </is>
      </c>
      <c r="E18" s="19" t="inlineStr">
        <is>
          <t>Haute</t>
        </is>
      </c>
      <c r="F18" s="19" t="n"/>
      <c r="G18" s="19" t="inlineStr">
        <is>
          <t>À contacter</t>
        </is>
      </c>
      <c r="H18" s="21" t="n"/>
      <c r="I18" s="22">
        <f>IF(G18="","",IFERROR(VLOOKUP(G18,Paramètres!$A$2:$B$9,2,FALSE),""))</f>
        <v/>
      </c>
      <c r="J18" s="23">
        <f>IF(OR(H18="",I18=""),"",H18*I18)</f>
        <v/>
      </c>
      <c r="K18" s="24" t="n"/>
      <c r="L18" s="19" t="n"/>
      <c r="M18" s="24" t="n"/>
      <c r="N18" s="25">
        <f>IF(B18="","",IF(OR(G18="Gagné (première commande)",G18="Perdu"),"Clos",IF(M18="","Sans suite prévue",IF(M18&lt;TODAY(),"En retard","À jour"))))</f>
        <v/>
      </c>
      <c r="O18" s="19" t="n"/>
    </row>
    <row r="19">
      <c r="A19" s="19" t="n">
        <v>18</v>
      </c>
      <c r="B19" s="20" t="inlineStr">
        <is>
          <t>Casino Supermarchés Sénégal</t>
        </is>
      </c>
      <c r="C19" s="19" t="inlineStr">
        <is>
          <t>🇸🇳 Sénégal</t>
        </is>
      </c>
      <c r="D19" s="19" t="inlineStr">
        <is>
          <t>Chaîne de supermarchés</t>
        </is>
      </c>
      <c r="E19" s="19" t="inlineStr">
        <is>
          <t>Moyenne</t>
        </is>
      </c>
      <c r="F19" s="19" t="n"/>
      <c r="G19" s="19" t="inlineStr">
        <is>
          <t>À contacter</t>
        </is>
      </c>
      <c r="H19" s="21" t="n"/>
      <c r="I19" s="22">
        <f>IF(G19="","",IFERROR(VLOOKUP(G19,Paramètres!$A$2:$B$9,2,FALSE),""))</f>
        <v/>
      </c>
      <c r="J19" s="23">
        <f>IF(OR(H19="",I19=""),"",H19*I19)</f>
        <v/>
      </c>
      <c r="K19" s="24" t="n"/>
      <c r="L19" s="19" t="n"/>
      <c r="M19" s="24" t="n"/>
      <c r="N19" s="25">
        <f>IF(B19="","",IF(OR(G19="Gagné (première commande)",G19="Perdu"),"Clos",IF(M19="","Sans suite prévue",IF(M19&lt;TODAY(),"En retard","À jour"))))</f>
        <v/>
      </c>
      <c r="O19" s="19" t="n"/>
    </row>
    <row r="20">
      <c r="A20" s="19" t="n">
        <v>19</v>
      </c>
      <c r="B20" s="20" t="inlineStr">
        <is>
          <t>Duopharm</t>
        </is>
      </c>
      <c r="C20" s="19" t="inlineStr">
        <is>
          <t>🇸🇳 Sénégal</t>
        </is>
      </c>
      <c r="D20" s="19" t="inlineStr">
        <is>
          <t>Grossiste répartiteur pharmaceutique et parapharmaceutique</t>
        </is>
      </c>
      <c r="E20" s="19" t="inlineStr">
        <is>
          <t>Moyenne</t>
        </is>
      </c>
      <c r="F20" s="19" t="n"/>
      <c r="G20" s="19" t="inlineStr">
        <is>
          <t>À contacter</t>
        </is>
      </c>
      <c r="H20" s="21" t="n"/>
      <c r="I20" s="22">
        <f>IF(G20="","",IFERROR(VLOOKUP(G20,Paramètres!$A$2:$B$9,2,FALSE),""))</f>
        <v/>
      </c>
      <c r="J20" s="23">
        <f>IF(OR(H20="",I20=""),"",H20*I20)</f>
        <v/>
      </c>
      <c r="K20" s="24" t="n"/>
      <c r="L20" s="19" t="n"/>
      <c r="M20" s="24" t="n"/>
      <c r="N20" s="25">
        <f>IF(B20="","",IF(OR(G20="Gagné (première commande)",G20="Perdu"),"Clos",IF(M20="","Sans suite prévue",IF(M20&lt;TODAY(),"En retard","À jour"))))</f>
        <v/>
      </c>
      <c r="O20" s="19" t="n"/>
    </row>
    <row r="21">
      <c r="A21" s="19" t="n">
        <v>20</v>
      </c>
      <c r="B21" s="20" t="inlineStr">
        <is>
          <t>Marina Market</t>
        </is>
      </c>
      <c r="C21" s="19" t="inlineStr">
        <is>
          <t>🇧🇫 Burkina Faso</t>
        </is>
      </c>
      <c r="D21" s="19" t="inlineStr">
        <is>
          <t>Chaîne de supermarchés</t>
        </is>
      </c>
      <c r="E21" s="19" t="inlineStr">
        <is>
          <t>Haute</t>
        </is>
      </c>
      <c r="F21" s="19" t="n"/>
      <c r="G21" s="19" t="inlineStr">
        <is>
          <t>À contacter</t>
        </is>
      </c>
      <c r="H21" s="21" t="n"/>
      <c r="I21" s="22">
        <f>IF(G21="","",IFERROR(VLOOKUP(G21,Paramètres!$A$2:$B$9,2,FALSE),""))</f>
        <v/>
      </c>
      <c r="J21" s="23">
        <f>IF(OR(H21="",I21=""),"",H21*I21)</f>
        <v/>
      </c>
      <c r="K21" s="24" t="n"/>
      <c r="L21" s="19" t="n"/>
      <c r="M21" s="24" t="n"/>
      <c r="N21" s="25">
        <f>IF(B21="","",IF(OR(G21="Gagné (première commande)",G21="Perdu"),"Clos",IF(M21="","Sans suite prévue",IF(M21&lt;TODAY(),"En retard","À jour"))))</f>
        <v/>
      </c>
      <c r="O21" s="19" t="n"/>
    </row>
    <row r="22">
      <c r="A22" s="19" t="n">
        <v>21</v>
      </c>
      <c r="B22" s="20" t="inlineStr">
        <is>
          <t>Laborex Burkina (CFAO Healthcare)</t>
        </is>
      </c>
      <c r="C22" s="19" t="inlineStr">
        <is>
          <t>🇧🇫 Burkina Faso</t>
        </is>
      </c>
      <c r="D22" s="19" t="inlineStr">
        <is>
          <t>Grossiste répartiteur pharmaceutique</t>
        </is>
      </c>
      <c r="E22" s="19" t="inlineStr">
        <is>
          <t>Moyenne</t>
        </is>
      </c>
      <c r="F22" s="19" t="n"/>
      <c r="G22" s="19" t="inlineStr">
        <is>
          <t>À contacter</t>
        </is>
      </c>
      <c r="H22" s="21" t="n"/>
      <c r="I22" s="22">
        <f>IF(G22="","",IFERROR(VLOOKUP(G22,Paramètres!$A$2:$B$9,2,FALSE),""))</f>
        <v/>
      </c>
      <c r="J22" s="23">
        <f>IF(OR(H22="",I22=""),"",H22*I22)</f>
        <v/>
      </c>
      <c r="K22" s="24" t="n"/>
      <c r="L22" s="19" t="n"/>
      <c r="M22" s="24" t="n"/>
      <c r="N22" s="25">
        <f>IF(B22="","",IF(OR(G22="Gagné (première commande)",G22="Perdu"),"Clos",IF(M22="","Sans suite prévue",IF(M22&lt;TODAY(),"En retard","À jour"))))</f>
        <v/>
      </c>
      <c r="O22" s="19" t="n"/>
    </row>
    <row r="23">
      <c r="A23" s="19" t="n">
        <v>22</v>
      </c>
      <c r="B23" s="20" t="inlineStr">
        <is>
          <t>Laborex Mali (CFAO Healthcare)</t>
        </is>
      </c>
      <c r="C23" s="19" t="inlineStr">
        <is>
          <t>🇲🇱 Mali</t>
        </is>
      </c>
      <c r="D23" s="19" t="inlineStr">
        <is>
          <t>Grossiste répartiteur pharmaceutique</t>
        </is>
      </c>
      <c r="E23" s="19" t="inlineStr">
        <is>
          <t>Moyenne</t>
        </is>
      </c>
      <c r="F23" s="19" t="n"/>
      <c r="G23" s="19" t="inlineStr">
        <is>
          <t>À contacter</t>
        </is>
      </c>
      <c r="H23" s="21" t="n"/>
      <c r="I23" s="22">
        <f>IF(G23="","",IFERROR(VLOOKUP(G23,Paramètres!$A$2:$B$9,2,FALSE),""))</f>
        <v/>
      </c>
      <c r="J23" s="23">
        <f>IF(OR(H23="",I23=""),"",H23*I23)</f>
        <v/>
      </c>
      <c r="K23" s="24" t="n"/>
      <c r="L23" s="19" t="n"/>
      <c r="M23" s="24" t="n"/>
      <c r="N23" s="25">
        <f>IF(B23="","",IF(OR(G23="Gagné (première commande)",G23="Perdu"),"Clos",IF(M23="","Sans suite prévue",IF(M23&lt;TODAY(),"En retard","À jour"))))</f>
        <v/>
      </c>
      <c r="O23" s="19" t="n"/>
    </row>
    <row r="24">
      <c r="A24" s="19" t="n">
        <v>23</v>
      </c>
      <c r="B24" s="20" t="inlineStr">
        <is>
          <t>CIM Market</t>
        </is>
      </c>
      <c r="C24" s="19" t="inlineStr">
        <is>
          <t>🇲🇱 Mali</t>
        </is>
      </c>
      <c r="D24" s="19" t="inlineStr">
        <is>
          <t>Chaîne de supermarchés</t>
        </is>
      </c>
      <c r="E24" s="19" t="inlineStr">
        <is>
          <t>Moyenne</t>
        </is>
      </c>
      <c r="F24" s="19" t="n"/>
      <c r="G24" s="19" t="inlineStr">
        <is>
          <t>À contacter</t>
        </is>
      </c>
      <c r="H24" s="21" t="n"/>
      <c r="I24" s="22">
        <f>IF(G24="","",IFERROR(VLOOKUP(G24,Paramètres!$A$2:$B$9,2,FALSE),""))</f>
        <v/>
      </c>
      <c r="J24" s="23">
        <f>IF(OR(H24="",I24=""),"",H24*I24)</f>
        <v/>
      </c>
      <c r="K24" s="24" t="n"/>
      <c r="L24" s="19" t="n"/>
      <c r="M24" s="24" t="n"/>
      <c r="N24" s="25">
        <f>IF(B24="","",IF(OR(G24="Gagné (première commande)",G24="Perdu"),"Clos",IF(M24="","Sans suite prévue",IF(M24&lt;TODAY(),"En retard","À jour"))))</f>
        <v/>
      </c>
      <c r="O24" s="19" t="n"/>
    </row>
    <row r="25">
      <c r="A25" s="19" t="n">
        <v>24</v>
      </c>
      <c r="B25" s="20" t="inlineStr">
        <is>
          <t>Ramco SA (Superamco)</t>
        </is>
      </c>
      <c r="C25" s="19" t="inlineStr">
        <is>
          <t>🇹🇬 Togo</t>
        </is>
      </c>
      <c r="D25" s="19" t="inlineStr">
        <is>
          <t>Supermarchés et distribution</t>
        </is>
      </c>
      <c r="E25" s="19" t="inlineStr">
        <is>
          <t>Haute</t>
        </is>
      </c>
      <c r="F25" s="19" t="n"/>
      <c r="G25" s="19" t="inlineStr">
        <is>
          <t>À contacter</t>
        </is>
      </c>
      <c r="H25" s="21" t="n"/>
      <c r="I25" s="22">
        <f>IF(G25="","",IFERROR(VLOOKUP(G25,Paramètres!$A$2:$B$9,2,FALSE),""))</f>
        <v/>
      </c>
      <c r="J25" s="23">
        <f>IF(OR(H25="",I25=""),"",H25*I25)</f>
        <v/>
      </c>
      <c r="K25" s="24" t="n"/>
      <c r="L25" s="19" t="n"/>
      <c r="M25" s="24" t="n"/>
      <c r="N25" s="25">
        <f>IF(B25="","",IF(OR(G25="Gagné (première commande)",G25="Perdu"),"Clos",IF(M25="","Sans suite prévue",IF(M25&lt;TODAY(),"En retard","À jour"))))</f>
        <v/>
      </c>
      <c r="O25" s="19" t="n"/>
    </row>
    <row r="26">
      <c r="A26" s="19" t="n">
        <v>25</v>
      </c>
      <c r="B26" s="20" t="inlineStr">
        <is>
          <t>Groupe Le Champion</t>
        </is>
      </c>
      <c r="C26" s="19" t="inlineStr">
        <is>
          <t>🇹🇬 Togo</t>
        </is>
      </c>
      <c r="D26" s="19" t="inlineStr">
        <is>
          <t>Chaîne de supermarchés</t>
        </is>
      </c>
      <c r="E26" s="19" t="inlineStr">
        <is>
          <t>Moyenne</t>
        </is>
      </c>
      <c r="F26" s="19" t="n"/>
      <c r="G26" s="19" t="inlineStr">
        <is>
          <t>À contacter</t>
        </is>
      </c>
      <c r="H26" s="21" t="n"/>
      <c r="I26" s="22">
        <f>IF(G26="","",IFERROR(VLOOKUP(G26,Paramètres!$A$2:$B$9,2,FALSE),""))</f>
        <v/>
      </c>
      <c r="J26" s="23">
        <f>IF(OR(H26="",I26=""),"",H26*I26)</f>
        <v/>
      </c>
      <c r="K26" s="24" t="n"/>
      <c r="L26" s="19" t="n"/>
      <c r="M26" s="24" t="n"/>
      <c r="N26" s="25">
        <f>IF(B26="","",IF(OR(G26="Gagné (première commande)",G26="Perdu"),"Clos",IF(M26="","Sans suite prévue",IF(M26&lt;TODAY(),"En retard","À jour"))))</f>
        <v/>
      </c>
      <c r="O26" s="19" t="n"/>
    </row>
    <row r="27">
      <c r="A27" s="19" t="n">
        <v>26</v>
      </c>
      <c r="B27" s="20" t="inlineStr">
        <is>
          <t>Supermarchés Mont Sinaï</t>
        </is>
      </c>
      <c r="C27" s="19" t="inlineStr">
        <is>
          <t>🇧🇯 Bénin</t>
        </is>
      </c>
      <c r="D27" s="19" t="inlineStr">
        <is>
          <t>Chaîne de supermarchés</t>
        </is>
      </c>
      <c r="E27" s="19" t="inlineStr">
        <is>
          <t>Moyenne</t>
        </is>
      </c>
      <c r="F27" s="19" t="n"/>
      <c r="G27" s="19" t="inlineStr">
        <is>
          <t>À contacter</t>
        </is>
      </c>
      <c r="H27" s="21" t="n"/>
      <c r="I27" s="22">
        <f>IF(G27="","",IFERROR(VLOOKUP(G27,Paramètres!$A$2:$B$9,2,FALSE),""))</f>
        <v/>
      </c>
      <c r="J27" s="23">
        <f>IF(OR(H27="",I27=""),"",H27*I27)</f>
        <v/>
      </c>
      <c r="K27" s="24" t="n"/>
      <c r="L27" s="19" t="n"/>
      <c r="M27" s="24" t="n"/>
      <c r="N27" s="25">
        <f>IF(B27="","",IF(OR(G27="Gagné (première commande)",G27="Perdu"),"Clos",IF(M27="","Sans suite prévue",IF(M27&lt;TODAY(),"En retard","À jour"))))</f>
        <v/>
      </c>
      <c r="O27" s="19" t="n"/>
    </row>
    <row r="28">
      <c r="A28" s="19" t="n">
        <v>27</v>
      </c>
      <c r="B28" s="20" t="inlineStr">
        <is>
          <t>Erevan Bénin (Super U)</t>
        </is>
      </c>
      <c r="C28" s="19" t="inlineStr">
        <is>
          <t>🇧🇯 Bénin</t>
        </is>
      </c>
      <c r="D28" s="19" t="inlineStr">
        <is>
          <t>Hypermarché et supermarchés</t>
        </is>
      </c>
      <c r="E28" s="19" t="inlineStr">
        <is>
          <t>Moyenne</t>
        </is>
      </c>
      <c r="F28" s="19" t="n"/>
      <c r="G28" s="19" t="inlineStr">
        <is>
          <t>À contacter</t>
        </is>
      </c>
      <c r="H28" s="21" t="n"/>
      <c r="I28" s="22">
        <f>IF(G28="","",IFERROR(VLOOKUP(G28,Paramètres!$A$2:$B$9,2,FALSE),""))</f>
        <v/>
      </c>
      <c r="J28" s="23">
        <f>IF(OR(H28="",I28=""),"",H28*I28)</f>
        <v/>
      </c>
      <c r="K28" s="24" t="n"/>
      <c r="L28" s="19" t="n"/>
      <c r="M28" s="24" t="n"/>
      <c r="N28" s="25">
        <f>IF(B28="","",IF(OR(G28="Gagné (première commande)",G28="Perdu"),"Clos",IF(M28="","Sans suite prévue",IF(M28&lt;TODAY(),"En retard","À jour"))))</f>
        <v/>
      </c>
      <c r="O28" s="19" t="n"/>
    </row>
    <row r="29">
      <c r="A29" s="19" t="n">
        <v>28</v>
      </c>
      <c r="B29" s="20" t="inlineStr">
        <is>
          <t>UbiPharm Bénin</t>
        </is>
      </c>
      <c r="C29" s="19" t="inlineStr">
        <is>
          <t>🇧🇯 Bénin</t>
        </is>
      </c>
      <c r="D29" s="19" t="inlineStr">
        <is>
          <t>Grossiste répartiteur pharmaceutique</t>
        </is>
      </c>
      <c r="E29" s="19" t="inlineStr">
        <is>
          <t>Moyenne</t>
        </is>
      </c>
      <c r="F29" s="19" t="n"/>
      <c r="G29" s="19" t="inlineStr">
        <is>
          <t>À contacter</t>
        </is>
      </c>
      <c r="H29" s="21" t="n"/>
      <c r="I29" s="22">
        <f>IF(G29="","",IFERROR(VLOOKUP(G29,Paramètres!$A$2:$B$9,2,FALSE),""))</f>
        <v/>
      </c>
      <c r="J29" s="23">
        <f>IF(OR(H29="",I29=""),"",H29*I29)</f>
        <v/>
      </c>
      <c r="K29" s="24" t="n"/>
      <c r="L29" s="19" t="n"/>
      <c r="M29" s="24" t="n"/>
      <c r="N29" s="25">
        <f>IF(B29="","",IF(OR(G29="Gagné (première commande)",G29="Perdu"),"Clos",IF(M29="","Sans suite prévue",IF(M29&lt;TODAY(),"En retard","À jour"))))</f>
        <v/>
      </c>
      <c r="O29" s="19" t="n"/>
    </row>
    <row r="30">
      <c r="A30" s="19" t="n">
        <v>29</v>
      </c>
      <c r="B30" s="20" t="inlineStr">
        <is>
          <t>Impérial Corporation Guinée (Carrefour Market Conakry)</t>
        </is>
      </c>
      <c r="C30" s="19" t="inlineStr">
        <is>
          <t>🇬🇳 Guinée</t>
        </is>
      </c>
      <c r="D30" s="19" t="inlineStr">
        <is>
          <t>Supermarché (franchise Carrefour)</t>
        </is>
      </c>
      <c r="E30" s="19" t="inlineStr">
        <is>
          <t>Haute</t>
        </is>
      </c>
      <c r="F30" s="19" t="n"/>
      <c r="G30" s="19" t="inlineStr">
        <is>
          <t>À contacter</t>
        </is>
      </c>
      <c r="H30" s="21" t="n"/>
      <c r="I30" s="22">
        <f>IF(G30="","",IFERROR(VLOOKUP(G30,Paramètres!$A$2:$B$9,2,FALSE),""))</f>
        <v/>
      </c>
      <c r="J30" s="23">
        <f>IF(OR(H30="",I30=""),"",H30*I30)</f>
        <v/>
      </c>
      <c r="K30" s="24" t="n"/>
      <c r="L30" s="19" t="n"/>
      <c r="M30" s="24" t="n"/>
      <c r="N30" s="25">
        <f>IF(B30="","",IF(OR(G30="Gagné (première commande)",G30="Perdu"),"Clos",IF(M30="","Sans suite prévue",IF(M30&lt;TODAY(),"En retard","À jour"))))</f>
        <v/>
      </c>
      <c r="O30" s="19" t="n"/>
    </row>
    <row r="31">
      <c r="A31" s="19" t="n">
        <v>30</v>
      </c>
      <c r="B31" s="20" t="inlineStr">
        <is>
          <t>Laborex Guinée (CFAO Healthcare)</t>
        </is>
      </c>
      <c r="C31" s="19" t="inlineStr">
        <is>
          <t>🇬🇳 Guinée</t>
        </is>
      </c>
      <c r="D31" s="19" t="inlineStr">
        <is>
          <t>Grossiste répartiteur pharmaceutique</t>
        </is>
      </c>
      <c r="E31" s="19" t="inlineStr">
        <is>
          <t>Moyenne</t>
        </is>
      </c>
      <c r="F31" s="19" t="n"/>
      <c r="G31" s="19" t="inlineStr">
        <is>
          <t>À contacter</t>
        </is>
      </c>
      <c r="H31" s="21" t="n"/>
      <c r="I31" s="22">
        <f>IF(G31="","",IFERROR(VLOOKUP(G31,Paramètres!$A$2:$B$9,2,FALSE),""))</f>
        <v/>
      </c>
      <c r="J31" s="23">
        <f>IF(OR(H31="",I31=""),"",H31*I31)</f>
        <v/>
      </c>
      <c r="K31" s="24" t="n"/>
      <c r="L31" s="19" t="n"/>
      <c r="M31" s="24" t="n"/>
      <c r="N31" s="25">
        <f>IF(B31="","",IF(OR(G31="Gagné (première commande)",G31="Perdu"),"Clos",IF(M31="","Sans suite prévue",IF(M31&lt;TODAY(),"En retard","À jour"))))</f>
        <v/>
      </c>
      <c r="O31" s="19" t="n"/>
    </row>
    <row r="32">
      <c r="A32" s="19" t="n">
        <v>31</v>
      </c>
      <c r="B32" s="20" t="n"/>
      <c r="C32" s="19" t="n"/>
      <c r="D32" s="19" t="n"/>
      <c r="E32" s="19" t="n"/>
      <c r="F32" s="19" t="n"/>
      <c r="G32" s="19" t="n"/>
      <c r="H32" s="21" t="n"/>
      <c r="I32" s="22">
        <f>IF(G32="","",IFERROR(VLOOKUP(G32,Paramètres!$A$2:$B$9,2,FALSE),""))</f>
        <v/>
      </c>
      <c r="J32" s="23">
        <f>IF(OR(H32="",I32=""),"",H32*I32)</f>
        <v/>
      </c>
      <c r="K32" s="24" t="n"/>
      <c r="L32" s="19" t="n"/>
      <c r="M32" s="24" t="n"/>
      <c r="N32" s="25">
        <f>IF(B32="","",IF(OR(G32="Gagné (première commande)",G32="Perdu"),"Clos",IF(M32="","Sans suite prévue",IF(M32&lt;TODAY(),"En retard","À jour"))))</f>
        <v/>
      </c>
      <c r="O32" s="19" t="n"/>
    </row>
    <row r="33">
      <c r="A33" s="19" t="n">
        <v>32</v>
      </c>
      <c r="B33" s="20" t="n"/>
      <c r="C33" s="19" t="n"/>
      <c r="D33" s="19" t="n"/>
      <c r="E33" s="19" t="n"/>
      <c r="F33" s="19" t="n"/>
      <c r="G33" s="19" t="n"/>
      <c r="H33" s="21" t="n"/>
      <c r="I33" s="22">
        <f>IF(G33="","",IFERROR(VLOOKUP(G33,Paramètres!$A$2:$B$9,2,FALSE),""))</f>
        <v/>
      </c>
      <c r="J33" s="23">
        <f>IF(OR(H33="",I33=""),"",H33*I33)</f>
        <v/>
      </c>
      <c r="K33" s="24" t="n"/>
      <c r="L33" s="19" t="n"/>
      <c r="M33" s="24" t="n"/>
      <c r="N33" s="25">
        <f>IF(B33="","",IF(OR(G33="Gagné (première commande)",G33="Perdu"),"Clos",IF(M33="","Sans suite prévue",IF(M33&lt;TODAY(),"En retard","À jour"))))</f>
        <v/>
      </c>
      <c r="O33" s="19" t="n"/>
    </row>
    <row r="34">
      <c r="A34" s="19" t="n">
        <v>33</v>
      </c>
      <c r="B34" s="20" t="n"/>
      <c r="C34" s="19" t="n"/>
      <c r="D34" s="19" t="n"/>
      <c r="E34" s="19" t="n"/>
      <c r="F34" s="19" t="n"/>
      <c r="G34" s="19" t="n"/>
      <c r="H34" s="21" t="n"/>
      <c r="I34" s="22">
        <f>IF(G34="","",IFERROR(VLOOKUP(G34,Paramètres!$A$2:$B$9,2,FALSE),""))</f>
        <v/>
      </c>
      <c r="J34" s="23">
        <f>IF(OR(H34="",I34=""),"",H34*I34)</f>
        <v/>
      </c>
      <c r="K34" s="24" t="n"/>
      <c r="L34" s="19" t="n"/>
      <c r="M34" s="24" t="n"/>
      <c r="N34" s="25">
        <f>IF(B34="","",IF(OR(G34="Gagné (première commande)",G34="Perdu"),"Clos",IF(M34="","Sans suite prévue",IF(M34&lt;TODAY(),"En retard","À jour"))))</f>
        <v/>
      </c>
      <c r="O34" s="19" t="n"/>
    </row>
    <row r="35">
      <c r="A35" s="19" t="n">
        <v>34</v>
      </c>
      <c r="B35" s="20" t="n"/>
      <c r="C35" s="19" t="n"/>
      <c r="D35" s="19" t="n"/>
      <c r="E35" s="19" t="n"/>
      <c r="F35" s="19" t="n"/>
      <c r="G35" s="19" t="n"/>
      <c r="H35" s="21" t="n"/>
      <c r="I35" s="22">
        <f>IF(G35="","",IFERROR(VLOOKUP(G35,Paramètres!$A$2:$B$9,2,FALSE),""))</f>
        <v/>
      </c>
      <c r="J35" s="23">
        <f>IF(OR(H35="",I35=""),"",H35*I35)</f>
        <v/>
      </c>
      <c r="K35" s="24" t="n"/>
      <c r="L35" s="19" t="n"/>
      <c r="M35" s="24" t="n"/>
      <c r="N35" s="25">
        <f>IF(B35="","",IF(OR(G35="Gagné (première commande)",G35="Perdu"),"Clos",IF(M35="","Sans suite prévue",IF(M35&lt;TODAY(),"En retard","À jour"))))</f>
        <v/>
      </c>
      <c r="O35" s="19" t="n"/>
    </row>
    <row r="36">
      <c r="A36" s="19" t="n">
        <v>35</v>
      </c>
      <c r="B36" s="20" t="n"/>
      <c r="C36" s="19" t="n"/>
      <c r="D36" s="19" t="n"/>
      <c r="E36" s="19" t="n"/>
      <c r="F36" s="19" t="n"/>
      <c r="G36" s="19" t="n"/>
      <c r="H36" s="21" t="n"/>
      <c r="I36" s="22">
        <f>IF(G36="","",IFERROR(VLOOKUP(G36,Paramètres!$A$2:$B$9,2,FALSE),""))</f>
        <v/>
      </c>
      <c r="J36" s="23">
        <f>IF(OR(H36="",I36=""),"",H36*I36)</f>
        <v/>
      </c>
      <c r="K36" s="24" t="n"/>
      <c r="L36" s="19" t="n"/>
      <c r="M36" s="24" t="n"/>
      <c r="N36" s="25">
        <f>IF(B36="","",IF(OR(G36="Gagné (première commande)",G36="Perdu"),"Clos",IF(M36="","Sans suite prévue",IF(M36&lt;TODAY(),"En retard","À jour"))))</f>
        <v/>
      </c>
      <c r="O36" s="19" t="n"/>
    </row>
    <row r="37">
      <c r="A37" s="19" t="n">
        <v>36</v>
      </c>
      <c r="B37" s="20" t="n"/>
      <c r="C37" s="19" t="n"/>
      <c r="D37" s="19" t="n"/>
      <c r="E37" s="19" t="n"/>
      <c r="F37" s="19" t="n"/>
      <c r="G37" s="19" t="n"/>
      <c r="H37" s="21" t="n"/>
      <c r="I37" s="22">
        <f>IF(G37="","",IFERROR(VLOOKUP(G37,Paramètres!$A$2:$B$9,2,FALSE),""))</f>
        <v/>
      </c>
      <c r="J37" s="23">
        <f>IF(OR(H37="",I37=""),"",H37*I37)</f>
        <v/>
      </c>
      <c r="K37" s="24" t="n"/>
      <c r="L37" s="19" t="n"/>
      <c r="M37" s="24" t="n"/>
      <c r="N37" s="25">
        <f>IF(B37="","",IF(OR(G37="Gagné (première commande)",G37="Perdu"),"Clos",IF(M37="","Sans suite prévue",IF(M37&lt;TODAY(),"En retard","À jour"))))</f>
        <v/>
      </c>
      <c r="O37" s="19" t="n"/>
    </row>
    <row r="38">
      <c r="A38" s="19" t="n">
        <v>37</v>
      </c>
      <c r="B38" s="20" t="n"/>
      <c r="C38" s="19" t="n"/>
      <c r="D38" s="19" t="n"/>
      <c r="E38" s="19" t="n"/>
      <c r="F38" s="19" t="n"/>
      <c r="G38" s="19" t="n"/>
      <c r="H38" s="21" t="n"/>
      <c r="I38" s="22">
        <f>IF(G38="","",IFERROR(VLOOKUP(G38,Paramètres!$A$2:$B$9,2,FALSE),""))</f>
        <v/>
      </c>
      <c r="J38" s="23">
        <f>IF(OR(H38="",I38=""),"",H38*I38)</f>
        <v/>
      </c>
      <c r="K38" s="24" t="n"/>
      <c r="L38" s="19" t="n"/>
      <c r="M38" s="24" t="n"/>
      <c r="N38" s="25">
        <f>IF(B38="","",IF(OR(G38="Gagné (première commande)",G38="Perdu"),"Clos",IF(M38="","Sans suite prévue",IF(M38&lt;TODAY(),"En retard","À jour"))))</f>
        <v/>
      </c>
      <c r="O38" s="19" t="n"/>
    </row>
    <row r="39">
      <c r="A39" s="19" t="n">
        <v>38</v>
      </c>
      <c r="B39" s="20" t="n"/>
      <c r="C39" s="19" t="n"/>
      <c r="D39" s="19" t="n"/>
      <c r="E39" s="19" t="n"/>
      <c r="F39" s="19" t="n"/>
      <c r="G39" s="19" t="n"/>
      <c r="H39" s="21" t="n"/>
      <c r="I39" s="22">
        <f>IF(G39="","",IFERROR(VLOOKUP(G39,Paramètres!$A$2:$B$9,2,FALSE),""))</f>
        <v/>
      </c>
      <c r="J39" s="23">
        <f>IF(OR(H39="",I39=""),"",H39*I39)</f>
        <v/>
      </c>
      <c r="K39" s="24" t="n"/>
      <c r="L39" s="19" t="n"/>
      <c r="M39" s="24" t="n"/>
      <c r="N39" s="25">
        <f>IF(B39="","",IF(OR(G39="Gagné (première commande)",G39="Perdu"),"Clos",IF(M39="","Sans suite prévue",IF(M39&lt;TODAY(),"En retard","À jour"))))</f>
        <v/>
      </c>
      <c r="O39" s="19" t="n"/>
    </row>
    <row r="40">
      <c r="A40" s="19" t="n">
        <v>39</v>
      </c>
      <c r="B40" s="20" t="n"/>
      <c r="C40" s="19" t="n"/>
      <c r="D40" s="19" t="n"/>
      <c r="E40" s="19" t="n"/>
      <c r="F40" s="19" t="n"/>
      <c r="G40" s="19" t="n"/>
      <c r="H40" s="21" t="n"/>
      <c r="I40" s="22">
        <f>IF(G40="","",IFERROR(VLOOKUP(G40,Paramètres!$A$2:$B$9,2,FALSE),""))</f>
        <v/>
      </c>
      <c r="J40" s="23">
        <f>IF(OR(H40="",I40=""),"",H40*I40)</f>
        <v/>
      </c>
      <c r="K40" s="24" t="n"/>
      <c r="L40" s="19" t="n"/>
      <c r="M40" s="24" t="n"/>
      <c r="N40" s="25">
        <f>IF(B40="","",IF(OR(G40="Gagné (première commande)",G40="Perdu"),"Clos",IF(M40="","Sans suite prévue",IF(M40&lt;TODAY(),"En retard","À jour"))))</f>
        <v/>
      </c>
      <c r="O40" s="19" t="n"/>
    </row>
    <row r="41">
      <c r="A41" s="19" t="n">
        <v>40</v>
      </c>
      <c r="B41" s="20" t="n"/>
      <c r="C41" s="19" t="n"/>
      <c r="D41" s="19" t="n"/>
      <c r="E41" s="19" t="n"/>
      <c r="F41" s="19" t="n"/>
      <c r="G41" s="19" t="n"/>
      <c r="H41" s="21" t="n"/>
      <c r="I41" s="22">
        <f>IF(G41="","",IFERROR(VLOOKUP(G41,Paramètres!$A$2:$B$9,2,FALSE),""))</f>
        <v/>
      </c>
      <c r="J41" s="23">
        <f>IF(OR(H41="",I41=""),"",H41*I41)</f>
        <v/>
      </c>
      <c r="K41" s="24" t="n"/>
      <c r="L41" s="19" t="n"/>
      <c r="M41" s="24" t="n"/>
      <c r="N41" s="25">
        <f>IF(B41="","",IF(OR(G41="Gagné (première commande)",G41="Perdu"),"Clos",IF(M41="","Sans suite prévue",IF(M41&lt;TODAY(),"En retard","À jour"))))</f>
        <v/>
      </c>
      <c r="O41" s="19" t="n"/>
    </row>
    <row r="42">
      <c r="A42" s="19" t="n">
        <v>41</v>
      </c>
      <c r="B42" s="20" t="n"/>
      <c r="C42" s="19" t="n"/>
      <c r="D42" s="19" t="n"/>
      <c r="E42" s="19" t="n"/>
      <c r="F42" s="19" t="n"/>
      <c r="G42" s="19" t="n"/>
      <c r="H42" s="21" t="n"/>
      <c r="I42" s="22">
        <f>IF(G42="","",IFERROR(VLOOKUP(G42,Paramètres!$A$2:$B$9,2,FALSE),""))</f>
        <v/>
      </c>
      <c r="J42" s="23">
        <f>IF(OR(H42="",I42=""),"",H42*I42)</f>
        <v/>
      </c>
      <c r="K42" s="24" t="n"/>
      <c r="L42" s="19" t="n"/>
      <c r="M42" s="24" t="n"/>
      <c r="N42" s="25">
        <f>IF(B42="","",IF(OR(G42="Gagné (première commande)",G42="Perdu"),"Clos",IF(M42="","Sans suite prévue",IF(M42&lt;TODAY(),"En retard","À jour"))))</f>
        <v/>
      </c>
      <c r="O42" s="19" t="n"/>
    </row>
    <row r="43">
      <c r="A43" s="19" t="n">
        <v>42</v>
      </c>
      <c r="B43" s="20" t="n"/>
      <c r="C43" s="19" t="n"/>
      <c r="D43" s="19" t="n"/>
      <c r="E43" s="19" t="n"/>
      <c r="F43" s="19" t="n"/>
      <c r="G43" s="19" t="n"/>
      <c r="H43" s="21" t="n"/>
      <c r="I43" s="22">
        <f>IF(G43="","",IFERROR(VLOOKUP(G43,Paramètres!$A$2:$B$9,2,FALSE),""))</f>
        <v/>
      </c>
      <c r="J43" s="23">
        <f>IF(OR(H43="",I43=""),"",H43*I43)</f>
        <v/>
      </c>
      <c r="K43" s="24" t="n"/>
      <c r="L43" s="19" t="n"/>
      <c r="M43" s="24" t="n"/>
      <c r="N43" s="25">
        <f>IF(B43="","",IF(OR(G43="Gagné (première commande)",G43="Perdu"),"Clos",IF(M43="","Sans suite prévue",IF(M43&lt;TODAY(),"En retard","À jour"))))</f>
        <v/>
      </c>
      <c r="O43" s="19" t="n"/>
    </row>
    <row r="44">
      <c r="A44" s="19" t="n">
        <v>43</v>
      </c>
      <c r="B44" s="20" t="n"/>
      <c r="C44" s="19" t="n"/>
      <c r="D44" s="19" t="n"/>
      <c r="E44" s="19" t="n"/>
      <c r="F44" s="19" t="n"/>
      <c r="G44" s="19" t="n"/>
      <c r="H44" s="21" t="n"/>
      <c r="I44" s="22">
        <f>IF(G44="","",IFERROR(VLOOKUP(G44,Paramètres!$A$2:$B$9,2,FALSE),""))</f>
        <v/>
      </c>
      <c r="J44" s="23">
        <f>IF(OR(H44="",I44=""),"",H44*I44)</f>
        <v/>
      </c>
      <c r="K44" s="24" t="n"/>
      <c r="L44" s="19" t="n"/>
      <c r="M44" s="24" t="n"/>
      <c r="N44" s="25">
        <f>IF(B44="","",IF(OR(G44="Gagné (première commande)",G44="Perdu"),"Clos",IF(M44="","Sans suite prévue",IF(M44&lt;TODAY(),"En retard","À jour"))))</f>
        <v/>
      </c>
      <c r="O44" s="19" t="n"/>
    </row>
    <row r="45">
      <c r="A45" s="19" t="n">
        <v>44</v>
      </c>
      <c r="B45" s="20" t="n"/>
      <c r="C45" s="19" t="n"/>
      <c r="D45" s="19" t="n"/>
      <c r="E45" s="19" t="n"/>
      <c r="F45" s="19" t="n"/>
      <c r="G45" s="19" t="n"/>
      <c r="H45" s="21" t="n"/>
      <c r="I45" s="22">
        <f>IF(G45="","",IFERROR(VLOOKUP(G45,Paramètres!$A$2:$B$9,2,FALSE),""))</f>
        <v/>
      </c>
      <c r="J45" s="23">
        <f>IF(OR(H45="",I45=""),"",H45*I45)</f>
        <v/>
      </c>
      <c r="K45" s="24" t="n"/>
      <c r="L45" s="19" t="n"/>
      <c r="M45" s="24" t="n"/>
      <c r="N45" s="25">
        <f>IF(B45="","",IF(OR(G45="Gagné (première commande)",G45="Perdu"),"Clos",IF(M45="","Sans suite prévue",IF(M45&lt;TODAY(),"En retard","À jour"))))</f>
        <v/>
      </c>
      <c r="O45" s="19" t="n"/>
    </row>
    <row r="46">
      <c r="A46" s="19" t="n">
        <v>45</v>
      </c>
      <c r="B46" s="20" t="n"/>
      <c r="C46" s="19" t="n"/>
      <c r="D46" s="19" t="n"/>
      <c r="E46" s="19" t="n"/>
      <c r="F46" s="19" t="n"/>
      <c r="G46" s="19" t="n"/>
      <c r="H46" s="21" t="n"/>
      <c r="I46" s="22">
        <f>IF(G46="","",IFERROR(VLOOKUP(G46,Paramètres!$A$2:$B$9,2,FALSE),""))</f>
        <v/>
      </c>
      <c r="J46" s="23">
        <f>IF(OR(H46="",I46=""),"",H46*I46)</f>
        <v/>
      </c>
      <c r="K46" s="24" t="n"/>
      <c r="L46" s="19" t="n"/>
      <c r="M46" s="24" t="n"/>
      <c r="N46" s="25">
        <f>IF(B46="","",IF(OR(G46="Gagné (première commande)",G46="Perdu"),"Clos",IF(M46="","Sans suite prévue",IF(M46&lt;TODAY(),"En retard","À jour"))))</f>
        <v/>
      </c>
      <c r="O46" s="19" t="n"/>
    </row>
    <row r="47">
      <c r="A47" s="19" t="n">
        <v>46</v>
      </c>
      <c r="B47" s="20" t="n"/>
      <c r="C47" s="19" t="n"/>
      <c r="D47" s="19" t="n"/>
      <c r="E47" s="19" t="n"/>
      <c r="F47" s="19" t="n"/>
      <c r="G47" s="19" t="n"/>
      <c r="H47" s="21" t="n"/>
      <c r="I47" s="22">
        <f>IF(G47="","",IFERROR(VLOOKUP(G47,Paramètres!$A$2:$B$9,2,FALSE),""))</f>
        <v/>
      </c>
      <c r="J47" s="23">
        <f>IF(OR(H47="",I47=""),"",H47*I47)</f>
        <v/>
      </c>
      <c r="K47" s="24" t="n"/>
      <c r="L47" s="19" t="n"/>
      <c r="M47" s="24" t="n"/>
      <c r="N47" s="25">
        <f>IF(B47="","",IF(OR(G47="Gagné (première commande)",G47="Perdu"),"Clos",IF(M47="","Sans suite prévue",IF(M47&lt;TODAY(),"En retard","À jour"))))</f>
        <v/>
      </c>
      <c r="O47" s="19" t="n"/>
    </row>
    <row r="48">
      <c r="A48" s="19" t="n">
        <v>47</v>
      </c>
      <c r="B48" s="20" t="n"/>
      <c r="C48" s="19" t="n"/>
      <c r="D48" s="19" t="n"/>
      <c r="E48" s="19" t="n"/>
      <c r="F48" s="19" t="n"/>
      <c r="G48" s="19" t="n"/>
      <c r="H48" s="21" t="n"/>
      <c r="I48" s="22">
        <f>IF(G48="","",IFERROR(VLOOKUP(G48,Paramètres!$A$2:$B$9,2,FALSE),""))</f>
        <v/>
      </c>
      <c r="J48" s="23">
        <f>IF(OR(H48="",I48=""),"",H48*I48)</f>
        <v/>
      </c>
      <c r="K48" s="24" t="n"/>
      <c r="L48" s="19" t="n"/>
      <c r="M48" s="24" t="n"/>
      <c r="N48" s="25">
        <f>IF(B48="","",IF(OR(G48="Gagné (première commande)",G48="Perdu"),"Clos",IF(M48="","Sans suite prévue",IF(M48&lt;TODAY(),"En retard","À jour"))))</f>
        <v/>
      </c>
      <c r="O48" s="19" t="n"/>
    </row>
    <row r="49">
      <c r="A49" s="19" t="n">
        <v>48</v>
      </c>
      <c r="B49" s="20" t="n"/>
      <c r="C49" s="19" t="n"/>
      <c r="D49" s="19" t="n"/>
      <c r="E49" s="19" t="n"/>
      <c r="F49" s="19" t="n"/>
      <c r="G49" s="19" t="n"/>
      <c r="H49" s="21" t="n"/>
      <c r="I49" s="22">
        <f>IF(G49="","",IFERROR(VLOOKUP(G49,Paramètres!$A$2:$B$9,2,FALSE),""))</f>
        <v/>
      </c>
      <c r="J49" s="23">
        <f>IF(OR(H49="",I49=""),"",H49*I49)</f>
        <v/>
      </c>
      <c r="K49" s="24" t="n"/>
      <c r="L49" s="19" t="n"/>
      <c r="M49" s="24" t="n"/>
      <c r="N49" s="25">
        <f>IF(B49="","",IF(OR(G49="Gagné (première commande)",G49="Perdu"),"Clos",IF(M49="","Sans suite prévue",IF(M49&lt;TODAY(),"En retard","À jour"))))</f>
        <v/>
      </c>
      <c r="O49" s="19" t="n"/>
    </row>
    <row r="50">
      <c r="A50" s="19" t="n">
        <v>49</v>
      </c>
      <c r="B50" s="20" t="n"/>
      <c r="C50" s="19" t="n"/>
      <c r="D50" s="19" t="n"/>
      <c r="E50" s="19" t="n"/>
      <c r="F50" s="19" t="n"/>
      <c r="G50" s="19" t="n"/>
      <c r="H50" s="21" t="n"/>
      <c r="I50" s="22">
        <f>IF(G50="","",IFERROR(VLOOKUP(G50,Paramètres!$A$2:$B$9,2,FALSE),""))</f>
        <v/>
      </c>
      <c r="J50" s="23">
        <f>IF(OR(H50="",I50=""),"",H50*I50)</f>
        <v/>
      </c>
      <c r="K50" s="24" t="n"/>
      <c r="L50" s="19" t="n"/>
      <c r="M50" s="24" t="n"/>
      <c r="N50" s="25">
        <f>IF(B50="","",IF(OR(G50="Gagné (première commande)",G50="Perdu"),"Clos",IF(M50="","Sans suite prévue",IF(M50&lt;TODAY(),"En retard","À jour"))))</f>
        <v/>
      </c>
      <c r="O50" s="19" t="n"/>
    </row>
    <row r="51">
      <c r="A51" s="19" t="n">
        <v>50</v>
      </c>
      <c r="B51" s="20" t="n"/>
      <c r="C51" s="19" t="n"/>
      <c r="D51" s="19" t="n"/>
      <c r="E51" s="19" t="n"/>
      <c r="F51" s="19" t="n"/>
      <c r="G51" s="19" t="n"/>
      <c r="H51" s="21" t="n"/>
      <c r="I51" s="22">
        <f>IF(G51="","",IFERROR(VLOOKUP(G51,Paramètres!$A$2:$B$9,2,FALSE),""))</f>
        <v/>
      </c>
      <c r="J51" s="23">
        <f>IF(OR(H51="",I51=""),"",H51*I51)</f>
        <v/>
      </c>
      <c r="K51" s="24" t="n"/>
      <c r="L51" s="19" t="n"/>
      <c r="M51" s="24" t="n"/>
      <c r="N51" s="25">
        <f>IF(B51="","",IF(OR(G51="Gagné (première commande)",G51="Perdu"),"Clos",IF(M51="","Sans suite prévue",IF(M51&lt;TODAY(),"En retard","À jour"))))</f>
        <v/>
      </c>
      <c r="O51" s="19" t="n"/>
    </row>
    <row r="52">
      <c r="A52" s="19" t="n">
        <v>51</v>
      </c>
      <c r="B52" s="20" t="n"/>
      <c r="C52" s="19" t="n"/>
      <c r="D52" s="19" t="n"/>
      <c r="E52" s="19" t="n"/>
      <c r="F52" s="19" t="n"/>
      <c r="G52" s="19" t="n"/>
      <c r="H52" s="21" t="n"/>
      <c r="I52" s="22">
        <f>IF(G52="","",IFERROR(VLOOKUP(G52,Paramètres!$A$2:$B$9,2,FALSE),""))</f>
        <v/>
      </c>
      <c r="J52" s="23">
        <f>IF(OR(H52="",I52=""),"",H52*I52)</f>
        <v/>
      </c>
      <c r="K52" s="24" t="n"/>
      <c r="L52" s="19" t="n"/>
      <c r="M52" s="24" t="n"/>
      <c r="N52" s="25">
        <f>IF(B52="","",IF(OR(G52="Gagné (première commande)",G52="Perdu"),"Clos",IF(M52="","Sans suite prévue",IF(M52&lt;TODAY(),"En retard","À jour"))))</f>
        <v/>
      </c>
      <c r="O52" s="19" t="n"/>
    </row>
    <row r="53">
      <c r="A53" s="19" t="n">
        <v>52</v>
      </c>
      <c r="B53" s="20" t="n"/>
      <c r="C53" s="19" t="n"/>
      <c r="D53" s="19" t="n"/>
      <c r="E53" s="19" t="n"/>
      <c r="F53" s="19" t="n"/>
      <c r="G53" s="19" t="n"/>
      <c r="H53" s="21" t="n"/>
      <c r="I53" s="22">
        <f>IF(G53="","",IFERROR(VLOOKUP(G53,Paramètres!$A$2:$B$9,2,FALSE),""))</f>
        <v/>
      </c>
      <c r="J53" s="23">
        <f>IF(OR(H53="",I53=""),"",H53*I53)</f>
        <v/>
      </c>
      <c r="K53" s="24" t="n"/>
      <c r="L53" s="19" t="n"/>
      <c r="M53" s="24" t="n"/>
      <c r="N53" s="25">
        <f>IF(B53="","",IF(OR(G53="Gagné (première commande)",G53="Perdu"),"Clos",IF(M53="","Sans suite prévue",IF(M53&lt;TODAY(),"En retard","À jour"))))</f>
        <v/>
      </c>
      <c r="O53" s="19" t="n"/>
    </row>
    <row r="54">
      <c r="A54" s="19" t="n">
        <v>53</v>
      </c>
      <c r="B54" s="20" t="n"/>
      <c r="C54" s="19" t="n"/>
      <c r="D54" s="19" t="n"/>
      <c r="E54" s="19" t="n"/>
      <c r="F54" s="19" t="n"/>
      <c r="G54" s="19" t="n"/>
      <c r="H54" s="21" t="n"/>
      <c r="I54" s="22">
        <f>IF(G54="","",IFERROR(VLOOKUP(G54,Paramètres!$A$2:$B$9,2,FALSE),""))</f>
        <v/>
      </c>
      <c r="J54" s="23">
        <f>IF(OR(H54="",I54=""),"",H54*I54)</f>
        <v/>
      </c>
      <c r="K54" s="24" t="n"/>
      <c r="L54" s="19" t="n"/>
      <c r="M54" s="24" t="n"/>
      <c r="N54" s="25">
        <f>IF(B54="","",IF(OR(G54="Gagné (première commande)",G54="Perdu"),"Clos",IF(M54="","Sans suite prévue",IF(M54&lt;TODAY(),"En retard","À jour"))))</f>
        <v/>
      </c>
      <c r="O54" s="19" t="n"/>
    </row>
    <row r="55">
      <c r="A55" s="19" t="n">
        <v>54</v>
      </c>
      <c r="B55" s="20" t="n"/>
      <c r="C55" s="19" t="n"/>
      <c r="D55" s="19" t="n"/>
      <c r="E55" s="19" t="n"/>
      <c r="F55" s="19" t="n"/>
      <c r="G55" s="19" t="n"/>
      <c r="H55" s="21" t="n"/>
      <c r="I55" s="22">
        <f>IF(G55="","",IFERROR(VLOOKUP(G55,Paramètres!$A$2:$B$9,2,FALSE),""))</f>
        <v/>
      </c>
      <c r="J55" s="23">
        <f>IF(OR(H55="",I55=""),"",H55*I55)</f>
        <v/>
      </c>
      <c r="K55" s="24" t="n"/>
      <c r="L55" s="19" t="n"/>
      <c r="M55" s="24" t="n"/>
      <c r="N55" s="25">
        <f>IF(B55="","",IF(OR(G55="Gagné (première commande)",G55="Perdu"),"Clos",IF(M55="","Sans suite prévue",IF(M55&lt;TODAY(),"En retard","À jour"))))</f>
        <v/>
      </c>
      <c r="O55" s="19" t="n"/>
    </row>
    <row r="56">
      <c r="A56" s="19" t="n">
        <v>55</v>
      </c>
      <c r="B56" s="20" t="n"/>
      <c r="C56" s="19" t="n"/>
      <c r="D56" s="19" t="n"/>
      <c r="E56" s="19" t="n"/>
      <c r="F56" s="19" t="n"/>
      <c r="G56" s="19" t="n"/>
      <c r="H56" s="21" t="n"/>
      <c r="I56" s="22">
        <f>IF(G56="","",IFERROR(VLOOKUP(G56,Paramètres!$A$2:$B$9,2,FALSE),""))</f>
        <v/>
      </c>
      <c r="J56" s="23">
        <f>IF(OR(H56="",I56=""),"",H56*I56)</f>
        <v/>
      </c>
      <c r="K56" s="24" t="n"/>
      <c r="L56" s="19" t="n"/>
      <c r="M56" s="24" t="n"/>
      <c r="N56" s="25">
        <f>IF(B56="","",IF(OR(G56="Gagné (première commande)",G56="Perdu"),"Clos",IF(M56="","Sans suite prévue",IF(M56&lt;TODAY(),"En retard","À jour"))))</f>
        <v/>
      </c>
      <c r="O56" s="19" t="n"/>
    </row>
    <row r="57">
      <c r="A57" s="19" t="n">
        <v>56</v>
      </c>
      <c r="B57" s="20" t="n"/>
      <c r="C57" s="19" t="n"/>
      <c r="D57" s="19" t="n"/>
      <c r="E57" s="19" t="n"/>
      <c r="F57" s="19" t="n"/>
      <c r="G57" s="19" t="n"/>
      <c r="H57" s="21" t="n"/>
      <c r="I57" s="22">
        <f>IF(G57="","",IFERROR(VLOOKUP(G57,Paramètres!$A$2:$B$9,2,FALSE),""))</f>
        <v/>
      </c>
      <c r="J57" s="23">
        <f>IF(OR(H57="",I57=""),"",H57*I57)</f>
        <v/>
      </c>
      <c r="K57" s="24" t="n"/>
      <c r="L57" s="19" t="n"/>
      <c r="M57" s="24" t="n"/>
      <c r="N57" s="25">
        <f>IF(B57="","",IF(OR(G57="Gagné (première commande)",G57="Perdu"),"Clos",IF(M57="","Sans suite prévue",IF(M57&lt;TODAY(),"En retard","À jour"))))</f>
        <v/>
      </c>
      <c r="O57" s="19" t="n"/>
    </row>
    <row r="58">
      <c r="A58" s="19" t="n">
        <v>57</v>
      </c>
      <c r="B58" s="20" t="n"/>
      <c r="C58" s="19" t="n"/>
      <c r="D58" s="19" t="n"/>
      <c r="E58" s="19" t="n"/>
      <c r="F58" s="19" t="n"/>
      <c r="G58" s="19" t="n"/>
      <c r="H58" s="21" t="n"/>
      <c r="I58" s="22">
        <f>IF(G58="","",IFERROR(VLOOKUP(G58,Paramètres!$A$2:$B$9,2,FALSE),""))</f>
        <v/>
      </c>
      <c r="J58" s="23">
        <f>IF(OR(H58="",I58=""),"",H58*I58)</f>
        <v/>
      </c>
      <c r="K58" s="24" t="n"/>
      <c r="L58" s="19" t="n"/>
      <c r="M58" s="24" t="n"/>
      <c r="N58" s="25">
        <f>IF(B58="","",IF(OR(G58="Gagné (première commande)",G58="Perdu"),"Clos",IF(M58="","Sans suite prévue",IF(M58&lt;TODAY(),"En retard","À jour"))))</f>
        <v/>
      </c>
      <c r="O58" s="19" t="n"/>
    </row>
    <row r="59">
      <c r="A59" s="19" t="n">
        <v>58</v>
      </c>
      <c r="B59" s="20" t="n"/>
      <c r="C59" s="19" t="n"/>
      <c r="D59" s="19" t="n"/>
      <c r="E59" s="19" t="n"/>
      <c r="F59" s="19" t="n"/>
      <c r="G59" s="19" t="n"/>
      <c r="H59" s="21" t="n"/>
      <c r="I59" s="22">
        <f>IF(G59="","",IFERROR(VLOOKUP(G59,Paramètres!$A$2:$B$9,2,FALSE),""))</f>
        <v/>
      </c>
      <c r="J59" s="23">
        <f>IF(OR(H59="",I59=""),"",H59*I59)</f>
        <v/>
      </c>
      <c r="K59" s="24" t="n"/>
      <c r="L59" s="19" t="n"/>
      <c r="M59" s="24" t="n"/>
      <c r="N59" s="25">
        <f>IF(B59="","",IF(OR(G59="Gagné (première commande)",G59="Perdu"),"Clos",IF(M59="","Sans suite prévue",IF(M59&lt;TODAY(),"En retard","À jour"))))</f>
        <v/>
      </c>
      <c r="O59" s="19" t="n"/>
    </row>
    <row r="60">
      <c r="A60" s="19" t="n">
        <v>59</v>
      </c>
      <c r="B60" s="20" t="n"/>
      <c r="C60" s="19" t="n"/>
      <c r="D60" s="19" t="n"/>
      <c r="E60" s="19" t="n"/>
      <c r="F60" s="19" t="n"/>
      <c r="G60" s="19" t="n"/>
      <c r="H60" s="21" t="n"/>
      <c r="I60" s="22">
        <f>IF(G60="","",IFERROR(VLOOKUP(G60,Paramètres!$A$2:$B$9,2,FALSE),""))</f>
        <v/>
      </c>
      <c r="J60" s="23">
        <f>IF(OR(H60="",I60=""),"",H60*I60)</f>
        <v/>
      </c>
      <c r="K60" s="24" t="n"/>
      <c r="L60" s="19" t="n"/>
      <c r="M60" s="24" t="n"/>
      <c r="N60" s="25">
        <f>IF(B60="","",IF(OR(G60="Gagné (première commande)",G60="Perdu"),"Clos",IF(M60="","Sans suite prévue",IF(M60&lt;TODAY(),"En retard","À jour"))))</f>
        <v/>
      </c>
      <c r="O60" s="19" t="n"/>
    </row>
    <row r="61">
      <c r="A61" s="19" t="n">
        <v>60</v>
      </c>
      <c r="B61" s="20" t="n"/>
      <c r="C61" s="19" t="n"/>
      <c r="D61" s="19" t="n"/>
      <c r="E61" s="19" t="n"/>
      <c r="F61" s="19" t="n"/>
      <c r="G61" s="19" t="n"/>
      <c r="H61" s="21" t="n"/>
      <c r="I61" s="22">
        <f>IF(G61="","",IFERROR(VLOOKUP(G61,Paramètres!$A$2:$B$9,2,FALSE),""))</f>
        <v/>
      </c>
      <c r="J61" s="23">
        <f>IF(OR(H61="",I61=""),"",H61*I61)</f>
        <v/>
      </c>
      <c r="K61" s="24" t="n"/>
      <c r="L61" s="19" t="n"/>
      <c r="M61" s="24" t="n"/>
      <c r="N61" s="25">
        <f>IF(B61="","",IF(OR(G61="Gagné (première commande)",G61="Perdu"),"Clos",IF(M61="","Sans suite prévue",IF(M61&lt;TODAY(),"En retard","À jour"))))</f>
        <v/>
      </c>
      <c r="O61" s="19" t="n"/>
    </row>
  </sheetData>
  <autoFilter ref="A1:O61"/>
  <conditionalFormatting sqref="N2:N61">
    <cfRule type="expression" priority="1" dxfId="0">
      <formula>N2="En retard"</formula>
    </cfRule>
    <cfRule type="expression" priority="2" dxfId="1">
      <formula>N2="Sans suite prévue"</formula>
    </cfRule>
    <cfRule type="expression" priority="3" dxfId="2">
      <formula>N2="À jour"</formula>
    </cfRule>
  </conditionalFormatting>
  <dataValidations count="3">
    <dataValidation sqref="G2:G61" showDropDown="0" showInputMessage="0" showErrorMessage="0" allowBlank="1" type="list">
      <formula1>=Paramètres!$A$2:$A$9</formula1>
    </dataValidation>
    <dataValidation sqref="E2:E61" showDropDown="0" showInputMessage="0" showErrorMessage="0" allowBlank="1" type="list">
      <formula1>"Haute,Moyenne,Basse"</formula1>
    </dataValidation>
    <dataValidation sqref="F2:F61" showDropDown="0" showInputMessage="0" showErrorMessage="0" allowBlank="1" type="list">
      <formula1>=Paramètres!$A$12:$A$16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8" customHeight="1">
      <c r="B1" s="1" t="inlineStr">
        <is>
          <t>📊 Synthèse du pipeline</t>
        </is>
      </c>
    </row>
    <row r="2" ht="30" customHeight="1">
      <c r="A2" s="2" t="inlineStr">
        <is>
          <t>Calculée automatiquement à partir de l'onglet « Affaires ».</t>
        </is>
      </c>
    </row>
    <row r="4">
      <c r="A4" s="5" t="inlineStr">
        <is>
          <t>Étape</t>
        </is>
      </c>
      <c r="B4" s="5" t="inlineStr">
        <is>
          <t>Nombre d'affaires</t>
        </is>
      </c>
      <c r="C4" s="5" t="inlineStr">
        <is>
          <t>Montant estimé (F CFA)</t>
        </is>
      </c>
      <c r="D4" s="5" t="inlineStr">
        <is>
          <t>Montant pondéré (F CFA)</t>
        </is>
      </c>
      <c r="E4" s="5" t="inlineStr">
        <is>
          <t>Part des affaires</t>
        </is>
      </c>
    </row>
    <row r="5">
      <c r="A5" s="6" t="inlineStr">
        <is>
          <t>À contacter</t>
        </is>
      </c>
      <c r="B5" s="7">
        <f>COUNTIF(Affaires!$G$2:$G$61,A5)</f>
        <v/>
      </c>
      <c r="C5" s="8">
        <f>SUMIF(Affaires!$G$2:$G$61,A5,Affaires!$H$2:$H$61)</f>
        <v/>
      </c>
      <c r="D5" s="8">
        <f>SUMIF(Affaires!$G$2:$G$61,A5,Affaires!$J$2:$J$61)</f>
        <v/>
      </c>
      <c r="E5" s="9">
        <f>IFERROR(B5/$B$13,0)</f>
        <v/>
      </c>
    </row>
    <row r="6">
      <c r="A6" s="6" t="inlineStr">
        <is>
          <t>Premier contact fait</t>
        </is>
      </c>
      <c r="B6" s="7">
        <f>COUNTIF(Affaires!$G$2:$G$61,A6)</f>
        <v/>
      </c>
      <c r="C6" s="8">
        <f>SUMIF(Affaires!$G$2:$G$61,A6,Affaires!$H$2:$H$61)</f>
        <v/>
      </c>
      <c r="D6" s="8">
        <f>SUMIF(Affaires!$G$2:$G$61,A6,Affaires!$J$2:$J$61)</f>
        <v/>
      </c>
      <c r="E6" s="9">
        <f>IFERROR(B6/$B$13,0)</f>
        <v/>
      </c>
    </row>
    <row r="7">
      <c r="A7" s="6" t="inlineStr">
        <is>
          <t>Rendez-vous obtenu</t>
        </is>
      </c>
      <c r="B7" s="7">
        <f>COUNTIF(Affaires!$G$2:$G$61,A7)</f>
        <v/>
      </c>
      <c r="C7" s="8">
        <f>SUMIF(Affaires!$G$2:$G$61,A7,Affaires!$H$2:$H$61)</f>
        <v/>
      </c>
      <c r="D7" s="8">
        <f>SUMIF(Affaires!$G$2:$G$61,A7,Affaires!$J$2:$J$61)</f>
        <v/>
      </c>
      <c r="E7" s="9">
        <f>IFERROR(B7/$B$13,0)</f>
        <v/>
      </c>
    </row>
    <row r="8">
      <c r="A8" s="6" t="inlineStr">
        <is>
          <t>Échantillons ou catalogue remis</t>
        </is>
      </c>
      <c r="B8" s="7">
        <f>COUNTIF(Affaires!$G$2:$G$61,A8)</f>
        <v/>
      </c>
      <c r="C8" s="8">
        <f>SUMIF(Affaires!$G$2:$G$61,A8,Affaires!$H$2:$H$61)</f>
        <v/>
      </c>
      <c r="D8" s="8">
        <f>SUMIF(Affaires!$G$2:$G$61,A8,Affaires!$J$2:$J$61)</f>
        <v/>
      </c>
      <c r="E8" s="9">
        <f>IFERROR(B8/$B$13,0)</f>
        <v/>
      </c>
    </row>
    <row r="9">
      <c r="A9" s="6" t="inlineStr">
        <is>
          <t>Offre envoyée</t>
        </is>
      </c>
      <c r="B9" s="7">
        <f>COUNTIF(Affaires!$G$2:$G$61,A9)</f>
        <v/>
      </c>
      <c r="C9" s="8">
        <f>SUMIF(Affaires!$G$2:$G$61,A9,Affaires!$H$2:$H$61)</f>
        <v/>
      </c>
      <c r="D9" s="8">
        <f>SUMIF(Affaires!$G$2:$G$61,A9,Affaires!$J$2:$J$61)</f>
        <v/>
      </c>
      <c r="E9" s="9">
        <f>IFERROR(B9/$B$13,0)</f>
        <v/>
      </c>
    </row>
    <row r="10">
      <c r="A10" s="6" t="inlineStr">
        <is>
          <t>Négociation</t>
        </is>
      </c>
      <c r="B10" s="7">
        <f>COUNTIF(Affaires!$G$2:$G$61,A10)</f>
        <v/>
      </c>
      <c r="C10" s="8">
        <f>SUMIF(Affaires!$G$2:$G$61,A10,Affaires!$H$2:$H$61)</f>
        <v/>
      </c>
      <c r="D10" s="8">
        <f>SUMIF(Affaires!$G$2:$G$61,A10,Affaires!$J$2:$J$61)</f>
        <v/>
      </c>
      <c r="E10" s="9">
        <f>IFERROR(B10/$B$13,0)</f>
        <v/>
      </c>
    </row>
    <row r="11">
      <c r="A11" s="6" t="inlineStr">
        <is>
          <t>Gagné (première commande)</t>
        </is>
      </c>
      <c r="B11" s="7">
        <f>COUNTIF(Affaires!$G$2:$G$61,A11)</f>
        <v/>
      </c>
      <c r="C11" s="8">
        <f>SUMIF(Affaires!$G$2:$G$61,A11,Affaires!$H$2:$H$61)</f>
        <v/>
      </c>
      <c r="D11" s="8">
        <f>SUMIF(Affaires!$G$2:$G$61,A11,Affaires!$J$2:$J$61)</f>
        <v/>
      </c>
      <c r="E11" s="9">
        <f>IFERROR(B11/$B$13,0)</f>
        <v/>
      </c>
    </row>
    <row r="12">
      <c r="A12" s="6" t="inlineStr">
        <is>
          <t>Perdu</t>
        </is>
      </c>
      <c r="B12" s="7">
        <f>COUNTIF(Affaires!$G$2:$G$61,A12)</f>
        <v/>
      </c>
      <c r="C12" s="8">
        <f>SUMIF(Affaires!$G$2:$G$61,A12,Affaires!$H$2:$H$61)</f>
        <v/>
      </c>
      <c r="D12" s="8">
        <f>SUMIF(Affaires!$G$2:$G$61,A12,Affaires!$J$2:$J$61)</f>
        <v/>
      </c>
      <c r="E12" s="9">
        <f>IFERROR(B12/$B$13,0)</f>
        <v/>
      </c>
    </row>
    <row r="13">
      <c r="A13" s="6" t="inlineStr">
        <is>
          <t>Total</t>
        </is>
      </c>
      <c r="B13" s="6">
        <f>SUM(B5:B12)</f>
        <v/>
      </c>
      <c r="C13" s="10">
        <f>SUM(C5:C12)</f>
        <v/>
      </c>
      <c r="D13" s="10">
        <f>SUM(D5:D12)</f>
        <v/>
      </c>
      <c r="E13" s="11">
        <f>IF(B13&gt;0,1,0)</f>
        <v/>
      </c>
    </row>
    <row r="15">
      <c r="A15" s="12" t="inlineStr">
        <is>
          <t>🔔 Alertes</t>
        </is>
      </c>
    </row>
    <row r="16">
      <c r="A16" s="5" t="inlineStr">
        <is>
          <t>Alerte</t>
        </is>
      </c>
      <c r="B16" s="5" t="inlineStr">
        <is>
          <t>Nombre</t>
        </is>
      </c>
    </row>
    <row r="17">
      <c r="A17" s="7" t="inlineStr">
        <is>
          <t>En retard</t>
        </is>
      </c>
      <c r="B17" s="7">
        <f>COUNTIF(Affaires!$N$2:$N$61,A17)</f>
        <v/>
      </c>
    </row>
    <row r="18">
      <c r="A18" s="7" t="inlineStr">
        <is>
          <t>Sans suite prévue</t>
        </is>
      </c>
      <c r="B18" s="7">
        <f>COUNTIF(Affaires!$N$2:$N$61,A18)</f>
        <v/>
      </c>
    </row>
    <row r="19">
      <c r="A19" s="7" t="inlineStr">
        <is>
          <t>À jour</t>
        </is>
      </c>
      <c r="B19" s="7">
        <f>COUNTIF(Affaires!$N$2:$N$61,A19)</f>
        <v/>
      </c>
    </row>
    <row r="20">
      <c r="A20" s="7" t="inlineStr">
        <is>
          <t>Clos</t>
        </is>
      </c>
      <c r="B20" s="7">
        <f>COUNTIF(Affaires!$N$2:$N$61,A20)</f>
        <v/>
      </c>
    </row>
    <row r="22">
      <c r="A22" s="12" t="inlineStr">
        <is>
          <t>👥 Par commercial</t>
        </is>
      </c>
    </row>
    <row r="23">
      <c r="A23" s="5" t="inlineStr">
        <is>
          <t>Commercial</t>
        </is>
      </c>
      <c r="B23" s="5" t="inlineStr">
        <is>
          <t>Affaires ouvertes</t>
        </is>
      </c>
      <c r="C23" s="5" t="inlineStr">
        <is>
          <t>Montant pondéré (F CFA)</t>
        </is>
      </c>
      <c r="D23" s="5" t="inlineStr">
        <is>
          <t>En retard</t>
        </is>
      </c>
    </row>
    <row r="24">
      <c r="A24" s="7">
        <f>Paramètres!A12</f>
        <v/>
      </c>
      <c r="B24" s="7">
        <f>COUNTIFS(Affaires!$F$2:$F$61,A24,Affaires!$N$2:$N$61,"&lt;&gt;Clos")</f>
        <v/>
      </c>
      <c r="C24" s="8">
        <f>SUMIF(Affaires!$F$2:$F$61,A24,Affaires!$J$2:$J$61)</f>
        <v/>
      </c>
      <c r="D24" s="7">
        <f>COUNTIFS(Affaires!$F$2:$F$61,A24,Affaires!$N$2:$N$61,"En retard")</f>
        <v/>
      </c>
    </row>
    <row r="25">
      <c r="A25" s="7">
        <f>Paramètres!A13</f>
        <v/>
      </c>
      <c r="B25" s="7">
        <f>COUNTIFS(Affaires!$F$2:$F$61,A25,Affaires!$N$2:$N$61,"&lt;&gt;Clos")</f>
        <v/>
      </c>
      <c r="C25" s="8">
        <f>SUMIF(Affaires!$F$2:$F$61,A25,Affaires!$J$2:$J$61)</f>
        <v/>
      </c>
      <c r="D25" s="7">
        <f>COUNTIFS(Affaires!$F$2:$F$61,A25,Affaires!$N$2:$N$61,"En retard")</f>
        <v/>
      </c>
    </row>
    <row r="26">
      <c r="A26" s="7">
        <f>Paramètres!A14</f>
        <v/>
      </c>
      <c r="B26" s="7">
        <f>COUNTIFS(Affaires!$F$2:$F$61,A26,Affaires!$N$2:$N$61,"&lt;&gt;Clos")</f>
        <v/>
      </c>
      <c r="C26" s="8">
        <f>SUMIF(Affaires!$F$2:$F$61,A26,Affaires!$J$2:$J$61)</f>
        <v/>
      </c>
      <c r="D26" s="7">
        <f>COUNTIFS(Affaires!$F$2:$F$61,A26,Affaires!$N$2:$N$61,"En retard")</f>
        <v/>
      </c>
    </row>
    <row r="27">
      <c r="A27" s="7">
        <f>Paramètres!A15</f>
        <v/>
      </c>
      <c r="B27" s="7">
        <f>COUNTIFS(Affaires!$F$2:$F$61,A27,Affaires!$N$2:$N$61,"&lt;&gt;Clos")</f>
        <v/>
      </c>
      <c r="C27" s="8">
        <f>SUMIF(Affaires!$F$2:$F$61,A27,Affaires!$J$2:$J$61)</f>
        <v/>
      </c>
      <c r="D27" s="7">
        <f>COUNTIFS(Affaires!$F$2:$F$61,A27,Affaires!$N$2:$N$61,"En retard")</f>
        <v/>
      </c>
    </row>
    <row r="28">
      <c r="A28" s="7">
        <f>Paramètres!A16</f>
        <v/>
      </c>
      <c r="B28" s="7">
        <f>COUNTIFS(Affaires!$F$2:$F$61,A28,Affaires!$N$2:$N$61,"&lt;&gt;Clos")</f>
        <v/>
      </c>
      <c r="C28" s="8">
        <f>SUMIF(Affaires!$F$2:$F$61,A28,Affaires!$J$2:$J$61)</f>
        <v/>
      </c>
      <c r="D28" s="7">
        <f>COUNTIFS(Affaires!$F$2:$F$61,A28,Affaires!$N$2:$N$61,"En retard")</f>
        <v/>
      </c>
    </row>
  </sheetData>
  <mergeCells count="2">
    <mergeCell ref="A2:E2"/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</cols>
  <sheetData>
    <row r="1">
      <c r="A1" s="5" t="inlineStr">
        <is>
          <t>🚦 Étape</t>
        </is>
      </c>
      <c r="B1" s="5" t="inlineStr">
        <is>
          <t>Probabilité de signature</t>
        </is>
      </c>
      <c r="C1" s="5" t="inlineStr">
        <is>
          <t>Remarque</t>
        </is>
      </c>
    </row>
    <row r="2">
      <c r="A2" s="6" t="inlineStr">
        <is>
          <t>À contacter</t>
        </is>
      </c>
      <c r="B2" s="13" t="n">
        <v>0</v>
      </c>
      <c r="C2" s="14" t="inlineStr"/>
    </row>
    <row r="3">
      <c r="A3" s="6" t="inlineStr">
        <is>
          <t>Premier contact fait</t>
        </is>
      </c>
      <c r="B3" s="13" t="n">
        <v>0.05</v>
      </c>
      <c r="C3" s="14" t="inlineStr">
        <is>
          <t>hypothèse de départ, à ajuster</t>
        </is>
      </c>
    </row>
    <row r="4">
      <c r="A4" s="6" t="inlineStr">
        <is>
          <t>Rendez-vous obtenu</t>
        </is>
      </c>
      <c r="B4" s="13" t="n">
        <v>0.15</v>
      </c>
      <c r="C4" s="14" t="inlineStr">
        <is>
          <t>hypothèse de départ, à ajuster</t>
        </is>
      </c>
    </row>
    <row r="5">
      <c r="A5" s="6" t="inlineStr">
        <is>
          <t>Échantillons ou catalogue remis</t>
        </is>
      </c>
      <c r="B5" s="13" t="n">
        <v>0.25</v>
      </c>
      <c r="C5" s="14" t="inlineStr">
        <is>
          <t>hypothèse de départ, à ajuster</t>
        </is>
      </c>
    </row>
    <row r="6">
      <c r="A6" s="6" t="inlineStr">
        <is>
          <t>Offre envoyée</t>
        </is>
      </c>
      <c r="B6" s="13" t="n">
        <v>0.4</v>
      </c>
      <c r="C6" s="14" t="inlineStr">
        <is>
          <t>hypothèse de départ, à ajuster</t>
        </is>
      </c>
    </row>
    <row r="7">
      <c r="A7" s="6" t="inlineStr">
        <is>
          <t>Négociation</t>
        </is>
      </c>
      <c r="B7" s="13" t="n">
        <v>0.6</v>
      </c>
      <c r="C7" s="14" t="inlineStr">
        <is>
          <t>hypothèse de départ, à ajuster</t>
        </is>
      </c>
    </row>
    <row r="8">
      <c r="A8" s="6" t="inlineStr">
        <is>
          <t>Gagné (première commande)</t>
        </is>
      </c>
      <c r="B8" s="13" t="n">
        <v>1</v>
      </c>
      <c r="C8" s="14" t="inlineStr"/>
    </row>
    <row r="9">
      <c r="A9" s="6" t="inlineStr">
        <is>
          <t>Perdu</t>
        </is>
      </c>
      <c r="B9" s="13" t="n">
        <v>0</v>
      </c>
      <c r="C9" s="14" t="inlineStr"/>
    </row>
    <row r="11">
      <c r="A11" s="15" t="inlineStr">
        <is>
          <t>Commerciaux (à renseigner)</t>
        </is>
      </c>
    </row>
    <row r="12">
      <c r="A12" s="16" t="inlineStr">
        <is>
          <t>Commercial 1</t>
        </is>
      </c>
    </row>
    <row r="13">
      <c r="A13" s="16" t="inlineStr">
        <is>
          <t>Commercial 2</t>
        </is>
      </c>
    </row>
    <row r="14">
      <c r="A14" s="16" t="inlineStr">
        <is>
          <t>Commercial 3</t>
        </is>
      </c>
    </row>
    <row r="15">
      <c r="A15" s="16" t="inlineStr">
        <is>
          <t>Commercial 4</t>
        </is>
      </c>
    </row>
    <row r="16">
      <c r="A16" s="16" t="inlineStr">
        <is>
          <t>Commercial 5</t>
        </is>
      </c>
    </row>
    <row r="18">
      <c r="A18" s="17" t="inlineStr">
        <is>
          <t>Date du jour</t>
        </is>
      </c>
      <c r="B18" s="18">
        <f>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2026-10-28T20:55:58Z</dcterms:created>
  <dcterms:modified xmlns:dcterms="http://purl.org/dc/terms/" xmlns:xsi="http://www.w3.org/2001/XMLSchema-instance" xsi:type="dcterms:W3CDTF">2026-10-28T20:55:58Z</dcterms:modified>
</cp:coreProperties>
</file>