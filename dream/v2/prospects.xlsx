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</sheets>
  <definedNames>
    <definedName name="_xlnm._FilterDatabase" localSheetId="0" hidden="1">'Prospects'!$A$3:$J$33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Work Sans"/>
      <b val="1"/>
      <color rgb="00AE172A"/>
      <sz val="15"/>
    </font>
    <font>
      <name val="Work Sans"/>
      <i val="1"/>
      <color rgb="005F5F64"/>
      <sz val="9"/>
    </font>
    <font>
      <name val="Work Sans"/>
      <b val="1"/>
      <color rgb="00FFFFFF"/>
      <sz val="10"/>
    </font>
    <font>
      <name val="Work Sans"/>
      <sz val="9"/>
    </font>
    <font>
      <name val="Work Sans"/>
      <b val="1"/>
      <sz val="9"/>
    </font>
    <font>
      <name val="Work Sans"/>
      <color rgb="001F5FA8"/>
      <sz val="8"/>
      <u val="single"/>
    </font>
    <font>
      <name val="Work Sans"/>
      <b val="1"/>
      <color rgb="00AE172A"/>
      <sz val="11"/>
    </font>
    <font>
      <name val="Work Sans"/>
      <i val="1"/>
      <sz val="9"/>
    </font>
  </fonts>
  <fills count="7">
    <fill>
      <patternFill/>
    </fill>
    <fill>
      <patternFill patternType="gray125"/>
    </fill>
    <fill>
      <patternFill patternType="solid">
        <fgColor rgb="00AE172A"/>
      </patternFill>
    </fill>
    <fill>
      <patternFill patternType="solid">
        <fgColor rgb="00F8C9CE"/>
      </patternFill>
    </fill>
    <fill>
      <patternFill patternType="solid">
        <fgColor rgb="00FFFAFA"/>
      </patternFill>
    </fill>
    <fill>
      <patternFill patternType="solid">
        <fgColor rgb="00FDE7D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E3C9CC"/>
      </left>
      <right style="thin">
        <color rgb="00E3C9CC"/>
      </right>
      <top style="thin">
        <color rgb="00E3C9CC"/>
      </top>
      <bottom style="thin">
        <color rgb="00E3C9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4" fillId="0" borderId="1" applyAlignment="1" pivotButton="0" quotePrefix="0" xfId="0">
      <alignment horizontal="center"/>
    </xf>
    <xf numFmtId="0" fontId="5" fillId="0" borderId="0" pivotButton="0" quotePrefix="0" xfId="0"/>
    <xf numFmtId="0" fontId="5" fillId="0" borderId="1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162050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roupeprosuma.com/en/boutiques/" TargetMode="External" Id="rId1"/><Relationship Type="http://schemas.openxmlformats.org/officeDocument/2006/relationships/hyperlink" Target="https://annuaireidu.ci/corporate/detailssecteuractivite/compagnie-de-distribution-de-c%C3%94te-divoire" TargetMode="External" Id="rId2"/><Relationship Type="http://schemas.openxmlformats.org/officeDocument/2006/relationships/hyperlink" Target="http://cfaogroup.com/en/news/official-opening-of-the-second-playce-shopping-centre-in-abidjan-playce-palmeraie/page/1" TargetMode="External" Id="rId3"/><Relationship Type="http://schemas.openxmlformats.org/officeDocument/2006/relationships/hyperlink" Target="https://www.copharmed.com/" TargetMode="External" Id="rId4"/><Relationship Type="http://schemas.openxmlformats.org/officeDocument/2006/relationships/hyperlink" Target="https://cotedivoire.ubipharm.com/" TargetMode="External" Id="rId5"/><Relationship Type="http://schemas.openxmlformats.org/officeDocument/2006/relationships/hyperlink" Target="https://www2.dpci.ci/" TargetMode="External" Id="rId6"/><Relationship Type="http://schemas.openxmlformats.org/officeDocument/2006/relationships/hyperlink" Target="https://www.jumia.ci/sp-marketplace-vendeurs" TargetMode="External" Id="rId7"/><Relationship Type="http://schemas.openxmlformats.org/officeDocument/2006/relationships/hyperlink" Target="https://www.facebook.com/p/Ivoire-Center-61572534143585/" TargetMode="External" Id="rId8"/><Relationship Type="http://schemas.openxmlformats.org/officeDocument/2006/relationships/hyperlink" Target="https://sivop.com/points-de-vente.php" TargetMode="External" Id="rId9"/><Relationship Type="http://schemas.openxmlformats.org/officeDocument/2006/relationships/hyperlink" Target="https://tedis.fr/en/filiales/ivory-coast" TargetMode="External" Id="rId10"/><Relationship Type="http://schemas.openxmlformats.org/officeDocument/2006/relationships/hyperlink" Target="https://sell.glovoapp.com/ci/fr/services/grocery-stores" TargetMode="External" Id="rId11"/><Relationship Type="http://schemas.openxmlformats.org/officeDocument/2006/relationships/hyperlink" Target="https://www.fabellashop.ci/" TargetMode="External" Id="rId12"/><Relationship Type="http://schemas.openxmlformats.org/officeDocument/2006/relationships/hyperlink" Target="https://www.dobiza.com/eng/Entreprises/profilsample/10601" TargetMode="External" Id="rId13"/><Relationship Type="http://schemas.openxmlformats.org/officeDocument/2006/relationships/hyperlink" Target="https://www.beautysuccess.fr/nos-points-de-vente/abidjan/563/" TargetMode="External" Id="rId14"/><Relationship Type="http://schemas.openxmlformats.org/officeDocument/2006/relationships/hyperlink" Target="https://www.auchan.sn/nos-magasins" TargetMode="External" Id="rId15"/><Relationship Type="http://schemas.openxmlformats.org/officeDocument/2006/relationships/hyperlink" Target="https://www.agenceecofin.com/actualites-finance/2307-130337-au-senegal-cfao-consumer-et-le-groupe-edk-concluent-un-accord-de-cession-de-huit-magasins-carrefour-market-et-supeco" TargetMode="External" Id="rId16"/><Relationship Type="http://schemas.openxmlformats.org/officeDocument/2006/relationships/hyperlink" Target="https://www.laborex-senegal.com/" TargetMode="External" Id="rId17"/><Relationship Type="http://schemas.openxmlformats.org/officeDocument/2006/relationships/hyperlink" Target="https://sn.linkedin.com/company/casino-s%C3%A9n%C3%A9gal" TargetMode="External" Id="rId18"/><Relationship Type="http://schemas.openxmlformats.org/officeDocument/2006/relationships/hyperlink" Target="https://duopharm.sn/" TargetMode="External" Id="rId19"/><Relationship Type="http://schemas.openxmlformats.org/officeDocument/2006/relationships/hyperlink" Target="https://www.daikinafrica.com/en_us/dealer-locator/marina-market.html" TargetMode="External" Id="rId20"/><Relationship Type="http://schemas.openxmlformats.org/officeDocument/2006/relationships/hyperlink" Target="https://cfaohealthcare.com/our-network" TargetMode="External" Id="rId21"/><Relationship Type="http://schemas.openxmlformats.org/officeDocument/2006/relationships/hyperlink" Target="https://www.laborex-mali.com/en/find-us-cms-nous-trouver" TargetMode="External" Id="rId22"/><Relationship Type="http://schemas.openxmlformats.org/officeDocument/2006/relationships/hyperlink" Target="https://minicim.ml/" TargetMode="External" Id="rId23"/><Relationship Type="http://schemas.openxmlformats.org/officeDocument/2006/relationships/hyperlink" Target="https://ramco.tg/en/home" TargetMode="External" Id="rId24"/><Relationship Type="http://schemas.openxmlformats.org/officeDocument/2006/relationships/hyperlink" Target="https://www.groupelechampion.com/fr" TargetMode="External" Id="rId25"/><Relationship Type="http://schemas.openxmlformats.org/officeDocument/2006/relationships/hyperlink" Target="https://www.supermarchemontsinai.com/contact/" TargetMode="External" Id="rId26"/><Relationship Type="http://schemas.openxmlformats.org/officeDocument/2006/relationships/hyperlink" Target="https://trendtype.com/news/new-super-u-supermarket-opens-in-akpakpa" TargetMode="External" Id="rId27"/><Relationship Type="http://schemas.openxmlformats.org/officeDocument/2006/relationships/hyperlink" Target="https://benin.ubipharm.com/" TargetMode="External" Id="rId28"/><Relationship Type="http://schemas.openxmlformats.org/officeDocument/2006/relationships/hyperlink" Target="https://guineenews.org/2026/04/15/grande-distribution-carrefour-debarque-en-guinee-avec-un-premier-carrefour-market-a-conakry/" TargetMode="External" Id="rId29"/><Relationship Type="http://schemas.openxmlformats.org/officeDocument/2006/relationships/hyperlink" Target="https://www.laborex-guinee.com/fr/qui-sommes-nous-cms-qui-sommes-nous" TargetMode="External" Id="rId30"/><Relationship Type="http://schemas.openxmlformats.org/officeDocument/2006/relationships/drawing" Target="/xl/drawings/drawing1.xm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zoomScale="9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3" customWidth="1" min="3" max="3"/>
    <col width="16" customWidth="1" min="4" max="4"/>
    <col width="20" customWidth="1" min="5" max="5"/>
    <col width="52" customWidth="1" min="6" max="6"/>
    <col width="26" customWidth="1" min="7" max="7"/>
    <col width="34" customWidth="1" min="8" max="8"/>
    <col width="10" customWidth="1" min="9" max="9"/>
    <col width="34" customWidth="1" min="10" max="10"/>
  </cols>
  <sheetData>
    <row r="1" ht="48" customHeight="1">
      <c r="B1" s="1" t="inlineStr">
        <is>
          <t>🎯 Dream Cosmetics · 30 distributeurs à démarcher (Côte d'Ivoire et sous-région)</t>
        </is>
      </c>
    </row>
    <row r="2" ht="30" customHeight="1">
      <c r="A2" s="2" t="inlineStr">
        <is>
          <t>Entreprises réelles, chacune avec sa source, relevées le 28/10/2026. Case vide = contact non publié (rien n'est inventé). Ordre : pays, puis priorité.</t>
        </is>
      </c>
    </row>
    <row r="3">
      <c r="A3" s="3" t="inlineStr">
        <is>
          <t>N°</t>
        </is>
      </c>
      <c r="B3" s="3" t="inlineStr">
        <is>
          <t>🏢 Nom</t>
        </is>
      </c>
      <c r="C3" s="3" t="inlineStr">
        <is>
          <t>🌍 Pays</t>
        </is>
      </c>
      <c r="D3" s="3" t="inlineStr">
        <is>
          <t>📍 Ville</t>
        </is>
      </c>
      <c r="E3" s="3" t="inlineStr">
        <is>
          <t>🏷️ Type</t>
        </is>
      </c>
      <c r="F3" s="3" t="inlineStr">
        <is>
          <t>💡 Pourquoi lui</t>
        </is>
      </c>
      <c r="G3" s="3" t="inlineStr">
        <is>
          <t>📞 Contact public</t>
        </is>
      </c>
      <c r="H3" s="3" t="inlineStr">
        <is>
          <t>🔗 Source</t>
        </is>
      </c>
      <c r="I3" s="3" t="inlineStr">
        <is>
          <t>🎯 Priorité</t>
        </is>
      </c>
      <c r="J3" s="3" t="inlineStr">
        <is>
          <t>🔎 Point à vérifier</t>
        </is>
      </c>
    </row>
    <row r="4">
      <c r="A4" s="4" t="n">
        <v>1</v>
      </c>
      <c r="B4" s="5" t="inlineStr">
        <is>
          <t>Groupe Prosuma (Cash Center, Sococé, Hayat, Bon Prix…)</t>
        </is>
      </c>
      <c r="C4" s="6" t="inlineStr">
        <is>
          <t>🇨🇮 Côte d'Ivoire</t>
        </is>
      </c>
      <c r="D4" s="6" t="inlineStr">
        <is>
          <t>Abidjan</t>
        </is>
      </c>
      <c r="E4" s="6" t="inlineStr">
        <is>
          <t>Chaîne de supermarchés et centrale d'achats</t>
        </is>
      </c>
      <c r="F4" s="6" t="inlineStr">
        <is>
          <t>Premier réseau de grande distribution du pays avec une centrale d'achats unique : un référencement ouvre d'un coup les rayons hygiène-beauté de tous ses magasins pour Day by Day, PawPaw ou Babymed. SIVOP y est déjà référencé (Bon Prix, Cash Center, Sococé, Hayat) : la porte est ouverte aux marques ivoiriennes.</t>
        </is>
      </c>
      <c r="G4" s="6" t="inlineStr">
        <is>
          <t>Tél. 21 22 32 32 (service clients)</t>
        </is>
      </c>
      <c r="H4" s="7" t="inlineStr">
        <is>
          <t>🔗 https://groupeprosuma.com/en/boutiques/</t>
        </is>
      </c>
      <c r="I4" s="8" t="inlineStr">
        <is>
          <t>🔴 Haute</t>
        </is>
      </c>
      <c r="J4" s="6" t="inlineStr">
        <is>
          <t>Numéro publié sur la page points de vente, à 8 chiffres (ancien format ?) ; contact achats à trouver.</t>
        </is>
      </c>
    </row>
    <row r="5">
      <c r="A5" s="9" t="n">
        <v>2</v>
      </c>
      <c r="B5" s="10" t="inlineStr">
        <is>
          <t>CDCI - Compagnie de Distribution de Côte d'Ivoire</t>
        </is>
      </c>
      <c r="C5" s="11" t="inlineStr">
        <is>
          <t>🇨🇮 Côte d'Ivoire</t>
        </is>
      </c>
      <c r="D5" s="11" t="inlineStr">
        <is>
          <t>Abidjan</t>
        </is>
      </c>
      <c r="E5" s="11" t="inlineStr">
        <is>
          <t>Chaîne de supermarchés et distribution</t>
        </is>
      </c>
      <c r="F5" s="11" t="inlineStr">
        <is>
          <t>Distributeur ivoirien créé en 1989 avec un réseau de magasins de proximité, adapté aux gammes à prix accessibles comme Biolight ou Clear Therapy.</t>
        </is>
      </c>
      <c r="G5" s="11" t="inlineStr"/>
      <c r="H5" s="12" t="inlineStr">
        <is>
          <t>🔗 https://annuaireidu.ci/corporate/detailssecteuractivite/compagnie-de-distribution-de-c%C3%94te-divoire</t>
        </is>
      </c>
      <c r="I5" s="8" t="inlineStr">
        <is>
          <t>🔴 Haute</t>
        </is>
      </c>
      <c r="J5" s="11" t="inlineStr">
        <is>
          <t>Taille actuelle du réseau non vérifiée.</t>
        </is>
      </c>
    </row>
    <row r="6">
      <c r="A6" s="4" t="n">
        <v>3</v>
      </c>
      <c r="B6" s="5" t="inlineStr">
        <is>
          <t>CFAO Retail (Carrefour, PlaYce)</t>
        </is>
      </c>
      <c r="C6" s="6" t="inlineStr">
        <is>
          <t>🇨🇮 Côte d'Ivoire</t>
        </is>
      </c>
      <c r="D6" s="6" t="inlineStr">
        <is>
          <t>Abidjan</t>
        </is>
      </c>
      <c r="E6" s="6" t="inlineStr">
        <is>
          <t>Hypermarchés et supermarchés</t>
        </is>
      </c>
      <c r="F6" s="6" t="inlineStr">
        <is>
          <t>Exploite les Carrefour des centres PlaYce de Marcory et Palmeraie : vitrine d'une clientèle urbaine aisée pour Dermaskin et les parfums I Love.</t>
        </is>
      </c>
      <c r="G6" s="6" t="inlineStr"/>
      <c r="H6" s="7" t="inlineStr">
        <is>
          <t>🔗 http://cfaogroup.com/en/news/official-opening-of-the-second-playce-shopping-centre-in-abidjan-playce-palmeraie/page/1</t>
        </is>
      </c>
      <c r="I6" s="8" t="inlineStr">
        <is>
          <t>🔴 Haute</t>
        </is>
      </c>
      <c r="J6" s="6" t="inlineStr">
        <is>
          <t>Vérifier que CFAO opère toujours Carrefour en CI (réorganisation de Carrefour en Afrique de l'Ouest annoncée en 2026).</t>
        </is>
      </c>
    </row>
    <row r="7">
      <c r="A7" s="9" t="n">
        <v>4</v>
      </c>
      <c r="B7" s="10" t="inlineStr">
        <is>
          <t>Copharmed (CFAO Healthcare)</t>
        </is>
      </c>
      <c r="C7" s="11" t="inlineStr">
        <is>
          <t>🇨🇮 Côte d'Ivoire</t>
        </is>
      </c>
      <c r="D7" s="11" t="inlineStr">
        <is>
          <t>Abidjan (Angré), agences Bouaké et Gagnoa</t>
        </is>
      </c>
      <c r="E7" s="11" t="inlineStr">
        <is>
          <t>Grossiste répartiteur pharmaceutique</t>
        </is>
      </c>
      <c r="F7" s="11" t="inlineStr">
        <is>
          <t>Répartiteur qui livre les pharmacies du pays : canal naturel pour Dermaskin, Clear Therapy et Babymed vendus en parapharmacie.</t>
        </is>
      </c>
      <c r="G7" s="11" t="inlineStr">
        <is>
          <t>Tél. +225 27 22 223 300</t>
        </is>
      </c>
      <c r="H7" s="12" t="inlineStr">
        <is>
          <t>🔗 https://www.copharmed.com/</t>
        </is>
      </c>
      <c r="I7" s="8" t="inlineStr">
        <is>
          <t>🔴 Haute</t>
        </is>
      </c>
      <c r="J7" s="11" t="inlineStr">
        <is>
          <t>Cosmétiques acceptés au catalogue : à vérifier (référencement parapharmacie).</t>
        </is>
      </c>
    </row>
    <row r="8">
      <c r="A8" s="4" t="n">
        <v>5</v>
      </c>
      <c r="B8" s="5" t="inlineStr">
        <is>
          <t>UbiPharm Côte d'Ivoire</t>
        </is>
      </c>
      <c r="C8" s="6" t="inlineStr">
        <is>
          <t>🇨🇮 Côte d'Ivoire</t>
        </is>
      </c>
      <c r="D8" s="6" t="inlineStr">
        <is>
          <t>Abidjan</t>
        </is>
      </c>
      <c r="E8" s="6" t="inlineStr">
        <is>
          <t>Grossiste répartiteur pharmaceutique</t>
        </is>
      </c>
      <c r="F8" s="6" t="inlineStr">
        <is>
          <t>Grand répartiteur avec annuaire des pharmacies clientes : porte d'entrée en parapharmacie pour les soins de peau et bébé.</t>
        </is>
      </c>
      <c r="G8" s="6" t="inlineStr"/>
      <c r="H8" s="7" t="inlineStr">
        <is>
          <t>🔗 https://cotedivoire.ubipharm.com/</t>
        </is>
      </c>
      <c r="I8" s="8" t="inlineStr">
        <is>
          <t>🔴 Haute</t>
        </is>
      </c>
      <c r="J8" s="6" t="inlineStr"/>
    </row>
    <row r="9">
      <c r="A9" s="9" t="n">
        <v>6</v>
      </c>
      <c r="B9" s="10" t="inlineStr">
        <is>
          <t>DPCI - Distribution Pharmaceutique de Côte d'Ivoire</t>
        </is>
      </c>
      <c r="C9" s="11" t="inlineStr">
        <is>
          <t>🇨🇮 Côte d'Ivoire</t>
        </is>
      </c>
      <c r="D9" s="11" t="inlineStr">
        <is>
          <t>Abidjan</t>
        </is>
      </c>
      <c r="E9" s="11" t="inlineStr">
        <is>
          <t>Grossiste répartiteur pharmaceutique</t>
        </is>
      </c>
      <c r="F9" s="11" t="inlineStr">
        <is>
          <t>Dessert plus de 1 000 pharmacies dans tout le pays selon sa page : couverture nationale pour la gamme dermo-cosmétique.</t>
        </is>
      </c>
      <c r="G9" s="11" t="inlineStr"/>
      <c r="H9" s="12" t="inlineStr">
        <is>
          <t>🔗 https://www2.dpci.ci/</t>
        </is>
      </c>
      <c r="I9" s="8" t="inlineStr">
        <is>
          <t>🔴 Haute</t>
        </is>
      </c>
      <c r="J9" s="11" t="inlineStr">
        <is>
          <t>Chiffre de 1 000 pharmacies tiré de sa propre page LinkedIn.</t>
        </is>
      </c>
    </row>
    <row r="10">
      <c r="A10" s="4" t="n">
        <v>7</v>
      </c>
      <c r="B10" s="5" t="inlineStr">
        <is>
          <t>Jumia Côte d'Ivoire</t>
        </is>
      </c>
      <c r="C10" s="6" t="inlineStr">
        <is>
          <t>🇨🇮 Côte d'Ivoire</t>
        </is>
      </c>
      <c r="D10" s="6" t="inlineStr">
        <is>
          <t>Abidjan</t>
        </is>
      </c>
      <c r="E10" s="6" t="inlineStr">
        <is>
          <t>Plateforme de vente en ligne</t>
        </is>
      </c>
      <c r="F10" s="6" t="inlineStr">
        <is>
          <t>Première plateforme de vente en ligne du pays avec rayon beauté et ouverture vendeur directe : vente nationale sans intermédiaire.</t>
        </is>
      </c>
      <c r="G10" s="6" t="inlineStr">
        <is>
          <t>Inscription vendeur : jumia.ci/sp-marketplace-vendeurs</t>
        </is>
      </c>
      <c r="H10" s="7" t="inlineStr">
        <is>
          <t>🔗 https://www.jumia.ci/sp-marketplace-vendeurs</t>
        </is>
      </c>
      <c r="I10" s="8" t="inlineStr">
        <is>
          <t>🔴 Haute</t>
        </is>
      </c>
      <c r="J10" s="6" t="inlineStr"/>
    </row>
    <row r="11">
      <c r="A11" s="9" t="n">
        <v>8</v>
      </c>
      <c r="B11" s="10" t="inlineStr">
        <is>
          <t>Ivoire Center</t>
        </is>
      </c>
      <c r="C11" s="11" t="inlineStr">
        <is>
          <t>🇨🇮 Côte d'Ivoire</t>
        </is>
      </c>
      <c r="D11" s="11" t="inlineStr">
        <is>
          <t>Abidjan (Abobo, Riviera Palmeraie, Faya)</t>
        </is>
      </c>
      <c r="E11" s="11" t="inlineStr">
        <is>
          <t>Chaîne de supermarchés</t>
        </is>
      </c>
      <c r="F11" s="11" t="inlineStr">
        <is>
          <t>Enseigne de quartiers populaires et intermédiaires (six magasins annoncés), bonne cible pour les gammes familiales Day by Day, Babymed et Dreamy.</t>
        </is>
      </c>
      <c r="G11" s="11" t="inlineStr">
        <is>
          <t>contact@ivoirecenter.ci</t>
        </is>
      </c>
      <c r="H11" s="12" t="inlineStr">
        <is>
          <t>🔗 https://www.facebook.com/p/Ivoire-Center-61572534143585/</t>
        </is>
      </c>
      <c r="I11" s="13" t="inlineStr">
        <is>
          <t>🟠 Moyenne</t>
        </is>
      </c>
      <c r="J11" s="11" t="inlineStr">
        <is>
          <t>Nombre de magasins variable selon les sources (3 à 6) ; e-mail lu sur ivoirecenterci.com.</t>
        </is>
      </c>
    </row>
    <row r="12">
      <c r="A12" s="4" t="n">
        <v>9</v>
      </c>
      <c r="B12" s="5" t="inlineStr">
        <is>
          <t>King Cash</t>
        </is>
      </c>
      <c r="C12" s="6" t="inlineStr">
        <is>
          <t>🇨🇮 Côte d'Ivoire</t>
        </is>
      </c>
      <c r="D12" s="6" t="inlineStr">
        <is>
          <t>Abidjan</t>
        </is>
      </c>
      <c r="E12" s="6" t="inlineStr">
        <is>
          <t>Chaîne de supermarchés et cash</t>
        </is>
      </c>
      <c r="F12" s="6" t="inlineStr">
        <is>
          <t>Enseigne ivoirienne qui vend déjà les produits de SIVOP (4 points de vente cités par SIVOP) : le rayon cosmétique local existe, Dream peut y entrer face à son concurrent direct.</t>
        </is>
      </c>
      <c r="G12" s="6" t="inlineStr"/>
      <c r="H12" s="7" t="inlineStr">
        <is>
          <t>🔗 https://sivop.com/points-de-vente.php</t>
        </is>
      </c>
      <c r="I12" s="13" t="inlineStr">
        <is>
          <t>🟠 Moyenne</t>
        </is>
      </c>
      <c r="J12" s="6" t="inlineStr">
        <is>
          <t>Source indirecte (liste de points de vente de SIVOP) ; contact achats à trouver.</t>
        </is>
      </c>
    </row>
    <row r="13">
      <c r="A13" s="9" t="n">
        <v>10</v>
      </c>
      <c r="B13" s="10" t="inlineStr">
        <is>
          <t>Tedis Pharma CI</t>
        </is>
      </c>
      <c r="C13" s="11" t="inlineStr">
        <is>
          <t>🇨🇮 Côte d'Ivoire</t>
        </is>
      </c>
      <c r="D13" s="11" t="inlineStr">
        <is>
          <t>Abidjan (Vridi)</t>
        </is>
      </c>
      <c r="E13" s="11" t="inlineStr">
        <is>
          <t>Grossiste répartiteur pharmaceutique</t>
        </is>
      </c>
      <c r="F13" s="11" t="inlineStr">
        <is>
          <t>Répartiteur actif depuis 2014 à Abidjan, quatrième voie vers les pharmacies si les autres tardent.</t>
        </is>
      </c>
      <c r="G13" s="11" t="inlineStr"/>
      <c r="H13" s="12" t="inlineStr">
        <is>
          <t>🔗 https://tedis.fr/en/filiales/ivory-coast</t>
        </is>
      </c>
      <c r="I13" s="13" t="inlineStr">
        <is>
          <t>🟠 Moyenne</t>
        </is>
      </c>
      <c r="J13" s="11" t="inlineStr"/>
    </row>
    <row r="14">
      <c r="A14" s="4" t="n">
        <v>11</v>
      </c>
      <c r="B14" s="5" t="inlineStr">
        <is>
          <t>Glovo Côte d'Ivoire</t>
        </is>
      </c>
      <c r="C14" s="6" t="inlineStr">
        <is>
          <t>🇨🇮 Côte d'Ivoire</t>
        </is>
      </c>
      <c r="D14" s="6" t="inlineStr">
        <is>
          <t>Abidjan</t>
        </is>
      </c>
      <c r="E14" s="6" t="inlineStr">
        <is>
          <t>Livraison à la demande (supermarchés et boutiques)</t>
        </is>
      </c>
      <c r="F14" s="6" t="inlineStr">
        <is>
          <t>Glovo recrute des supermarchés et boutiques partenaires en CI : une boutique Dream ou un partenaire distributeur y gagne la livraison rapide à Abidjan.</t>
        </is>
      </c>
      <c r="G14" s="6" t="inlineStr">
        <is>
          <t>Formulaire partenaire sur sell.glovoapp.com</t>
        </is>
      </c>
      <c r="H14" s="7" t="inlineStr">
        <is>
          <t>🔗 https://sell.glovoapp.com/ci/fr/services/grocery-stores</t>
        </is>
      </c>
      <c r="I14" s="13" t="inlineStr">
        <is>
          <t>🟠 Moyenne</t>
        </is>
      </c>
      <c r="J14" s="6" t="inlineStr">
        <is>
          <t>Modèle surtout pour points de vente physiques ; vérifier l'éligibilité d'un fabricant.</t>
        </is>
      </c>
    </row>
    <row r="15">
      <c r="A15" s="9" t="n">
        <v>12</v>
      </c>
      <c r="B15" s="10" t="inlineStr">
        <is>
          <t>Fabellashop</t>
        </is>
      </c>
      <c r="C15" s="11" t="inlineStr">
        <is>
          <t>🇨🇮 Côte d'Ivoire</t>
        </is>
      </c>
      <c r="D15" s="11" t="inlineStr">
        <is>
          <t>Abidjan</t>
        </is>
      </c>
      <c r="E15" s="11" t="inlineStr">
        <is>
          <t>Parapharmacie et beauté en ligne</t>
        </is>
      </c>
      <c r="F15" s="11" t="inlineStr">
        <is>
          <t>Se présente comme la plus grande boutique en ligne de soins, parfumerie et maquillage du pays : place naturelle pour Dermaskin, Clear Therapy et les parfums I Love.</t>
        </is>
      </c>
      <c r="G15" s="11" t="inlineStr"/>
      <c r="H15" s="12" t="inlineStr">
        <is>
          <t>🔗 https://www.fabellashop.ci/</t>
        </is>
      </c>
      <c r="I15" s="13" t="inlineStr">
        <is>
          <t>🟠 Moyenne</t>
        </is>
      </c>
      <c r="J15" s="11" t="inlineStr">
        <is>
          <t>Taille réelle non vérifiée.</t>
        </is>
      </c>
    </row>
    <row r="16">
      <c r="A16" s="4" t="n">
        <v>13</v>
      </c>
      <c r="B16" s="5" t="inlineStr">
        <is>
          <t>Laborex Côte d'Ivoire</t>
        </is>
      </c>
      <c r="C16" s="6" t="inlineStr">
        <is>
          <t>🇨🇮 Côte d'Ivoire</t>
        </is>
      </c>
      <c r="D16" s="6" t="inlineStr">
        <is>
          <t>Abidjan</t>
        </is>
      </c>
      <c r="E16" s="6" t="inlineStr">
        <is>
          <t>Grossiste répartiteur pharmaceutique</t>
        </is>
      </c>
      <c r="F16" s="6" t="inlineStr">
        <is>
          <t>Répartiteur historique du marché pharmaceutique ivoirien, à approcher pour la parapharmacie.</t>
        </is>
      </c>
      <c r="G16" s="6" t="inlineStr">
        <is>
          <t>Tél. (225) 21 25 41 25 (ancien format)</t>
        </is>
      </c>
      <c r="H16" s="7" t="inlineStr">
        <is>
          <t>🔗 https://www.dobiza.com/eng/Entreprises/profilsample/10601</t>
        </is>
      </c>
      <c r="I16" s="14" t="inlineStr">
        <is>
          <t>⚪ Basse</t>
        </is>
      </c>
      <c r="J16" s="6" t="inlineStr">
        <is>
          <t>Statut actuel incertain (une source associe Laborex et Ubipharm en CI) ; numéro à 8 chiffres ancien.</t>
        </is>
      </c>
    </row>
    <row r="17">
      <c r="A17" s="9" t="n">
        <v>14</v>
      </c>
      <c r="B17" s="10" t="inlineStr">
        <is>
          <t>Beauty Success Abidjan</t>
        </is>
      </c>
      <c r="C17" s="11" t="inlineStr">
        <is>
          <t>🇨🇮 Côte d'Ivoire</t>
        </is>
      </c>
      <c r="D17" s="11" t="inlineStr">
        <is>
          <t>Abidjan</t>
        </is>
      </c>
      <c r="E17" s="11" t="inlineStr">
        <is>
          <t>Parfumerie et institut de beauté</t>
        </is>
      </c>
      <c r="F17" s="11" t="inlineStr">
        <is>
          <t>Enseigne de parfumerie installée à Abidjan : vitrine haut de gamme pour les parfums I Love et Dermaskin.</t>
        </is>
      </c>
      <c r="G17" s="11" t="inlineStr"/>
      <c r="H17" s="12" t="inlineStr">
        <is>
          <t>🔗 https://www.beautysuccess.fr/nos-points-de-vente/abidjan/563/</t>
        </is>
      </c>
      <c r="I17" s="14" t="inlineStr">
        <is>
          <t>⚪ Basse</t>
        </is>
      </c>
      <c r="J17" s="11" t="inlineStr">
        <is>
          <t>Enseigne surtout orientée marques internationales ; nombre de points en CI non vérifié.</t>
        </is>
      </c>
    </row>
    <row r="18">
      <c r="A18" s="4" t="n">
        <v>15</v>
      </c>
      <c r="B18" s="5" t="inlineStr">
        <is>
          <t>Auchan Sénégal</t>
        </is>
      </c>
      <c r="C18" s="6" t="inlineStr">
        <is>
          <t>🇸🇳 Sénégal</t>
        </is>
      </c>
      <c r="D18" s="6" t="inlineStr">
        <is>
          <t>Dakar et régions</t>
        </is>
      </c>
      <c r="E18" s="6" t="inlineStr">
        <is>
          <t>Chaîne de supermarchés</t>
        </is>
      </c>
      <c r="F18" s="6" t="inlineStr">
        <is>
          <t>Le plus grand réseau de supermarchés du Sénégal, avec un portail fournisseurs : volume d'entrée pour les gammes grand public Day by Day et PawPaw.</t>
        </is>
      </c>
      <c r="G18" s="6" t="inlineStr">
        <is>
          <t>Portail fournisseurs : auchan.sn/content/94-accueil-brand-portal</t>
        </is>
      </c>
      <c r="H18" s="7" t="inlineStr">
        <is>
          <t>🔗 https://www.auchan.sn/nos-magasins</t>
        </is>
      </c>
      <c r="I18" s="8" t="inlineStr">
        <is>
          <t>🔴 Haute</t>
        </is>
      </c>
      <c r="J18" s="6" t="inlineStr"/>
    </row>
    <row r="19">
      <c r="A19" s="9" t="n">
        <v>16</v>
      </c>
      <c r="B19" s="10" t="inlineStr">
        <is>
          <t>Groupe EDK (Carrefour Market, Supeco)</t>
        </is>
      </c>
      <c r="C19" s="11" t="inlineStr">
        <is>
          <t>🇸🇳 Sénégal</t>
        </is>
      </c>
      <c r="D19" s="11" t="inlineStr">
        <is>
          <t>Dakar</t>
        </is>
      </c>
      <c r="E19" s="11" t="inlineStr">
        <is>
          <t>Chaîne de supermarchés</t>
        </is>
      </c>
      <c r="F19" s="11" t="inlineStr">
        <is>
          <t>A repris en 2025 huit magasins Carrefour Market et Supeco de CFAO au Sénégal : nouveau repreneur qui reconstruit ses fournisseurs.</t>
        </is>
      </c>
      <c r="G19" s="11" t="inlineStr"/>
      <c r="H19" s="12" t="inlineStr">
        <is>
          <t>🔗 https://www.agenceecofin.com/actualites-finance/2307-130337-au-senegal-cfao-consumer-et-le-groupe-edk-concluent-un-accord-de-cession-de-huit-magasins-carrefour-market-et-supeco</t>
        </is>
      </c>
      <c r="I19" s="8" t="inlineStr">
        <is>
          <t>🔴 Haute</t>
        </is>
      </c>
      <c r="J19" s="11" t="inlineStr">
        <is>
          <t>Finalisation de la cession à confirmer.</t>
        </is>
      </c>
    </row>
    <row r="20">
      <c r="A20" s="4" t="n">
        <v>17</v>
      </c>
      <c r="B20" s="5" t="inlineStr">
        <is>
          <t>Laborex Sénégal (CFAO Healthcare)</t>
        </is>
      </c>
      <c r="C20" s="6" t="inlineStr">
        <is>
          <t>🇸🇳 Sénégal</t>
        </is>
      </c>
      <c r="D20" s="6" t="inlineStr">
        <is>
          <t>Dakar</t>
        </is>
      </c>
      <c r="E20" s="6" t="inlineStr">
        <is>
          <t>Grossiste répartiteur pharmaceutique</t>
        </is>
      </c>
      <c r="F20" s="6" t="inlineStr">
        <is>
          <t>Répartiteur historique (1949) des pharmacies sénégalaises : voie vers la parapharmacie pour Dermaskin, Clear Therapy et Babymed.</t>
        </is>
      </c>
      <c r="G20" s="6" t="inlineStr"/>
      <c r="H20" s="7" t="inlineStr">
        <is>
          <t>🔗 https://www.laborex-senegal.com/</t>
        </is>
      </c>
      <c r="I20" s="8" t="inlineStr">
        <is>
          <t>🔴 Haute</t>
        </is>
      </c>
      <c r="J20" s="6" t="inlineStr"/>
    </row>
    <row r="21">
      <c r="A21" s="9" t="n">
        <v>18</v>
      </c>
      <c r="B21" s="10" t="inlineStr">
        <is>
          <t>Casino Supermarchés Sénégal</t>
        </is>
      </c>
      <c r="C21" s="11" t="inlineStr">
        <is>
          <t>🇸🇳 Sénégal</t>
        </is>
      </c>
      <c r="D21" s="11" t="inlineStr">
        <is>
          <t>Dakar</t>
        </is>
      </c>
      <c r="E21" s="11" t="inlineStr">
        <is>
          <t>Chaîne de supermarchés</t>
        </is>
      </c>
      <c r="F21" s="11" t="inlineStr">
        <is>
          <t>Enseigne urbaine de Dakar à clientèle aisée, adaptée à Dermaskin et aux parfums I Love.</t>
        </is>
      </c>
      <c r="G21" s="11" t="inlineStr">
        <is>
          <t>Tél. +221 33 820 33 61 (magasin)</t>
        </is>
      </c>
      <c r="H21" s="12" t="inlineStr">
        <is>
          <t>🔗 https://sn.linkedin.com/company/casino-s%C3%A9n%C3%A9gal</t>
        </is>
      </c>
      <c r="I21" s="13" t="inlineStr">
        <is>
          <t>🟠 Moyenne</t>
        </is>
      </c>
      <c r="J21" s="11" t="inlineStr">
        <is>
          <t>Numéro d'un magasin (Apple Plans), pas forcément celui des achats.</t>
        </is>
      </c>
    </row>
    <row r="22">
      <c r="A22" s="4" t="n">
        <v>19</v>
      </c>
      <c r="B22" s="5" t="inlineStr">
        <is>
          <t>Duopharm</t>
        </is>
      </c>
      <c r="C22" s="6" t="inlineStr">
        <is>
          <t>🇸🇳 Sénégal</t>
        </is>
      </c>
      <c r="D22" s="6" t="inlineStr">
        <is>
          <t>Dakar</t>
        </is>
      </c>
      <c r="E22" s="6" t="inlineStr">
        <is>
          <t>Grossiste répartiteur pharmaceutique et parapharmaceutique</t>
        </is>
      </c>
      <c r="F22" s="6" t="inlineStr">
        <is>
          <t>Se dit spécialisé dans les médicaments et la parapharmacie : alternative plus accessible que les gros répartiteurs.</t>
        </is>
      </c>
      <c r="G22" s="6" t="inlineStr">
        <is>
          <t>duopharmsa@duopharm.sn ; +221 33 869 05 22</t>
        </is>
      </c>
      <c r="H22" s="7" t="inlineStr">
        <is>
          <t>🔗 https://duopharm.sn/</t>
        </is>
      </c>
      <c r="I22" s="13" t="inlineStr">
        <is>
          <t>🟠 Moyenne</t>
        </is>
      </c>
      <c r="J22" s="6" t="inlineStr"/>
    </row>
    <row r="23">
      <c r="A23" s="9" t="n">
        <v>20</v>
      </c>
      <c r="B23" s="10" t="inlineStr">
        <is>
          <t>Marina Market</t>
        </is>
      </c>
      <c r="C23" s="11" t="inlineStr">
        <is>
          <t>🇧🇫 Burkina Faso</t>
        </is>
      </c>
      <c r="D23" s="11" t="inlineStr">
        <is>
          <t>Ouagadougou</t>
        </is>
      </c>
      <c r="E23" s="11" t="inlineStr">
        <is>
          <t>Chaîne de supermarchés</t>
        </is>
      </c>
      <c r="F23" s="11" t="inlineStr">
        <is>
          <t>Première chaîne de supermarchés de Ouagadougou (37 000 abonnés Facebook) : entrée directe dans la grande distribution burkinabè.</t>
        </is>
      </c>
      <c r="G23" s="11" t="inlineStr">
        <is>
          <t>Tél. +226 50 33 71 80 ; infos@marina-market.com</t>
        </is>
      </c>
      <c r="H23" s="12" t="inlineStr">
        <is>
          <t>🔗 https://www.daikinafrica.com/en_us/dealer-locator/marina-market.html</t>
        </is>
      </c>
      <c r="I23" s="8" t="inlineStr">
        <is>
          <t>🔴 Haute</t>
        </is>
      </c>
      <c r="J23" s="11" t="inlineStr">
        <is>
          <t>Contacts relevés sur une fiche revendeur tiers, à recouper.</t>
        </is>
      </c>
    </row>
    <row r="24">
      <c r="A24" s="4" t="n">
        <v>21</v>
      </c>
      <c r="B24" s="5" t="inlineStr">
        <is>
          <t>Laborex Burkina (CFAO Healthcare)</t>
        </is>
      </c>
      <c r="C24" s="6" t="inlineStr">
        <is>
          <t>🇧🇫 Burkina Faso</t>
        </is>
      </c>
      <c r="D24" s="6" t="inlineStr">
        <is>
          <t>Ouagadougou</t>
        </is>
      </c>
      <c r="E24" s="6" t="inlineStr">
        <is>
          <t>Grossiste répartiteur pharmaceutique</t>
        </is>
      </c>
      <c r="F24" s="6" t="inlineStr">
        <is>
          <t>Trente ans de répartition pharmaceutique au Burkina : couverture des pharmacies pour les gammes de soin.</t>
        </is>
      </c>
      <c r="G24" s="6" t="inlineStr">
        <is>
          <t>Tél. +226 25 37 26 32</t>
        </is>
      </c>
      <c r="H24" s="7" t="inlineStr">
        <is>
          <t>🔗 https://cfaohealthcare.com/our-network</t>
        </is>
      </c>
      <c r="I24" s="13" t="inlineStr">
        <is>
          <t>🟠 Moyenne</t>
        </is>
      </c>
      <c r="J24" s="6" t="inlineStr"/>
    </row>
    <row r="25">
      <c r="A25" s="9" t="n">
        <v>22</v>
      </c>
      <c r="B25" s="10" t="inlineStr">
        <is>
          <t>Laborex Mali (CFAO Healthcare)</t>
        </is>
      </c>
      <c r="C25" s="11" t="inlineStr">
        <is>
          <t>🇲🇱 Mali</t>
        </is>
      </c>
      <c r="D25" s="11" t="inlineStr">
        <is>
          <t>Bamako (Hamdallaye ACI 2000)</t>
        </is>
      </c>
      <c r="E25" s="11" t="inlineStr">
        <is>
          <t>Grossiste répartiteur pharmaceutique</t>
        </is>
      </c>
      <c r="F25" s="11" t="inlineStr">
        <is>
          <t>Répartiteur des pharmacies maliennes depuis 1992, avec plateforme de commande en ligne : canal parapharmacie au Mali.</t>
        </is>
      </c>
      <c r="G25" s="11" t="inlineStr">
        <is>
          <t>Formulaire contact sur le site</t>
        </is>
      </c>
      <c r="H25" s="12" t="inlineStr">
        <is>
          <t>🔗 https://www.laborex-mali.com/en/find-us-cms-nous-trouver</t>
        </is>
      </c>
      <c r="I25" s="13" t="inlineStr">
        <is>
          <t>🟠 Moyenne</t>
        </is>
      </c>
      <c r="J25" s="11" t="inlineStr">
        <is>
          <t>Contexte sécuritaire et logistique Mali à intégrer.</t>
        </is>
      </c>
    </row>
    <row r="26">
      <c r="A26" s="4" t="n">
        <v>23</v>
      </c>
      <c r="B26" s="5" t="inlineStr">
        <is>
          <t>CIM Market</t>
        </is>
      </c>
      <c r="C26" s="6" t="inlineStr">
        <is>
          <t>🇲🇱 Mali</t>
        </is>
      </c>
      <c r="D26" s="6" t="inlineStr">
        <is>
          <t>Bamako</t>
        </is>
      </c>
      <c r="E26" s="6" t="inlineStr">
        <is>
          <t>Chaîne de supermarchés</t>
        </is>
      </c>
      <c r="F26" s="6" t="inlineStr">
        <is>
          <t>Se présente comme le supermarché de référence de Bamako : premier rayon moderne pour Day by Day et PawPaw au Mali.</t>
        </is>
      </c>
      <c r="G26" s="6" t="inlineStr"/>
      <c r="H26" s="7" t="inlineStr">
        <is>
          <t>🔗 https://minicim.ml/</t>
        </is>
      </c>
      <c r="I26" s="13" t="inlineStr">
        <is>
          <t>🟠 Moyenne</t>
        </is>
      </c>
      <c r="J26" s="6" t="inlineStr">
        <is>
          <t>Nombre de magasins non vérifié.</t>
        </is>
      </c>
    </row>
    <row r="27">
      <c r="A27" s="9" t="n">
        <v>24</v>
      </c>
      <c r="B27" s="10" t="inlineStr">
        <is>
          <t>Ramco SA (Superamco)</t>
        </is>
      </c>
      <c r="C27" s="11" t="inlineStr">
        <is>
          <t>🇹🇬 Togo</t>
        </is>
      </c>
      <c r="D27" s="11" t="inlineStr">
        <is>
          <t>Lomé</t>
        </is>
      </c>
      <c r="E27" s="11" t="inlineStr">
        <is>
          <t>Supermarchés et distribution</t>
        </is>
      </c>
      <c r="F27" s="11" t="inlineStr">
        <is>
          <t>Présent depuis quarante ans au Togo avec supermarchés et réseau de distribution : peut porter Dream en magasin et en gros.</t>
        </is>
      </c>
      <c r="G27" s="11" t="inlineStr"/>
      <c r="H27" s="12" t="inlineStr">
        <is>
          <t>🔗 https://ramco.tg/en/home</t>
        </is>
      </c>
      <c r="I27" s="8" t="inlineStr">
        <is>
          <t>🔴 Haute</t>
        </is>
      </c>
      <c r="J27" s="11" t="inlineStr"/>
    </row>
    <row r="28">
      <c r="A28" s="4" t="n">
        <v>25</v>
      </c>
      <c r="B28" s="5" t="inlineStr">
        <is>
          <t>Groupe Le Champion</t>
        </is>
      </c>
      <c r="C28" s="6" t="inlineStr">
        <is>
          <t>🇹🇬 Togo</t>
        </is>
      </c>
      <c r="D28" s="6" t="inlineStr">
        <is>
          <t>Lomé</t>
        </is>
      </c>
      <c r="E28" s="6" t="inlineStr">
        <is>
          <t>Chaîne de supermarchés</t>
        </is>
      </c>
      <c r="F28" s="6" t="inlineStr">
        <is>
          <t>Enseigne fondée en 2014 qui mise sur la variété de l'offre : ouverture à de nouvelles marques régionales.</t>
        </is>
      </c>
      <c r="G28" s="6" t="inlineStr"/>
      <c r="H28" s="7" t="inlineStr">
        <is>
          <t>🔗 https://www.groupelechampion.com/fr</t>
        </is>
      </c>
      <c r="I28" s="13" t="inlineStr">
        <is>
          <t>🟠 Moyenne</t>
        </is>
      </c>
      <c r="J28" s="6" t="inlineStr"/>
    </row>
    <row r="29">
      <c r="A29" s="9" t="n">
        <v>26</v>
      </c>
      <c r="B29" s="10" t="inlineStr">
        <is>
          <t>Supermarchés Mont Sinaï</t>
        </is>
      </c>
      <c r="C29" s="11" t="inlineStr">
        <is>
          <t>🇧🇯 Bénin</t>
        </is>
      </c>
      <c r="D29" s="11" t="inlineStr">
        <is>
          <t>Cotonou (Cadjèhoun, Ménontin…)</t>
        </is>
      </c>
      <c r="E29" s="11" t="inlineStr">
        <is>
          <t>Chaîne de supermarchés</t>
        </is>
      </c>
      <c r="F29" s="11" t="inlineStr">
        <is>
          <t>Réseau de supermarchés multi-sites à Cotonou : volume pour les gammes familiales.</t>
        </is>
      </c>
      <c r="G29" s="11" t="inlineStr">
        <is>
          <t>contact@supermarchemontsinai.com ; +229 62 69 50 72</t>
        </is>
      </c>
      <c r="H29" s="12" t="inlineStr">
        <is>
          <t>🔗 https://www.supermarchemontsinai.com/contact/</t>
        </is>
      </c>
      <c r="I29" s="13" t="inlineStr">
        <is>
          <t>🟠 Moyenne</t>
        </is>
      </c>
      <c r="J29" s="11" t="inlineStr"/>
    </row>
    <row r="30">
      <c r="A30" s="4" t="n">
        <v>27</v>
      </c>
      <c r="B30" s="5" t="inlineStr">
        <is>
          <t>Erevan Bénin (Super U)</t>
        </is>
      </c>
      <c r="C30" s="6" t="inlineStr">
        <is>
          <t>🇧🇯 Bénin</t>
        </is>
      </c>
      <c r="D30" s="6" t="inlineStr">
        <is>
          <t>Cotonou</t>
        </is>
      </c>
      <c r="E30" s="6" t="inlineStr">
        <is>
          <t>Hypermarché et supermarchés</t>
        </is>
      </c>
      <c r="F30" s="6" t="inlineStr">
        <is>
          <t>Partenaire de Système U au Bénin, avec le plus grand supermarché de Cotonou : vitrine pour Dermaskin et I Love.</t>
        </is>
      </c>
      <c r="G30" s="6" t="inlineStr"/>
      <c r="H30" s="7" t="inlineStr">
        <is>
          <t>🔗 https://trendtype.com/news/new-super-u-supermarket-opens-in-akpakpa</t>
        </is>
      </c>
      <c r="I30" s="13" t="inlineStr">
        <is>
          <t>🟠 Moyenne</t>
        </is>
      </c>
      <c r="J30" s="6" t="inlineStr"/>
    </row>
    <row r="31">
      <c r="A31" s="9" t="n">
        <v>28</v>
      </c>
      <c r="B31" s="10" t="inlineStr">
        <is>
          <t>UbiPharm Bénin</t>
        </is>
      </c>
      <c r="C31" s="11" t="inlineStr">
        <is>
          <t>🇧🇯 Bénin</t>
        </is>
      </c>
      <c r="D31" s="11" t="inlineStr">
        <is>
          <t>Cotonou</t>
        </is>
      </c>
      <c r="E31" s="11" t="inlineStr">
        <is>
          <t>Grossiste répartiteur pharmaceutique</t>
        </is>
      </c>
      <c r="F31" s="11" t="inlineStr">
        <is>
          <t>Répartiteur actif depuis dix ans au Bénin : canal pharmacie pour les soins de peau et bébé.</t>
        </is>
      </c>
      <c r="G31" s="11" t="inlineStr"/>
      <c r="H31" s="12" t="inlineStr">
        <is>
          <t>🔗 https://benin.ubipharm.com/</t>
        </is>
      </c>
      <c r="I31" s="13" t="inlineStr">
        <is>
          <t>🟠 Moyenne</t>
        </is>
      </c>
      <c r="J31" s="11" t="inlineStr"/>
    </row>
    <row r="32">
      <c r="A32" s="4" t="n">
        <v>29</v>
      </c>
      <c r="B32" s="5" t="inlineStr">
        <is>
          <t>Impérial Corporation Guinée (Carrefour Market Conakry)</t>
        </is>
      </c>
      <c r="C32" s="6" t="inlineStr">
        <is>
          <t>🇬🇳 Guinée</t>
        </is>
      </c>
      <c r="D32" s="6" t="inlineStr">
        <is>
          <t>Conakry</t>
        </is>
      </c>
      <c r="E32" s="6" t="inlineStr">
        <is>
          <t>Supermarché (franchise Carrefour)</t>
        </is>
      </c>
      <c r="F32" s="6" t="inlineStr">
        <is>
          <t>A ouvert en avril 2026 le premier Carrefour Market de Guinée, avec rayon cosmétiques : nouveau magasin qui constitue son assortiment.</t>
        </is>
      </c>
      <c r="G32" s="6" t="inlineStr"/>
      <c r="H32" s="7" t="inlineStr">
        <is>
          <t>🔗 https://guineenews.org/2026/04/15/grande-distribution-carrefour-debarque-en-guinee-avec-un-premier-carrefour-market-a-conakry/</t>
        </is>
      </c>
      <c r="I32" s="8" t="inlineStr">
        <is>
          <t>🔴 Haute</t>
        </is>
      </c>
      <c r="J32" s="6" t="inlineStr">
        <is>
          <t>Un seul magasin à ce jour.</t>
        </is>
      </c>
    </row>
    <row r="33">
      <c r="A33" s="9" t="n">
        <v>30</v>
      </c>
      <c r="B33" s="10" t="inlineStr">
        <is>
          <t>Laborex Guinée (CFAO Healthcare)</t>
        </is>
      </c>
      <c r="C33" s="11" t="inlineStr">
        <is>
          <t>🇬🇳 Guinée</t>
        </is>
      </c>
      <c r="D33" s="11" t="inlineStr">
        <is>
          <t>Conakry (zone industrielle)</t>
        </is>
      </c>
      <c r="E33" s="11" t="inlineStr">
        <is>
          <t>Grossiste répartiteur pharmaceutique</t>
        </is>
      </c>
      <c r="F33" s="11" t="inlineStr">
        <is>
          <t>Répartiteur des pharmacies guinéennes : seule voie structurée vers la parapharmacie à Conakry.</t>
        </is>
      </c>
      <c r="G33" s="11" t="inlineStr"/>
      <c r="H33" s="12" t="inlineStr">
        <is>
          <t>🔗 https://www.laborex-guinee.com/fr/qui-sommes-nous-cms-qui-sommes-nous</t>
        </is>
      </c>
      <c r="I33" s="13" t="inlineStr">
        <is>
          <t>🟠 Moyenne</t>
        </is>
      </c>
      <c r="J33" s="11" t="inlineStr"/>
    </row>
    <row r="35">
      <c r="B35" s="15" t="inlineStr">
        <is>
          <t>📊 Synthèse</t>
        </is>
      </c>
    </row>
    <row r="36">
      <c r="A36" s="3" t="inlineStr"/>
      <c r="B36" s="3" t="inlineStr">
        <is>
          <t>Pays</t>
        </is>
      </c>
      <c r="C36" s="3" t="inlineStr">
        <is>
          <t>Total</t>
        </is>
      </c>
      <c r="D36" s="3" t="inlineStr">
        <is>
          <t>Haute</t>
        </is>
      </c>
      <c r="E36" s="3" t="inlineStr">
        <is>
          <t>Moyenne</t>
        </is>
      </c>
      <c r="F36" s="3" t="inlineStr">
        <is>
          <t>Basse</t>
        </is>
      </c>
    </row>
    <row r="37">
      <c r="B37" s="16" t="inlineStr">
        <is>
          <t>🇨🇮 Côte d'Ivoire</t>
        </is>
      </c>
      <c r="C37" s="16">
        <f>COUNTIF($C$4:$C$33,B37)</f>
        <v/>
      </c>
      <c r="D37" s="16">
        <f>COUNTIFS($C$4:$C$33,$B37,$I$4:$I$33,"*Haute")</f>
        <v/>
      </c>
      <c r="E37" s="16">
        <f>COUNTIFS($C$4:$C$33,$B37,$I$4:$I$33,"*Moyenne")</f>
        <v/>
      </c>
      <c r="F37" s="16">
        <f>COUNTIFS($C$4:$C$33,$B37,$I$4:$I$33,"*Basse")</f>
        <v/>
      </c>
    </row>
    <row r="38">
      <c r="B38" s="16" t="inlineStr">
        <is>
          <t>🇸🇳 Sénégal</t>
        </is>
      </c>
      <c r="C38" s="16">
        <f>COUNTIF($C$4:$C$33,B38)</f>
        <v/>
      </c>
      <c r="D38" s="16">
        <f>COUNTIFS($C$4:$C$33,$B38,$I$4:$I$33,"*Haute")</f>
        <v/>
      </c>
      <c r="E38" s="16">
        <f>COUNTIFS($C$4:$C$33,$B38,$I$4:$I$33,"*Moyenne")</f>
        <v/>
      </c>
      <c r="F38" s="16">
        <f>COUNTIFS($C$4:$C$33,$B38,$I$4:$I$33,"*Basse")</f>
        <v/>
      </c>
    </row>
    <row r="39">
      <c r="B39" s="16" t="inlineStr">
        <is>
          <t>🇧🇫 Burkina Faso</t>
        </is>
      </c>
      <c r="C39" s="16">
        <f>COUNTIF($C$4:$C$33,B39)</f>
        <v/>
      </c>
      <c r="D39" s="16">
        <f>COUNTIFS($C$4:$C$33,$B39,$I$4:$I$33,"*Haute")</f>
        <v/>
      </c>
      <c r="E39" s="16">
        <f>COUNTIFS($C$4:$C$33,$B39,$I$4:$I$33,"*Moyenne")</f>
        <v/>
      </c>
      <c r="F39" s="16">
        <f>COUNTIFS($C$4:$C$33,$B39,$I$4:$I$33,"*Basse")</f>
        <v/>
      </c>
    </row>
    <row r="40">
      <c r="B40" s="16" t="inlineStr">
        <is>
          <t>🇲🇱 Mali</t>
        </is>
      </c>
      <c r="C40" s="16">
        <f>COUNTIF($C$4:$C$33,B40)</f>
        <v/>
      </c>
      <c r="D40" s="16">
        <f>COUNTIFS($C$4:$C$33,$B40,$I$4:$I$33,"*Haute")</f>
        <v/>
      </c>
      <c r="E40" s="16">
        <f>COUNTIFS($C$4:$C$33,$B40,$I$4:$I$33,"*Moyenne")</f>
        <v/>
      </c>
      <c r="F40" s="16">
        <f>COUNTIFS($C$4:$C$33,$B40,$I$4:$I$33,"*Basse")</f>
        <v/>
      </c>
    </row>
    <row r="41">
      <c r="B41" s="16" t="inlineStr">
        <is>
          <t>🇹🇬 Togo</t>
        </is>
      </c>
      <c r="C41" s="16">
        <f>COUNTIF($C$4:$C$33,B41)</f>
        <v/>
      </c>
      <c r="D41" s="16">
        <f>COUNTIFS($C$4:$C$33,$B41,$I$4:$I$33,"*Haute")</f>
        <v/>
      </c>
      <c r="E41" s="16">
        <f>COUNTIFS($C$4:$C$33,$B41,$I$4:$I$33,"*Moyenne")</f>
        <v/>
      </c>
      <c r="F41" s="16">
        <f>COUNTIFS($C$4:$C$33,$B41,$I$4:$I$33,"*Basse")</f>
        <v/>
      </c>
    </row>
    <row r="42">
      <c r="B42" s="16" t="inlineStr">
        <is>
          <t>🇧🇯 Bénin</t>
        </is>
      </c>
      <c r="C42" s="16">
        <f>COUNTIF($C$4:$C$33,B42)</f>
        <v/>
      </c>
      <c r="D42" s="16">
        <f>COUNTIFS($C$4:$C$33,$B42,$I$4:$I$33,"*Haute")</f>
        <v/>
      </c>
      <c r="E42" s="16">
        <f>COUNTIFS($C$4:$C$33,$B42,$I$4:$I$33,"*Moyenne")</f>
        <v/>
      </c>
      <c r="F42" s="16">
        <f>COUNTIFS($C$4:$C$33,$B42,$I$4:$I$33,"*Basse")</f>
        <v/>
      </c>
    </row>
    <row r="43">
      <c r="B43" s="16" t="inlineStr">
        <is>
          <t>🇬🇳 Guinée</t>
        </is>
      </c>
      <c r="C43" s="16">
        <f>COUNTIF($C$4:$C$33,B43)</f>
        <v/>
      </c>
      <c r="D43" s="16">
        <f>COUNTIFS($C$4:$C$33,$B43,$I$4:$I$33,"*Haute")</f>
        <v/>
      </c>
      <c r="E43" s="16">
        <f>COUNTIFS($C$4:$C$33,$B43,$I$4:$I$33,"*Moyenne")</f>
        <v/>
      </c>
      <c r="F43" s="16">
        <f>COUNTIFS($C$4:$C$33,$B43,$I$4:$I$33,"*Basse")</f>
        <v/>
      </c>
    </row>
    <row r="44">
      <c r="B44" s="17" t="inlineStr">
        <is>
          <t>Total</t>
        </is>
      </c>
      <c r="C44" s="18">
        <f>SUM(C37:C43)</f>
        <v/>
      </c>
      <c r="D44" s="18">
        <f>SUM(D37:D43)</f>
        <v/>
      </c>
      <c r="E44" s="18">
        <f>SUM(E37:E43)</f>
        <v/>
      </c>
      <c r="F44" s="18">
        <f>SUM(F37:F43)</f>
        <v/>
      </c>
    </row>
    <row r="46">
      <c r="B46" s="19" t="inlineStr">
        <is>
          <t>Écartés faute de source publique solide : les grossistes des marchés d'Adjamé et de Treichville. Ils se repèrent sur le terrain (voir le plan de prospection, semaine 2).</t>
        </is>
      </c>
    </row>
  </sheetData>
  <autoFilter ref="A3:J33"/>
  <mergeCells count="2">
    <mergeCell ref="B1:J1"/>
    <mergeCell ref="A2:J2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  <hyperlink xmlns:r="http://schemas.openxmlformats.org/officeDocument/2006/relationships" ref="H10" r:id="rId7"/>
    <hyperlink xmlns:r="http://schemas.openxmlformats.org/officeDocument/2006/relationships" ref="H11" r:id="rId8"/>
    <hyperlink xmlns:r="http://schemas.openxmlformats.org/officeDocument/2006/relationships" ref="H12" r:id="rId9"/>
    <hyperlink xmlns:r="http://schemas.openxmlformats.org/officeDocument/2006/relationships" ref="H13" r:id="rId10"/>
    <hyperlink xmlns:r="http://schemas.openxmlformats.org/officeDocument/2006/relationships" ref="H14" r:id="rId11"/>
    <hyperlink xmlns:r="http://schemas.openxmlformats.org/officeDocument/2006/relationships" ref="H15" r:id="rId12"/>
    <hyperlink xmlns:r="http://schemas.openxmlformats.org/officeDocument/2006/relationships" ref="H16" r:id="rId13"/>
    <hyperlink xmlns:r="http://schemas.openxmlformats.org/officeDocument/2006/relationships" ref="H17" r:id="rId14"/>
    <hyperlink xmlns:r="http://schemas.openxmlformats.org/officeDocument/2006/relationships" ref="H18" r:id="rId15"/>
    <hyperlink xmlns:r="http://schemas.openxmlformats.org/officeDocument/2006/relationships" ref="H19" r:id="rId16"/>
    <hyperlink xmlns:r="http://schemas.openxmlformats.org/officeDocument/2006/relationships" ref="H20" r:id="rId17"/>
    <hyperlink xmlns:r="http://schemas.openxmlformats.org/officeDocument/2006/relationships" ref="H21" r:id="rId18"/>
    <hyperlink xmlns:r="http://schemas.openxmlformats.org/officeDocument/2006/relationships" ref="H22" r:id="rId19"/>
    <hyperlink xmlns:r="http://schemas.openxmlformats.org/officeDocument/2006/relationships" ref="H23" r:id="rId20"/>
    <hyperlink xmlns:r="http://schemas.openxmlformats.org/officeDocument/2006/relationships" ref="H24" r:id="rId21"/>
    <hyperlink xmlns:r="http://schemas.openxmlformats.org/officeDocument/2006/relationships" ref="H25" r:id="rId22"/>
    <hyperlink xmlns:r="http://schemas.openxmlformats.org/officeDocument/2006/relationships" ref="H26" r:id="rId23"/>
    <hyperlink xmlns:r="http://schemas.openxmlformats.org/officeDocument/2006/relationships" ref="H27" r:id="rId24"/>
    <hyperlink xmlns:r="http://schemas.openxmlformats.org/officeDocument/2006/relationships" ref="H28" r:id="rId25"/>
    <hyperlink xmlns:r="http://schemas.openxmlformats.org/officeDocument/2006/relationships" ref="H29" r:id="rId26"/>
    <hyperlink xmlns:r="http://schemas.openxmlformats.org/officeDocument/2006/relationships" ref="H30" r:id="rId27"/>
    <hyperlink xmlns:r="http://schemas.openxmlformats.org/officeDocument/2006/relationships" ref="H31" r:id="rId28"/>
    <hyperlink xmlns:r="http://schemas.openxmlformats.org/officeDocument/2006/relationships" ref="H32" r:id="rId29"/>
    <hyperlink xmlns:r="http://schemas.openxmlformats.org/officeDocument/2006/relationships" ref="H33" r:id="rId30"/>
  </hyperlinks>
  <pageMargins left="0.75" right="0.75" top="1" bottom="1" header="0.5" footer="0.5"/>
  <drawing xmlns:r="http://schemas.openxmlformats.org/officeDocument/2006/relationships" r:id="rId3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2026-10-28T20:55:58Z</dcterms:created>
  <dcterms:modified xmlns:dcterms="http://purl.org/dc/terms/" xmlns:xsi="http://www.w3.org/2001/XMLSchema-instance" xsi:type="dcterms:W3CDTF">2026-10-28T20:55:58Z</dcterms:modified>
</cp:coreProperties>
</file>