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troplanning" sheetId="1" state="visible" r:id="rId1"/>
    <sheet xmlns:r="http://schemas.openxmlformats.org/officeDocument/2006/relationships" name="Pièces administratives" sheetId="2" state="visible" r:id="rId2"/>
    <sheet xmlns:r="http://schemas.openxmlformats.org/officeDocument/2006/relationships" name="Offre financière" sheetId="3" state="visible" r:id="rId3"/>
    <sheet xmlns:r="http://schemas.openxmlformats.org/officeDocument/2006/relationships" name="Références" sheetId="4" state="visible" r:id="rId4"/>
    <sheet xmlns:r="http://schemas.openxmlformats.org/officeDocument/2006/relationships" name="Dépôt et sommai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/YYYY HH:MM"/>
    <numFmt numFmtId="166" formatCode="yyyy-mm-dd"/>
    <numFmt numFmtId="167" formatCode="DD/MM/YYYY"/>
    <numFmt numFmtId="168" formatCode="#,##0;-#,##0;&quot;-&quot;"/>
  </numFmts>
  <fonts count="9">
    <font>
      <name val="Calibri"/>
      <family val="2"/>
      <color theme="1"/>
      <sz val="11"/>
      <scheme val="minor"/>
    </font>
    <font>
      <name val="Poppins"/>
      <b val="1"/>
      <color rgb="FF3A0CA3"/>
      <sz val="16"/>
    </font>
    <font>
      <name val="Poppins"/>
      <color rgb="FF5B6168"/>
      <sz val="10"/>
    </font>
    <font>
      <name val="Poppins"/>
      <b val="1"/>
      <color rgb="FF1F2328"/>
      <sz val="10"/>
    </font>
    <font>
      <name val="Poppins"/>
      <b val="1"/>
      <color rgb="FFB42318"/>
      <sz val="10"/>
    </font>
    <font>
      <name val="Poppins"/>
      <b val="1"/>
      <color rgb="FFFFFFFF"/>
      <sz val="10"/>
    </font>
    <font>
      <name val="Poppins"/>
      <color rgb="FF1F2328"/>
      <sz val="10"/>
    </font>
    <font>
      <name val="Poppins"/>
      <i val="1"/>
      <color rgb="FF5B6168"/>
      <sz val="8"/>
    </font>
    <font>
      <name val="Poppins"/>
      <b val="1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EDFEF8"/>
      </patternFill>
    </fill>
    <fill>
      <patternFill patternType="solid">
        <fgColor rgb="FF3A0CA3"/>
      </patternFill>
    </fill>
    <fill>
      <patternFill patternType="solid">
        <fgColor rgb="FFEFECF8"/>
      </patternFill>
    </fill>
  </fills>
  <borders count="3">
    <border>
      <left/>
      <right/>
      <top/>
      <bottom/>
      <diagonal/>
    </border>
    <border>
      <bottom style="thin">
        <color rgb="FFCEC2E8"/>
      </bottom>
    </border>
    <border>
      <top style="medium">
        <color rgb="FF3A0CA3"/>
      </top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3" fillId="2" borderId="0" pivotButton="0" quotePrefix="0" xfId="0"/>
    <xf numFmtId="167" fontId="3" fillId="2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167" fontId="6" fillId="0" borderId="1" applyAlignment="1" pivotButton="0" quotePrefix="0" xfId="0">
      <alignment vertical="top" wrapText="1"/>
    </xf>
    <xf numFmtId="1" fontId="6" fillId="0" borderId="1" applyAlignment="1" pivotButton="0" quotePrefix="0" xfId="0">
      <alignment vertical="top" wrapText="1"/>
    </xf>
    <xf numFmtId="0" fontId="7" fillId="0" borderId="0" pivotButton="0" quotePrefix="0" xfId="0"/>
    <xf numFmtId="3" fontId="6" fillId="0" borderId="1" applyAlignment="1" pivotButton="0" quotePrefix="0" xfId="0">
      <alignment vertical="top" wrapText="1"/>
    </xf>
    <xf numFmtId="168" fontId="6" fillId="0" borderId="1" applyAlignment="1" pivotButton="0" quotePrefix="0" xfId="0">
      <alignment vertical="top" wrapText="1"/>
    </xf>
    <xf numFmtId="0" fontId="8" fillId="4" borderId="2" pivotButton="0" quotePrefix="0" xfId="0"/>
    <xf numFmtId="168" fontId="8" fillId="4" borderId="2" pivotButton="0" quotePrefix="0" xfId="0"/>
    <xf numFmtId="0" fontId="3" fillId="0" borderId="1" applyAlignment="1" pivotButton="0" quotePrefix="0" xfId="0">
      <alignment vertical="top" wrapText="1"/>
    </xf>
    <xf numFmtId="165" fontId="6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name val="Poppins"/>
        <b val="1"/>
        <color rgb="FFB42318"/>
        <sz val="10"/>
      </font>
      <fill>
        <patternFill patternType="solid">
          <fgColor rgb="FFFDE2E1"/>
        </patternFill>
      </fill>
    </dxf>
    <dxf>
      <font>
        <name val="Poppins"/>
        <b val="1"/>
        <color rgb="FFB42318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09650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09650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09650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09650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09650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4" customWidth="1" min="3" max="3"/>
    <col width="20" customWidth="1" min="4" max="4"/>
    <col width="12" customWidth="1" min="5" max="5"/>
    <col width="46" customWidth="1" min="6" max="6"/>
    <col width="12" customWidth="1" min="7" max="7"/>
  </cols>
  <sheetData>
    <row r="1" ht="22" customHeight="1">
      <c r="D1" s="1" t="inlineStr">
        <is>
          <t>Dossier de soumission, suivi interne</t>
        </is>
      </c>
    </row>
    <row r="2" ht="20" customHeight="1">
      <c r="D2" s="2" t="inlineStr">
        <is>
          <t>CONS-PLS-2026-07 (FICTIF), Fourniture et mise en service d'une solution d'encaissement électronique (Mobile Money, cartes, QR code) pour 14 officines du Plateau et de Cocody</t>
        </is>
      </c>
    </row>
    <row r="4">
      <c r="A4" s="3" t="inlineStr">
        <is>
          <t>Date et heure limites de dépôt</t>
        </is>
      </c>
      <c r="B4" s="4" t="n">
        <v>46332.41666666666</v>
      </c>
      <c r="C4" s="2" t="inlineStr">
        <is>
          <t>Recopiée du dossier de consultation. Toutes les dates se recalculent à rebours.</t>
        </is>
      </c>
    </row>
    <row r="5">
      <c r="A5" s="3" t="inlineStr">
        <is>
          <t>Date du jour</t>
        </is>
      </c>
      <c r="B5" s="5" t="n">
        <v>46311</v>
      </c>
    </row>
    <row r="6">
      <c r="A6" s="3" t="inlineStr">
        <is>
          <t>Jours restants avant le dépôt</t>
        </is>
      </c>
      <c r="B6" s="6">
        <f>INT(B4)-B5</f>
        <v/>
      </c>
    </row>
    <row r="8" ht="30" customHeight="1">
      <c r="A8" s="7" t="inlineStr">
        <is>
          <t>Jalon</t>
        </is>
      </c>
      <c r="B8" s="7" t="inlineStr">
        <is>
          <t>Jours avant le dépôt</t>
        </is>
      </c>
      <c r="C8" s="7" t="inlineStr">
        <is>
          <t>Date limite calculée</t>
        </is>
      </c>
      <c r="D8" s="7" t="inlineStr">
        <is>
          <t>Responsable</t>
        </is>
      </c>
      <c r="E8" s="7" t="inlineStr">
        <is>
          <t>Statut</t>
        </is>
      </c>
      <c r="F8" s="7" t="inlineStr">
        <is>
          <t>Point critique</t>
        </is>
      </c>
      <c r="G8" s="7" t="inlineStr">
        <is>
          <t>Jours restants</t>
        </is>
      </c>
    </row>
    <row r="9">
      <c r="A9" s="8" t="inlineStr">
        <is>
          <t>Attestation ou copie de l'agrément de Julaya (établissement de paiement BCEAO) et lettre de partenariat Julaya-Jèko</t>
        </is>
      </c>
      <c r="B9" s="9" t="n">
        <v>15</v>
      </c>
      <c r="C9" s="10">
        <f>INT($B$4)-B9</f>
        <v/>
      </c>
      <c r="D9" s="8" t="inlineStr">
        <is>
          <t>Direction de Jèko</t>
        </is>
      </c>
      <c r="E9" s="8" t="inlineStr">
        <is>
          <t>À faire</t>
        </is>
      </c>
      <c r="F9" s="8" t="inlineStr">
        <is>
          <t>Oui : pièce détenue par un tiers (Julaya), délai inconnu</t>
        </is>
      </c>
      <c r="G9" s="11">
        <f>C9-$B$5</f>
        <v/>
      </c>
    </row>
    <row r="10">
      <c r="A10" s="8" t="inlineStr">
        <is>
          <t>Réponse écrite de l'équipe produit sur le fonctionnement sans connexion (exigence 3.4 du cahier des charges FICTIF)</t>
        </is>
      </c>
      <c r="B10" s="9" t="n">
        <v>14</v>
      </c>
      <c r="C10" s="10">
        <f>INT($B$4)-B10</f>
        <v/>
      </c>
      <c r="D10" s="8" t="inlineStr">
        <is>
          <t>Équipe produit Jèko</t>
        </is>
      </c>
      <c r="E10" s="8" t="inlineStr">
        <is>
          <t>À faire</t>
        </is>
      </c>
      <c r="F10" s="8" t="inlineStr">
        <is>
          <t>Oui : le site se contredit sur ce point</t>
        </is>
      </c>
      <c r="G10" s="11">
        <f>C10-$B$5</f>
        <v/>
      </c>
    </row>
    <row r="11">
      <c r="A11" s="8" t="inlineStr">
        <is>
          <t>Attestations de régularité fiscale et sociale à jour</t>
        </is>
      </c>
      <c r="B11" s="9" t="n">
        <v>10</v>
      </c>
      <c r="C11" s="10">
        <f>INT($B$4)-B11</f>
        <v/>
      </c>
      <c r="D11" s="8" t="inlineStr">
        <is>
          <t>Administration de Jèko</t>
        </is>
      </c>
      <c r="E11" s="8" t="inlineStr">
        <is>
          <t>À faire</t>
        </is>
      </c>
      <c r="F11" s="8" t="inlineStr">
        <is>
          <t>Oui si une attestation expire avant le 06/11</t>
        </is>
      </c>
      <c r="G11" s="11">
        <f>C11-$B$5</f>
        <v/>
      </c>
    </row>
    <row r="12">
      <c r="A12" s="8" t="inlineStr">
        <is>
          <t>Lettres de référence de 2 commerces clients (accord écrit de citer)</t>
        </is>
      </c>
      <c r="B12" s="9" t="n">
        <v>9</v>
      </c>
      <c r="C12" s="10">
        <f>INT($B$4)-B12</f>
        <v/>
      </c>
      <c r="D12" s="8" t="inlineStr">
        <is>
          <t>Kouassi</t>
        </is>
      </c>
      <c r="E12" s="8" t="inlineStr">
        <is>
          <t>À faire</t>
        </is>
      </c>
      <c r="F12" s="8" t="inlineStr">
        <is>
          <t>Non</t>
        </is>
      </c>
      <c r="G12" s="11">
        <f>C12-$B$5</f>
        <v/>
      </c>
    </row>
    <row r="13">
      <c r="A13" s="8" t="inlineStr">
        <is>
          <t>Prix arrêtés et remise éventuelle validés par la direction</t>
        </is>
      </c>
      <c r="B13" s="9" t="n">
        <v>7</v>
      </c>
      <c r="C13" s="10">
        <f>INT($B$4)-B13</f>
        <v/>
      </c>
      <c r="D13" s="8" t="inlineStr">
        <is>
          <t>Direction de Jèko</t>
        </is>
      </c>
      <c r="E13" s="8" t="inlineStr">
        <is>
          <t>En cours</t>
        </is>
      </c>
      <c r="F13" s="8" t="inlineStr">
        <is>
          <t>Non</t>
        </is>
      </c>
      <c r="G13" s="11">
        <f>C13-$B$5</f>
        <v/>
      </c>
    </row>
    <row r="14">
      <c r="A14" s="8" t="inlineStr">
        <is>
          <t>Offre technique rédigée (réponse point par point au cahier des charges)</t>
        </is>
      </c>
      <c r="B14" s="9" t="n">
        <v>4</v>
      </c>
      <c r="C14" s="10">
        <f>INT($B$4)-B14</f>
        <v/>
      </c>
      <c r="D14" s="8" t="inlineStr">
        <is>
          <t>Kouassi</t>
        </is>
      </c>
      <c r="E14" s="8" t="inlineStr">
        <is>
          <t>En cours</t>
        </is>
      </c>
      <c r="F14" s="8" t="inlineStr">
        <is>
          <t>Non</t>
        </is>
      </c>
      <c r="G14" s="11">
        <f>C14-$B$5</f>
        <v/>
      </c>
    </row>
    <row r="15">
      <c r="A15" s="8" t="inlineStr">
        <is>
          <t>Relecture de conformité du dossier complet contre le cahier des charges</t>
        </is>
      </c>
      <c r="B15" s="9" t="n">
        <v>2</v>
      </c>
      <c r="C15" s="10">
        <f>INT($B$4)-B15</f>
        <v/>
      </c>
      <c r="D15" s="8" t="inlineStr">
        <is>
          <t>Direction commerciale</t>
        </is>
      </c>
      <c r="E15" s="8" t="inlineStr">
        <is>
          <t>À faire</t>
        </is>
      </c>
      <c r="F15" s="8" t="inlineStr">
        <is>
          <t>Non</t>
        </is>
      </c>
      <c r="G15" s="11">
        <f>C15-$B$5</f>
        <v/>
      </c>
    </row>
    <row r="16">
      <c r="A16" s="8" t="inlineStr">
        <is>
          <t>Signature, cachet, copies, mise sous pli</t>
        </is>
      </c>
      <c r="B16" s="9" t="n">
        <v>1</v>
      </c>
      <c r="C16" s="10">
        <f>INT($B$4)-B16</f>
        <v/>
      </c>
      <c r="D16" s="8" t="inlineStr">
        <is>
          <t>Administration de Jèko</t>
        </is>
      </c>
      <c r="E16" s="8" t="inlineStr">
        <is>
          <t>À faire</t>
        </is>
      </c>
      <c r="F16" s="8" t="inlineStr">
        <is>
          <t>Non</t>
        </is>
      </c>
      <c r="G16" s="11">
        <f>C16-$B$5</f>
        <v/>
      </c>
    </row>
    <row r="25">
      <c r="A25" s="12" t="inlineStr">
        <is>
          <t>Jèko, Abidjan, Côte d'Ivoire · jeko.africa. Document d'entraînement : consultation, acheteur et calendrier FICTIFS.</t>
        </is>
      </c>
    </row>
    <row r="26">
      <c r="A26" s="12" t="inlineStr">
        <is>
          <t>Document confidentiel, réservé à l'acheteur destinataire.</t>
        </is>
      </c>
    </row>
  </sheetData>
  <conditionalFormatting sqref="A9:G22">
    <cfRule type="expression" priority="1" dxfId="0">
      <formula>AND($E9&lt;&gt;"Obtenu",$C9&lt;&gt;"",$G9&lt;0)</formula>
    </cfRule>
  </conditionalFormatting>
  <conditionalFormatting sqref="G9:G22">
    <cfRule type="expression" priority="2" dxfId="1">
      <formula>AND($E9&lt;&gt;"Obtenu",$G9&gt;=0,$G9&lt;=2)</formula>
    </cfRule>
  </conditionalFormatting>
  <dataValidations count="1">
    <dataValidation sqref="E9:E22" showDropDown="0" showInputMessage="0" showErrorMessage="1" allowBlank="1" errorTitle="Statut" error="Choisissez une valeur de la liste." type="list">
      <formula1>"À faire,En cours,Obtenu"</formula1>
    </dataValidation>
  </dataValidations>
  <pageMargins left="0.75" right="0.75" top="1" bottom="1" header="0.5" footer="0.5"/>
  <headerFooter>
    <oddHeader/>
    <oddFooter>&amp;LJèko&amp;RPage &amp;P sur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13" customWidth="1" min="3" max="3"/>
    <col width="26" customWidth="1" min="4" max="4"/>
    <col width="20" customWidth="1" min="5" max="5"/>
    <col width="13" customWidth="1" min="6" max="6"/>
    <col width="28" customWidth="1" min="7" max="7"/>
  </cols>
  <sheetData>
    <row r="1" ht="22" customHeight="1">
      <c r="D1" s="1" t="inlineStr">
        <is>
          <t>Pièces administratives</t>
        </is>
      </c>
    </row>
    <row r="2" ht="20" customHeight="1">
      <c r="D2" s="2" t="inlineStr">
        <is>
          <t>Liste tirée du dossier de consultation, jamais d'un dossier précédent</t>
        </is>
      </c>
    </row>
    <row r="5" ht="30" customHeight="1">
      <c r="A5" s="7" t="inlineStr">
        <is>
          <t>Pièce exigée</t>
        </is>
      </c>
      <c r="B5" s="7" t="inlineStr">
        <is>
          <t>Forme exigée</t>
        </is>
      </c>
      <c r="C5" s="7" t="inlineStr">
        <is>
          <t>Validité</t>
        </is>
      </c>
      <c r="D5" s="7" t="inlineStr">
        <is>
          <t>Organisme émetteur</t>
        </is>
      </c>
      <c r="E5" s="7" t="inlineStr">
        <is>
          <t>Délai d'obtention</t>
        </is>
      </c>
      <c r="F5" s="7" t="inlineStr">
        <is>
          <t>Statut</t>
        </is>
      </c>
      <c r="G5" s="7" t="inlineStr">
        <is>
          <t>Contrôle au dépôt</t>
        </is>
      </c>
    </row>
    <row r="6">
      <c r="A6" s="8" t="inlineStr">
        <is>
          <t>Extrait du registre du commerce et du crédit mobilier (RCCM)</t>
        </is>
      </c>
      <c r="B6" s="8" t="inlineStr">
        <is>
          <t>Copie certifiée conforme</t>
        </is>
      </c>
      <c r="C6" s="10" t="n"/>
      <c r="D6" s="8" t="inlineStr">
        <is>
          <t>Tribunal de commerce d'Abidjan</t>
        </is>
      </c>
      <c r="E6" s="8" t="inlineStr">
        <is>
          <t>À demander au greffe</t>
        </is>
      </c>
      <c r="F6" s="8" t="inlineStr">
        <is>
          <t>À demander</t>
        </is>
      </c>
      <c r="G6" s="8">
        <f>IF(C6="","Validité à lire sur la pièce",IF(C6&lt;INT(Rétroplanning!$B$4),"EXPIRE AVANT LE DÉPÔT","Valide au dépôt"))</f>
        <v/>
      </c>
    </row>
    <row r="7">
      <c r="A7" s="8" t="inlineStr">
        <is>
          <t>Attestation de régularité fiscale</t>
        </is>
      </c>
      <c r="B7" s="8" t="inlineStr">
        <is>
          <t>Original</t>
        </is>
      </c>
      <c r="C7" s="10" t="n"/>
      <c r="D7" s="8" t="inlineStr">
        <is>
          <t>DGI</t>
        </is>
      </c>
      <c r="E7" s="8" t="inlineStr">
        <is>
          <t>À demander à la DGI</t>
        </is>
      </c>
      <c r="F7" s="8" t="inlineStr">
        <is>
          <t>À demander</t>
        </is>
      </c>
      <c r="G7" s="8">
        <f>IF(C7="","Validité à lire sur la pièce",IF(C7&lt;INT(Rétroplanning!$B$4),"EXPIRE AVANT LE DÉPÔT","Valide au dépôt"))</f>
        <v/>
      </c>
    </row>
    <row r="8">
      <c r="A8" s="8" t="inlineStr">
        <is>
          <t>Attestation de mise à jour CNPS</t>
        </is>
      </c>
      <c r="B8" s="8" t="inlineStr">
        <is>
          <t>Original</t>
        </is>
      </c>
      <c r="C8" s="10" t="n"/>
      <c r="D8" s="8" t="inlineStr">
        <is>
          <t>CNPS</t>
        </is>
      </c>
      <c r="E8" s="8" t="inlineStr">
        <is>
          <t>À demander à la CNPS</t>
        </is>
      </c>
      <c r="F8" s="8" t="inlineStr">
        <is>
          <t>À demander</t>
        </is>
      </c>
      <c r="G8" s="8">
        <f>IF(C8="","Validité à lire sur la pièce",IF(C8&lt;INT(Rétroplanning!$B$4),"EXPIRE AVANT LE DÉPÔT","Valide au dépôt"))</f>
        <v/>
      </c>
    </row>
    <row r="9">
      <c r="A9" s="8" t="inlineStr">
        <is>
          <t>Justificatif d'agrément de l'établissement de paiement (Julaya) et lettre de partenariat</t>
        </is>
      </c>
      <c r="B9" s="8" t="inlineStr">
        <is>
          <t>Copie certifiée conforme</t>
        </is>
      </c>
      <c r="C9" s="10" t="n"/>
      <c r="D9" s="8" t="inlineStr">
        <is>
          <t>Julaya (agrément BCEAO)</t>
        </is>
      </c>
      <c r="E9" s="8" t="inlineStr">
        <is>
          <t>À demander à Julaya</t>
        </is>
      </c>
      <c r="F9" s="8" t="inlineStr">
        <is>
          <t>À demander</t>
        </is>
      </c>
      <c r="G9" s="8">
        <f>IF(C9="","Validité à lire sur la pièce",IF(C9&lt;INT(Rétroplanning!$B$4),"EXPIRE AVANT LE DÉPÔT","Valide au dépôt"))</f>
        <v/>
      </c>
    </row>
    <row r="10">
      <c r="A10" s="8" t="inlineStr">
        <is>
          <t>Attestation de conformité PCI DSS</t>
        </is>
      </c>
      <c r="B10" s="8" t="inlineStr">
        <is>
          <t>Copie</t>
        </is>
      </c>
      <c r="C10" s="10" t="n"/>
      <c r="D10" s="8" t="inlineStr">
        <is>
          <t>Organisme certificateur de Jèko</t>
        </is>
      </c>
      <c r="E10" s="8" t="inlineStr">
        <is>
          <t>À demander à l'équipe technique</t>
        </is>
      </c>
      <c r="F10" s="8" t="inlineStr">
        <is>
          <t>À demander</t>
        </is>
      </c>
      <c r="G10" s="8">
        <f>IF(C10="","Validité à lire sur la pièce",IF(C10&lt;INT(Rétroplanning!$B$4),"EXPIRE AVANT LE DÉPÔT","Valide au dépôt"))</f>
        <v/>
      </c>
    </row>
    <row r="11">
      <c r="A11" s="8" t="inlineStr">
        <is>
          <t>Pouvoir du signataire</t>
        </is>
      </c>
      <c r="B11" s="8" t="inlineStr">
        <is>
          <t>Original</t>
        </is>
      </c>
      <c r="C11" s="10" t="n"/>
      <c r="D11" s="8" t="inlineStr">
        <is>
          <t>Jèko (direction générale)</t>
        </is>
      </c>
      <c r="E11" s="8" t="inlineStr">
        <is>
          <t>Interne</t>
        </is>
      </c>
      <c r="F11" s="8" t="inlineStr">
        <is>
          <t>À demander</t>
        </is>
      </c>
      <c r="G11" s="8">
        <f>IF(C11="","Validité à lire sur la pièce",IF(C11&lt;INT(Rétroplanning!$B$4),"EXPIRE AVANT LE DÉPÔT","Valide au dépôt"))</f>
        <v/>
      </c>
    </row>
    <row r="20">
      <c r="A20" s="12" t="inlineStr">
        <is>
          <t>Jèko, Abidjan, Côte d'Ivoire · jeko.africa. Document d'entraînement : consultation, acheteur et calendrier FICTIFS.</t>
        </is>
      </c>
    </row>
    <row r="21">
      <c r="A21" s="12" t="inlineStr">
        <is>
          <t>Document confidentiel, réservé à l'acheteur destinataire.</t>
        </is>
      </c>
    </row>
  </sheetData>
  <conditionalFormatting sqref="G6:G17">
    <cfRule type="cellIs" priority="1" operator="equal" dxfId="0">
      <formula>"EXPIRE AVANT LE DÉPÔT"</formula>
    </cfRule>
  </conditionalFormatting>
  <conditionalFormatting sqref="F6:F17">
    <cfRule type="cellIs" priority="2" operator="equal" dxfId="1">
      <formula>"À demander"</formula>
    </cfRule>
  </conditionalFormatting>
  <dataValidations count="1">
    <dataValidation sqref="F6:F17" showDropDown="0" showInputMessage="0" showErrorMessage="1" allowBlank="1" errorTitle="Statut" error="Choisissez une valeur de la liste." type="list">
      <formula1>"Obtenue,En cours,À demander"</formula1>
    </dataValidation>
  </dataValidations>
  <pageMargins left="0.75" right="0.75" top="1" bottom="1" header="0.5" footer="0.5"/>
  <headerFooter>
    <oddHeader/>
    <oddFooter>&amp;LJèko&amp;RPage &amp;P sur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11" customWidth="1" min="4" max="4"/>
    <col width="15" customWidth="1" min="5" max="5"/>
    <col width="16" customWidth="1" min="6" max="6"/>
    <col width="30" customWidth="1" min="7" max="7"/>
  </cols>
  <sheetData>
    <row r="1" ht="22" customHeight="1">
      <c r="D1" s="1" t="inlineStr">
        <is>
          <t>Offre financière</t>
        </is>
      </c>
    </row>
    <row r="2" ht="20" customHeight="1">
      <c r="D2" s="2" t="inlineStr">
        <is>
          <t>Format imposé par le dossier de consultation, montants en FCFA TTC</t>
        </is>
      </c>
    </row>
    <row r="5" ht="30" customHeight="1">
      <c r="A5" s="7" t="inlineStr">
        <is>
          <t>Poste</t>
        </is>
      </c>
      <c r="B5" s="7" t="inlineStr">
        <is>
          <t>Désignation</t>
        </is>
      </c>
      <c r="C5" s="7" t="inlineStr">
        <is>
          <t>Unité</t>
        </is>
      </c>
      <c r="D5" s="7" t="inlineStr">
        <is>
          <t>Quantité</t>
        </is>
      </c>
      <c r="E5" s="7" t="inlineStr">
        <is>
          <t>Prix unitaire</t>
        </is>
      </c>
      <c r="F5" s="7" t="inlineStr">
        <is>
          <t>Montant</t>
        </is>
      </c>
      <c r="G5" s="7" t="inlineStr">
        <is>
          <t>Source du prix</t>
        </is>
      </c>
    </row>
    <row r="6">
      <c r="A6" s="8" t="inlineStr">
        <is>
          <t>1</t>
        </is>
      </c>
      <c r="B6" s="8" t="inlineStr">
        <is>
          <t>Jèko Box, terminal d'encaissement (installation, prise en main, Wifi, mises à jour, assistance 7j/7, garantie 12 mois inclus)</t>
        </is>
      </c>
      <c r="C6" s="8" t="inlineStr">
        <is>
          <t>terminal</t>
        </is>
      </c>
      <c r="D6" s="13" t="n">
        <v>22</v>
      </c>
      <c r="E6" s="14" t="n">
        <v>50000</v>
      </c>
      <c r="F6" s="14">
        <f>IF(ISNUMBER(E6),D6*E6,"")</f>
        <v/>
      </c>
      <c r="G6" s="8" t="inlineStr">
        <is>
          <t>Tarif public jeko.africa/pricing, 15/10/2026</t>
        </is>
      </c>
    </row>
    <row r="7">
      <c r="A7" s="8" t="inlineStr">
        <is>
          <t>2</t>
        </is>
      </c>
      <c r="B7" s="8" t="inlineStr">
        <is>
          <t>Carte SIM avec forfait internet, première année</t>
        </is>
      </c>
      <c r="C7" s="8" t="inlineStr">
        <is>
          <t>SIM/an</t>
        </is>
      </c>
      <c r="D7" s="13" t="n">
        <v>22</v>
      </c>
      <c r="E7" s="14" t="n">
        <v>25000</v>
      </c>
      <c r="F7" s="14">
        <f>IF(ISNUMBER(E7),D7*E7,"")</f>
        <v/>
      </c>
      <c r="G7" s="8" t="inlineStr">
        <is>
          <t>Tarif public jeko.africa/pricing, 15/10/2026</t>
        </is>
      </c>
    </row>
    <row r="8">
      <c r="A8" s="8" t="inlineStr">
        <is>
          <t>3</t>
        </is>
      </c>
      <c r="B8" s="8" t="inlineStr">
        <is>
          <t>Commission sur paiements encaissés en officine : 1 % par transaction réussie (hors montant fixe, non chiffrable à l'avance)</t>
        </is>
      </c>
      <c r="C8" s="8" t="inlineStr">
        <is>
          <t>forfait</t>
        </is>
      </c>
      <c r="D8" s="13" t="n">
        <v>1</v>
      </c>
      <c r="E8" s="14" t="n">
        <v>0</v>
      </c>
      <c r="F8" s="14">
        <f>IF(ISNUMBER(E8),D8*E8,"")</f>
        <v/>
      </c>
      <c r="G8" s="8" t="inlineStr">
        <is>
          <t>Tarif public jeko.africa/pricing : 1 % en magasin ; transfert vers Wave 1,5 % ; virement 1 000 F</t>
        </is>
      </c>
    </row>
    <row r="9">
      <c r="A9" s="15" t="n"/>
      <c r="B9" s="15" t="inlineStr">
        <is>
          <t>Montant total de l'offre</t>
        </is>
      </c>
      <c r="C9" s="15" t="n"/>
      <c r="D9" s="15" t="n"/>
      <c r="E9" s="15" t="n"/>
      <c r="F9" s="16">
        <f>SUM(F6:F8)</f>
        <v/>
      </c>
      <c r="G9" s="15" t="n"/>
    </row>
    <row r="10">
      <c r="B10" t="inlineStr">
        <is>
          <t>Contrôle</t>
        </is>
      </c>
      <c r="F10" s="3">
        <f>IF(COUNTIF(E6:E8,"⟦à renseigner⟧")=0,"Tous les prix sont posés","PRIX MANQUANTS")</f>
        <v/>
      </c>
    </row>
    <row r="13">
      <c r="A13" s="12" t="inlineStr">
        <is>
          <t>Jèko, Abidjan, Côte d'Ivoire · jeko.africa. Document d'entraînement : consultation, acheteur et calendrier FICTIFS.</t>
        </is>
      </c>
    </row>
    <row r="14">
      <c r="A14" s="12" t="inlineStr">
        <is>
          <t>Document confidentiel, réservé à l'acheteur destinataire.</t>
        </is>
      </c>
    </row>
  </sheetData>
  <pageMargins left="0.75" right="0.75" top="1" bottom="1" header="0.5" footer="0.5"/>
  <headerFooter>
    <oddHeader/>
    <oddFooter>&amp;LJèko&amp;RPage &amp;P sur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32" customWidth="1" min="3" max="3"/>
    <col width="18" customWidth="1" min="4" max="4"/>
    <col width="14" customWidth="1" min="5" max="5"/>
  </cols>
  <sheetData>
    <row r="1" ht="22" customHeight="1">
      <c r="D1" s="1" t="inlineStr">
        <is>
          <t>Références et capacités</t>
        </is>
      </c>
    </row>
    <row r="2" ht="20" customHeight="1">
      <c r="D2" s="2" t="inlineStr">
        <is>
          <t>Une référence sans attestation jointe n'existe pas pour la commission</t>
        </is>
      </c>
    </row>
    <row r="5" ht="30" customHeight="1">
      <c r="A5" s="7" t="inlineStr">
        <is>
          <t>Marché de référence</t>
        </is>
      </c>
      <c r="B5" s="7" t="inlineStr">
        <is>
          <t>Client</t>
        </is>
      </c>
      <c r="C5" s="7" t="inlineStr">
        <is>
          <t>Objet</t>
        </is>
      </c>
      <c r="D5" s="7" t="inlineStr">
        <is>
          <t>Période</t>
        </is>
      </c>
      <c r="E5" s="7" t="inlineStr">
        <is>
          <t>Attestation jointe</t>
        </is>
      </c>
    </row>
    <row r="6">
      <c r="A6" s="8" t="inlineStr">
        <is>
          <t>⟦Équipement d'un commerce client⟧</t>
        </is>
      </c>
      <c r="B6" s="8" t="inlineStr">
        <is>
          <t>⟦Client ayant donné son accord écrit⟧</t>
        </is>
      </c>
      <c r="C6" s="8" t="inlineStr">
        <is>
          <t>Jèko Box et encaissement multi-moyens</t>
        </is>
      </c>
      <c r="D6" s="8" t="inlineStr">
        <is>
          <t>⟦à renseigner⟧</t>
        </is>
      </c>
      <c r="E6" s="8" t="inlineStr">
        <is>
          <t>Non</t>
        </is>
      </c>
    </row>
    <row r="9">
      <c r="A9" s="12" t="inlineStr">
        <is>
          <t>Jèko, Abidjan, Côte d'Ivoire · jeko.africa. Document d'entraînement : consultation, acheteur et calendrier FICTIFS.</t>
        </is>
      </c>
    </row>
    <row r="10">
      <c r="A10" s="12" t="inlineStr">
        <is>
          <t>Document confidentiel, réservé à l'acheteur destinataire.</t>
        </is>
      </c>
    </row>
  </sheetData>
  <conditionalFormatting sqref="E6:E20">
    <cfRule type="cellIs" priority="1" operator="equal" dxfId="0">
      <formula>"Non"</formula>
    </cfRule>
  </conditionalFormatting>
  <dataValidations count="1">
    <dataValidation sqref="E6:E20" showDropDown="0" showInputMessage="0" showErrorMessage="1" allowBlank="1" errorTitle="Attestation" error="Choisissez une valeur de la liste." type="list">
      <formula1>"Oui,Non"</formula1>
    </dataValidation>
  </dataValidations>
  <pageMargins left="0.75" right="0.75" top="1" bottom="1" header="0.5" footer="0.5"/>
  <headerFooter>
    <oddHeader/>
    <oddFooter>&amp;LJèko&amp;RPage &amp;P sur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80" customWidth="1" min="2" max="2"/>
  </cols>
  <sheetData>
    <row r="1" ht="22" customHeight="1">
      <c r="D1" s="1" t="inlineStr">
        <is>
          <t>Dépôt du pli et sommaire</t>
        </is>
      </c>
    </row>
    <row r="2" ht="20" customHeight="1">
      <c r="D2" s="2" t="inlineStr">
        <is>
          <t>Recopié mot pour mot du dossier de consultation</t>
        </is>
      </c>
    </row>
    <row r="5">
      <c r="A5" s="17" t="inlineStr">
        <is>
          <t>Autorité contractante</t>
        </is>
      </c>
      <c r="B5" s="8" t="inlineStr">
        <is>
          <t>Groupement Pharmacies Lagune Santé (FICTIF), direction administrative et financière</t>
        </is>
      </c>
    </row>
    <row r="6">
      <c r="A6" s="17" t="inlineStr">
        <is>
          <t>Lieu de dépôt</t>
        </is>
      </c>
      <c r="B6" s="8" t="inlineStr">
        <is>
          <t>Secrétariat de la DAF, contre récépissé, et copie PDF par courriel à l'adresse indiquée au dossier (FICTIF)</t>
        </is>
      </c>
    </row>
    <row r="7">
      <c r="A7" s="17" t="inlineStr">
        <is>
          <t>Date et heure limites</t>
        </is>
      </c>
      <c r="B7" s="18">
        <f>Rétroplanning!B4</f>
        <v/>
      </c>
    </row>
    <row r="8">
      <c r="A8" s="17" t="inlineStr">
        <is>
          <t>Exemplaires</t>
        </is>
      </c>
      <c r="B8" s="8" t="inlineStr">
        <is>
          <t>Un original et deux copies, sous pli fermé, plus une copie PDF (FICTIF)</t>
        </is>
      </c>
    </row>
    <row r="9">
      <c r="A9" s="17" t="inlineStr">
        <is>
          <t>Libellé du pli</t>
        </is>
      </c>
      <c r="B9" s="8" t="inlineStr">
        <is>
          <t>« Consultation CONS-PLS-2026-07, solution d'encaissement : à n'ouvrir qu'en séance » (FICTIF)</t>
        </is>
      </c>
    </row>
    <row r="11" ht="30" customHeight="1">
      <c r="A11" s="7" t="inlineStr">
        <is>
          <t>Ordre</t>
        </is>
      </c>
      <c r="B11" s="7" t="inlineStr">
        <is>
          <t>Pièce du sommaire</t>
        </is>
      </c>
    </row>
    <row r="12">
      <c r="A12" s="8" t="n">
        <v>1</v>
      </c>
      <c r="B12" s="8" t="inlineStr">
        <is>
          <t>Lettre de soumission signée</t>
        </is>
      </c>
    </row>
    <row r="13">
      <c r="A13" s="8" t="n">
        <v>2</v>
      </c>
      <c r="B13" s="8" t="inlineStr">
        <is>
          <t>Pièces administratives (article 5 du dossier FICTIF)</t>
        </is>
      </c>
    </row>
    <row r="14">
      <c r="A14" s="8" t="n">
        <v>3</v>
      </c>
      <c r="B14" s="8" t="inlineStr">
        <is>
          <t>Présentation du candidat et cadre réglementaire (Julaya)</t>
        </is>
      </c>
    </row>
    <row r="15">
      <c r="A15" s="8" t="n">
        <v>4</v>
      </c>
      <c r="B15" s="8" t="inlineStr">
        <is>
          <t>Références de commerces équipés</t>
        </is>
      </c>
    </row>
    <row r="16">
      <c r="A16" s="8" t="n">
        <v>5</v>
      </c>
      <c r="B16" s="8" t="inlineStr">
        <is>
          <t>Offre technique : réponse aux exigences 3.1 à 3.8</t>
        </is>
      </c>
    </row>
    <row r="17">
      <c r="A17" s="8" t="n">
        <v>6</v>
      </c>
      <c r="B17" s="8" t="inlineStr">
        <is>
          <t>Planning de déploiement sur les 14 officines</t>
        </is>
      </c>
    </row>
    <row r="18">
      <c r="A18" s="8" t="n">
        <v>7</v>
      </c>
      <c r="B18" s="8" t="inlineStr">
        <is>
          <t>Offre financière : bordereau des prix et conditions de commission</t>
        </is>
      </c>
    </row>
    <row r="20">
      <c r="A20" s="2" t="inlineStr">
        <is>
          <t>Ce classeur reste interne : il ne fait pas partie du dossier remis.</t>
        </is>
      </c>
    </row>
    <row r="22">
      <c r="A22" s="12" t="inlineStr">
        <is>
          <t>Jèko, Abidjan, Côte d'Ivoire · jeko.africa. Document d'entraînement : consultation, acheteur et calendrier FICTIFS.</t>
        </is>
      </c>
    </row>
    <row r="23">
      <c r="A23" s="12" t="inlineStr">
        <is>
          <t>Document confidentiel, réservé à l'acheteur destinataire.</t>
        </is>
      </c>
    </row>
  </sheetData>
  <pageMargins left="0.75" right="0.75" top="1" bottom="1" header="0.5" footer="0.5"/>
  <headerFooter>
    <oddHeader/>
    <oddFooter>&amp;LJèko&amp;RPage &amp;P sur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2026-10-16T08:08:42Z</dcterms:created>
  <dcterms:modified xmlns:dcterms="http://purl.org/dc/terms/" xmlns:xsi="http://www.w3.org/2001/XMLSchema-instance" xsi:type="dcterms:W3CDTF">2026-10-16T08:08:42Z</dcterms:modified>
</cp:coreProperties>
</file>